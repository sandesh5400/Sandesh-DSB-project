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_Monthly" sheetId="2" state="visible" r:id="rId4"/>
    <sheet name="Data_Annual" sheetId="3" state="visible" r:id="rId5"/>
    <sheet name="Data_Currency" sheetId="4" state="visible" r:id="rId6"/>
    <sheet name="KPI_Calc" sheetId="5" state="visible" r:id="rId7"/>
  </sheets>
  <definedNames>
    <definedName function="false" hidden="false" localSheetId="0" name="_xlnm.Print_Area" vbProcedure="false">Dashboard!$A$1:$L$112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Hardcoded: cannot be derived from the 3-month SWIFT snapshot in Data_Currency. Sourced from project report benchmark (Cross-Market Comparison section).</t>
        </r>
      </text>
    </comment>
    <comment ref="B15" authorId="0">
      <text>
        <r>
          <rPr>
            <sz val="10"/>
            <rFont val="Arial"/>
            <family val="2"/>
          </rPr>
          <t xml:space="preserve">Hardcoded external figure. Source: World Gold Council, Central Bank Gold Demand Report 2025; IMF (2024) Currency Composition of Official Foreign Exchange Reserves (COFER). Not derivable from the datasets included in this workbook.</t>
        </r>
      </text>
    </comment>
  </commentList>
</comments>
</file>

<file path=xl/sharedStrings.xml><?xml version="1.0" encoding="utf-8"?>
<sst xmlns="http://schemas.openxmlformats.org/spreadsheetml/2006/main" count="7356" uniqueCount="78">
  <si>
    <t xml:space="preserve">COMMODITIES &amp; CURRENCY MARKETS  —  Interactive Dashboard</t>
  </si>
  <si>
    <t xml:space="preserve">Select commodity:</t>
  </si>
  <si>
    <t xml:space="preserve">Silver</t>
  </si>
  <si>
    <t xml:space="preserve">◄ click the cell, then pick from the dropdown</t>
  </si>
  <si>
    <t xml:space="preserve">LATEST PRICE (USD)</t>
  </si>
  <si>
    <t xml:space="preserve">VS LONG-TERM AVG</t>
  </si>
  <si>
    <t xml:space="preserve">ALL-TIME HIGH</t>
  </si>
  <si>
    <t xml:space="preserve">ALL-TIME LOW</t>
  </si>
  <si>
    <t xml:space="preserve">MARKET SENSITIVITY TO GLOBAL EVENTS  (Monthly Price Volatility)</t>
  </si>
  <si>
    <t xml:space="preserve">Market</t>
  </si>
  <si>
    <t xml:space="preserve">Volatility (Std Dev)</t>
  </si>
  <si>
    <t xml:space="preserve">Max Monthly Move</t>
  </si>
  <si>
    <t xml:space="preserve">Sensitivity Rank</t>
  </si>
  <si>
    <t xml:space="preserve">Brent Oil</t>
  </si>
  <si>
    <t xml:space="preserve">Gold</t>
  </si>
  <si>
    <t xml:space="preserve">Currencies (USD basket)</t>
  </si>
  <si>
    <t xml:space="preserve">Brent Oil / Gold / Silver volatility computed live from monthly price data (Data_Monthly). Currency volatility is a fixed benchmark from the project report (not computable from the 3-month SWIFT snapshot).</t>
  </si>
  <si>
    <t xml:space="preserve">BRICS+ SHARE OF GLOBAL GOLD RESERVES  (2019 → 2026)</t>
  </si>
  <si>
    <t xml:space="preserve">Year</t>
  </si>
  <si>
    <t xml:space="preserve">Share of Global Gold Reserves</t>
  </si>
  <si>
    <t xml:space="preserve">2019</t>
  </si>
  <si>
    <t xml:space="preserve">2026</t>
  </si>
  <si>
    <t xml:space="preserve">Fixed external benchmark (hardcoded). Source: World Gold Council, Central Bank Gold Demand Report 2025; IMF (2024) COFER. See KPI_Calc for the cell-level source note.</t>
  </si>
  <si>
    <t xml:space="preserve">KEY INSIGHTS FOR MANAGEMENT</t>
  </si>
  <si>
    <t xml:space="preserve">1. Oil is the most unpredictable cost in any business that uses energy.</t>
  </si>
  <si>
    <t xml:space="preserve">Brent Oil can rise over 130% or fall over 50% in a single month. Companies dependent on energy should maintain a systematic fuel-cost hedging plan (50–70% of projected consumption) to avoid a single geopolitical shock (e.g. a Hormuz-type disruption) destroying margins overnight.</t>
  </si>
  <si>
    <t xml:space="preserve">2. Gold is now a strategic reserve tool, not just a jewellery asset.</t>
  </si>
  <si>
    <t xml:space="preserve">BRICS+ central banks lifted their share of global gold reserves from 11.2% (2019) to 17.4% (2026), pushing gold to record prices above ,100/oz. A 5–10% gold allocation offers meaningful protection against currency and geopolitical risk.</t>
  </si>
  <si>
    <t xml:space="preserve">3. The US Dollar still leads world payments — but its grip is slowly loosening.</t>
  </si>
  <si>
    <t xml:space="preserve">USD holds 51.14% of SWIFT payment value, down from roughly 56% a decade ago. CNY is quietly rising in trade finance (2nd globally at 8.04%) even while ranking only 10th in overall payments — worth monitoring for Asia-Pacific-facing businesses.</t>
  </si>
  <si>
    <t xml:space="preserve">HOW TO USE THIS DASHBOARD</t>
  </si>
  <si>
    <t xml:space="preserve">1. Click cell D4 and choose Brent Oil, Gold or Silver — the KPI cards and the top chart update instantly.</t>
  </si>
  <si>
    <t xml:space="preserve">2. Data lives in Data_Monthly, Data_Annual and Data_Currency (formatted Excel Tables); nothing is hard-typed except two clearly labeled external benchmarks (see cell comments in KPI_Calc).</t>
  </si>
  <si>
    <t xml:space="preserve">3. The Market Sensitivity and BRICS+ charts are always-on (they compare all markets, independent of the D4 selector).</t>
  </si>
  <si>
    <t xml:space="preserve">4. To add a native PivotTable + slicer: click any Table &gt; Insert &gt; PivotTable, then PivotTable Analyze &gt; Insert Slicer.</t>
  </si>
  <si>
    <t xml:space="preserve">5. All KPI figures are live formulas (see KPI_Calc) and will recalculate if the underlying datasets are updated.</t>
  </si>
  <si>
    <t xml:space="preserve">Date</t>
  </si>
  <si>
    <t xml:space="preserve">Month</t>
  </si>
  <si>
    <t xml:space="preserve">MonthName</t>
  </si>
  <si>
    <t xml:space="preserve">Commodity</t>
  </si>
  <si>
    <t xml:space="preserve">Price</t>
  </si>
  <si>
    <t xml:space="preserve">MoM % Change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</si>
  <si>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</si>
  <si>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</si>
  <si>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</si>
  <si>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</si>
  <si>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</si>
  <si>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</si>
  <si>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</si>
  <si>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</si>
  <si>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</si>
  <si>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</si>
  <si>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</si>
  <si>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</si>
  <si>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Selected</t>
  </si>
  <si>
    <t xml:space="preserve">Rank</t>
  </si>
  <si>
    <t xml:space="preserve">Currency</t>
  </si>
  <si>
    <t xml:space="preserve">GlobalPaymentShare</t>
  </si>
  <si>
    <t xml:space="preserve">USD</t>
  </si>
  <si>
    <t xml:space="preserve">EUR</t>
  </si>
  <si>
    <t xml:space="preserve">GBP</t>
  </si>
  <si>
    <t xml:space="preserve">JPY</t>
  </si>
  <si>
    <t xml:space="preserve">CNY</t>
  </si>
  <si>
    <t xml:space="preserve">CAD</t>
  </si>
  <si>
    <t xml:space="preserve">HKD</t>
  </si>
  <si>
    <t xml:space="preserve">AUD</t>
  </si>
  <si>
    <t xml:space="preserve">SGD</t>
  </si>
  <si>
    <t xml:space="preserve">CHF</t>
  </si>
  <si>
    <t xml:space="preserve">Latest</t>
  </si>
  <si>
    <t xml:space="preserve">LongTermAvg</t>
  </si>
  <si>
    <t xml:space="preserve">VsAvgPct</t>
  </si>
  <si>
    <t xml:space="preserve">AllTimeHigh</t>
  </si>
  <si>
    <t xml:space="preserve">HighYear</t>
  </si>
  <si>
    <t xml:space="preserve">AllTimeLow</t>
  </si>
  <si>
    <t xml:space="preserve">LowYear</t>
  </si>
  <si>
    <t xml:space="preserve">MaxDate</t>
  </si>
  <si>
    <t xml:space="preserve">MARKET SENSITIVITY TO GLOBAL EVENTS (MONTHLY VOLATILITY)</t>
  </si>
  <si>
    <t xml:space="preserve">BRICS+ SHARE OF GLOBAL GOLD RESERVES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</si>
</sst>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%"/>
    <numFmt numFmtId="167" formatCode="0.00%"/>
    <numFmt numFmtId="168" formatCode="General"/>
    <numFmt numFmtId="169" formatCode="0%"/>
    <numFmt numFmtId="170" formatCode="yyyy\-mm\-dd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2"/>
      <color rgb="FF14213D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6"/>
      <color rgb="FF14213D"/>
      <name val="Arial"/>
      <family val="0"/>
      <charset val="1"/>
    </font>
    <font>
      <b val="true"/>
      <sz val="10"/>
      <color rgb="FF14213D"/>
      <name val="Arial"/>
      <family val="0"/>
      <charset val="1"/>
    </font>
    <font>
      <sz val="10"/>
      <color rgb="FF14213D"/>
      <name val="Arial"/>
      <family val="0"/>
      <charset val="1"/>
    </font>
    <font>
      <i val="true"/>
      <sz val="8"/>
      <color rgb="FF6B7280"/>
      <name val="Arial"/>
      <family val="0"/>
      <charset val="1"/>
    </font>
    <font>
      <sz val="9.5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4213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4213D"/>
        <bgColor rgb="FF1E2C4F"/>
      </patternFill>
    </fill>
    <fill>
      <patternFill patternType="solid">
        <fgColor rgb="FFC9A227"/>
        <bgColor rgb="FF99CC00"/>
      </patternFill>
    </fill>
    <fill>
      <patternFill patternType="solid">
        <fgColor rgb="FF2C6E9B"/>
        <bgColor rgb="FF3B7A57"/>
      </patternFill>
    </fill>
    <fill>
      <patternFill patternType="solid">
        <fgColor rgb="FF3B7A57"/>
        <bgColor rgb="FF2C6E9B"/>
      </patternFill>
    </fill>
    <fill>
      <patternFill patternType="solid">
        <fgColor rgb="FF1E2C4F"/>
        <bgColor rgb="FF14213D"/>
      </patternFill>
    </fill>
    <fill>
      <patternFill patternType="solid">
        <fgColor rgb="FFF4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8"/>
      </left>
      <right style="thin">
        <color rgb="FFD9DEE8"/>
      </right>
      <top style="thin">
        <color rgb="FFD9DEE8"/>
      </top>
      <bottom style="thin">
        <color rgb="FFD9DE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7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C6E9B"/>
      <rgbColor rgb="FFD9D9D9"/>
      <rgbColor rgb="FF878787"/>
      <rgbColor rgb="FF9999FF"/>
      <rgbColor rgb="FF993366"/>
      <rgbColor rgb="FFF4F6FA"/>
      <rgbColor rgb="FFCCFFFF"/>
      <rgbColor rgb="FF660066"/>
      <rgbColor rgb="FFFF8080"/>
      <rgbColor rgb="FF0066CC"/>
      <rgbColor rgb="FFD9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C9A227"/>
      <rgbColor rgb="FFFF6600"/>
      <rgbColor rgb="FF6B7280"/>
      <rgbColor rgb="FF969696"/>
      <rgbColor rgb="FF14213D"/>
      <rgbColor rgb="FF3B7A57"/>
      <rgbColor rgb="FF003300"/>
      <rgbColor rgb="FF333300"/>
      <rgbColor rgb="FF993300"/>
      <rgbColor rgb="FF993366"/>
      <rgbColor rgb="FF333399"/>
      <rgbColor rgb="FF1E2C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Selected commodity — annual average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1"/>
        <c:ser>
          <c:idx val="0"/>
          <c:order val="0"/>
          <c:tx>
            <c:strRef>
              <c:f>Data_Annual!$E$1</c:f>
              <c:strCache>
                <c:ptCount val="1"/>
                <c:pt idx="0">
                  <c:v>Selected</c:v>
                </c:pt>
              </c:strCache>
            </c:strRef>
          </c:tx>
          <c:spPr>
            <a:solidFill>
              <a:srgbClr val="2c6e9b"/>
            </a:solidFill>
            <a:ln w="21960">
              <a:solidFill>
                <a:srgbClr val="2c6e9b"/>
              </a:solidFill>
              <a:round/>
            </a:ln>
          </c:spPr>
          <c:marker>
            <c:symbol val="none"/>
          </c:marker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8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9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5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6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17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18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19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20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21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22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23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24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25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6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27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28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29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30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31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32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33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34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35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36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37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38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9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0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41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42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43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44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45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46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47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48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49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5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51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52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3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54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55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56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57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58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59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6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6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6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6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6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65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66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67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68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69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70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71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72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73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74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75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76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77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78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79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80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81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82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83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84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85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86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87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88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89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90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91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92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93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94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95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96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97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98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99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00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101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102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103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104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105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106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107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108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09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1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11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Data_Annual!$A$2:$A$113</c:f>
              <c:strCache>
                <c:ptCount val="112"/>
                <c:pt idx="0">
                  <c:v>1915</c:v>
                </c:pt>
                <c:pt idx="1">
                  <c:v>1916</c:v>
                </c:pt>
                <c:pt idx="2">
                  <c:v>1917</c:v>
                </c:pt>
                <c:pt idx="3">
                  <c:v>1918</c:v>
                </c:pt>
                <c:pt idx="4">
                  <c:v>1919</c:v>
                </c:pt>
                <c:pt idx="5">
                  <c:v>1920</c:v>
                </c:pt>
                <c:pt idx="6">
                  <c:v>1921</c:v>
                </c:pt>
                <c:pt idx="7">
                  <c:v>1922</c:v>
                </c:pt>
                <c:pt idx="8">
                  <c:v>1923</c:v>
                </c:pt>
                <c:pt idx="9">
                  <c:v>1924</c:v>
                </c:pt>
                <c:pt idx="10">
                  <c:v>1925</c:v>
                </c:pt>
                <c:pt idx="11">
                  <c:v>1926</c:v>
                </c:pt>
                <c:pt idx="12">
                  <c:v>1927</c:v>
                </c:pt>
                <c:pt idx="13">
                  <c:v>1928</c:v>
                </c:pt>
                <c:pt idx="14">
                  <c:v>1929</c:v>
                </c:pt>
                <c:pt idx="15">
                  <c:v>1930</c:v>
                </c:pt>
                <c:pt idx="16">
                  <c:v>1931</c:v>
                </c:pt>
                <c:pt idx="17">
                  <c:v>1932</c:v>
                </c:pt>
                <c:pt idx="18">
                  <c:v>1933</c:v>
                </c:pt>
                <c:pt idx="19">
                  <c:v>1934</c:v>
                </c:pt>
                <c:pt idx="20">
                  <c:v>1935</c:v>
                </c:pt>
                <c:pt idx="21">
                  <c:v>1936</c:v>
                </c:pt>
                <c:pt idx="22">
                  <c:v>1937</c:v>
                </c:pt>
                <c:pt idx="23">
                  <c:v>1938</c:v>
                </c:pt>
                <c:pt idx="24">
                  <c:v>1939</c:v>
                </c:pt>
                <c:pt idx="25">
                  <c:v>1940</c:v>
                </c:pt>
                <c:pt idx="26">
                  <c:v>1941</c:v>
                </c:pt>
                <c:pt idx="27">
                  <c:v>1942</c:v>
                </c:pt>
                <c:pt idx="28">
                  <c:v>1943</c:v>
                </c:pt>
                <c:pt idx="29">
                  <c:v>1944</c:v>
                </c:pt>
                <c:pt idx="30">
                  <c:v>1945</c:v>
                </c:pt>
                <c:pt idx="31">
                  <c:v>1946</c:v>
                </c:pt>
                <c:pt idx="32">
                  <c:v>1947</c:v>
                </c:pt>
                <c:pt idx="33">
                  <c:v>1948</c:v>
                </c:pt>
                <c:pt idx="34">
                  <c:v>1949</c:v>
                </c:pt>
                <c:pt idx="35">
                  <c:v>1950</c:v>
                </c:pt>
                <c:pt idx="36">
                  <c:v>1951</c:v>
                </c:pt>
                <c:pt idx="37">
                  <c:v>1952</c:v>
                </c:pt>
                <c:pt idx="38">
                  <c:v>1953</c:v>
                </c:pt>
                <c:pt idx="39">
                  <c:v>1954</c:v>
                </c:pt>
                <c:pt idx="40">
                  <c:v>1955</c:v>
                </c:pt>
                <c:pt idx="41">
                  <c:v>1956</c:v>
                </c:pt>
                <c:pt idx="42">
                  <c:v>1957</c:v>
                </c:pt>
                <c:pt idx="43">
                  <c:v>1958</c:v>
                </c:pt>
                <c:pt idx="44">
                  <c:v>1959</c:v>
                </c:pt>
                <c:pt idx="45">
                  <c:v>1960</c:v>
                </c:pt>
                <c:pt idx="46">
                  <c:v>1961</c:v>
                </c:pt>
                <c:pt idx="47">
                  <c:v>1962</c:v>
                </c:pt>
                <c:pt idx="48">
                  <c:v>1963</c:v>
                </c:pt>
                <c:pt idx="49">
                  <c:v>1964</c:v>
                </c:pt>
                <c:pt idx="50">
                  <c:v>1965</c:v>
                </c:pt>
                <c:pt idx="51">
                  <c:v>1966</c:v>
                </c:pt>
                <c:pt idx="52">
                  <c:v>1967</c:v>
                </c:pt>
                <c:pt idx="53">
                  <c:v>1968</c:v>
                </c:pt>
                <c:pt idx="54">
                  <c:v>1969</c:v>
                </c:pt>
                <c:pt idx="55">
                  <c:v>1970</c:v>
                </c:pt>
                <c:pt idx="56">
                  <c:v>1971</c:v>
                </c:pt>
                <c:pt idx="57">
                  <c:v>1972</c:v>
                </c:pt>
                <c:pt idx="58">
                  <c:v>1973</c:v>
                </c:pt>
                <c:pt idx="59">
                  <c:v>1974</c:v>
                </c:pt>
                <c:pt idx="60">
                  <c:v>1975</c:v>
                </c:pt>
                <c:pt idx="61">
                  <c:v>1976</c:v>
                </c:pt>
                <c:pt idx="62">
                  <c:v>1977</c:v>
                </c:pt>
                <c:pt idx="63">
                  <c:v>1978</c:v>
                </c:pt>
                <c:pt idx="64">
                  <c:v>1979</c:v>
                </c:pt>
                <c:pt idx="65">
                  <c:v>1980</c:v>
                </c:pt>
                <c:pt idx="66">
                  <c:v>1981</c:v>
                </c:pt>
                <c:pt idx="67">
                  <c:v>1982</c:v>
                </c:pt>
                <c:pt idx="68">
                  <c:v>1983</c:v>
                </c:pt>
                <c:pt idx="69">
                  <c:v>1984</c:v>
                </c:pt>
                <c:pt idx="70">
                  <c:v>1985</c:v>
                </c:pt>
                <c:pt idx="71">
                  <c:v>1986</c:v>
                </c:pt>
                <c:pt idx="72">
                  <c:v>1987</c:v>
                </c:pt>
                <c:pt idx="73">
                  <c:v>1988</c:v>
                </c:pt>
                <c:pt idx="74">
                  <c:v>1989</c:v>
                </c:pt>
                <c:pt idx="75">
                  <c:v>1990</c:v>
                </c:pt>
                <c:pt idx="76">
                  <c:v>1991</c:v>
                </c:pt>
                <c:pt idx="77">
                  <c:v>1992</c:v>
                </c:pt>
                <c:pt idx="78">
                  <c:v>1993</c:v>
                </c:pt>
                <c:pt idx="79">
                  <c:v>1994</c:v>
                </c:pt>
                <c:pt idx="80">
                  <c:v>1995</c:v>
                </c:pt>
                <c:pt idx="81">
                  <c:v>1996</c:v>
                </c:pt>
                <c:pt idx="82">
                  <c:v>1997</c:v>
                </c:pt>
                <c:pt idx="83">
                  <c:v>1998</c:v>
                </c:pt>
                <c:pt idx="84">
                  <c:v>1999</c:v>
                </c:pt>
                <c:pt idx="85">
                  <c:v>2000</c:v>
                </c:pt>
                <c:pt idx="86">
                  <c:v>2001</c:v>
                </c:pt>
                <c:pt idx="87">
                  <c:v>2002</c:v>
                </c:pt>
                <c:pt idx="88">
                  <c:v>2003</c:v>
                </c:pt>
                <c:pt idx="89">
                  <c:v>2004</c:v>
                </c:pt>
                <c:pt idx="90">
                  <c:v>2005</c:v>
                </c:pt>
                <c:pt idx="91">
                  <c:v>2006</c:v>
                </c:pt>
                <c:pt idx="92">
                  <c:v>2007</c:v>
                </c:pt>
                <c:pt idx="93">
                  <c:v>2008</c:v>
                </c:pt>
                <c:pt idx="94">
                  <c:v>2009</c:v>
                </c:pt>
                <c:pt idx="95">
                  <c:v>2010</c:v>
                </c:pt>
                <c:pt idx="96">
                  <c:v>2011</c:v>
                </c:pt>
                <c:pt idx="97">
                  <c:v>2012</c:v>
                </c:pt>
                <c:pt idx="98">
                  <c:v>2013</c:v>
                </c:pt>
                <c:pt idx="99">
                  <c:v>2014</c:v>
                </c:pt>
                <c:pt idx="100">
                  <c:v>2015</c:v>
                </c:pt>
                <c:pt idx="101">
                  <c:v>2016</c:v>
                </c:pt>
                <c:pt idx="102">
                  <c:v>2017</c:v>
                </c:pt>
                <c:pt idx="103">
                  <c:v>2018</c:v>
                </c:pt>
                <c:pt idx="104">
                  <c:v>2019</c:v>
                </c:pt>
                <c:pt idx="105">
                  <c:v>2020</c:v>
                </c:pt>
                <c:pt idx="106">
                  <c:v>2021</c:v>
                </c:pt>
                <c:pt idx="107">
                  <c:v>2022</c:v>
                </c:pt>
                <c:pt idx="108">
                  <c:v>2023</c:v>
                </c:pt>
                <c:pt idx="109">
                  <c:v>2024</c:v>
                </c:pt>
                <c:pt idx="110">
                  <c:v>2025</c:v>
                </c:pt>
                <c:pt idx="111">
                  <c:v>2026</c:v>
                </c:pt>
              </c:strCache>
            </c:strRef>
          </c:cat>
          <c:val>
            <c:numRef>
              <c:f>Data_Annual!$E$2:$E$113</c:f>
              <c:numCache>
                <c:formatCode>General</c:formatCode>
                <c:ptCount val="112"/>
                <c:pt idx="0">
                  <c:v>0.51</c:v>
                </c:pt>
                <c:pt idx="1">
                  <c:v>0.67</c:v>
                </c:pt>
                <c:pt idx="2">
                  <c:v>0.84</c:v>
                </c:pt>
                <c:pt idx="3">
                  <c:v>0.98</c:v>
                </c:pt>
                <c:pt idx="4">
                  <c:v>1.13</c:v>
                </c:pt>
                <c:pt idx="5">
                  <c:v>1.03</c:v>
                </c:pt>
                <c:pt idx="6">
                  <c:v>0.63</c:v>
                </c:pt>
                <c:pt idx="7">
                  <c:v>0.68</c:v>
                </c:pt>
                <c:pt idx="8">
                  <c:v>0.65</c:v>
                </c:pt>
                <c:pt idx="9">
                  <c:v>0.67</c:v>
                </c:pt>
                <c:pt idx="10">
                  <c:v>0.69</c:v>
                </c:pt>
                <c:pt idx="11">
                  <c:v>0.62</c:v>
                </c:pt>
                <c:pt idx="12">
                  <c:v>0.57</c:v>
                </c:pt>
                <c:pt idx="13">
                  <c:v>0.58</c:v>
                </c:pt>
                <c:pt idx="14">
                  <c:v>0.53</c:v>
                </c:pt>
                <c:pt idx="15">
                  <c:v>0.38</c:v>
                </c:pt>
                <c:pt idx="16">
                  <c:v>0.29</c:v>
                </c:pt>
                <c:pt idx="17">
                  <c:v>0.28</c:v>
                </c:pt>
                <c:pt idx="18">
                  <c:v>0.35</c:v>
                </c:pt>
                <c:pt idx="19">
                  <c:v>0.48</c:v>
                </c:pt>
                <c:pt idx="20">
                  <c:v>0.64</c:v>
                </c:pt>
                <c:pt idx="21">
                  <c:v>0.45</c:v>
                </c:pt>
                <c:pt idx="22">
                  <c:v>0.45</c:v>
                </c:pt>
                <c:pt idx="23">
                  <c:v>0.43</c:v>
                </c:pt>
                <c:pt idx="24">
                  <c:v>0.39</c:v>
                </c:pt>
                <c:pt idx="25">
                  <c:v>0.35</c:v>
                </c:pt>
                <c:pt idx="26">
                  <c:v>0.35</c:v>
                </c:pt>
                <c:pt idx="27">
                  <c:v>0.38</c:v>
                </c:pt>
                <c:pt idx="28">
                  <c:v>0.45</c:v>
                </c:pt>
                <c:pt idx="29">
                  <c:v>0.45</c:v>
                </c:pt>
                <c:pt idx="30">
                  <c:v>0.52</c:v>
                </c:pt>
                <c:pt idx="31">
                  <c:v>0.8</c:v>
                </c:pt>
                <c:pt idx="32">
                  <c:v>0.72</c:v>
                </c:pt>
                <c:pt idx="33">
                  <c:v>0.74</c:v>
                </c:pt>
                <c:pt idx="34">
                  <c:v>0.72</c:v>
                </c:pt>
                <c:pt idx="35">
                  <c:v>0.74</c:v>
                </c:pt>
                <c:pt idx="36">
                  <c:v>0.89</c:v>
                </c:pt>
                <c:pt idx="37">
                  <c:v>0.85</c:v>
                </c:pt>
                <c:pt idx="38">
                  <c:v>0.85</c:v>
                </c:pt>
                <c:pt idx="39">
                  <c:v>0.85</c:v>
                </c:pt>
                <c:pt idx="40">
                  <c:v>0.89</c:v>
                </c:pt>
                <c:pt idx="41">
                  <c:v>0.92</c:v>
                </c:pt>
                <c:pt idx="42">
                  <c:v>0.92</c:v>
                </c:pt>
                <c:pt idx="43">
                  <c:v>0.89</c:v>
                </c:pt>
                <c:pt idx="44">
                  <c:v>0.92</c:v>
                </c:pt>
                <c:pt idx="45">
                  <c:v>0.92</c:v>
                </c:pt>
                <c:pt idx="46">
                  <c:v>0.93</c:v>
                </c:pt>
                <c:pt idx="47">
                  <c:v>1.09</c:v>
                </c:pt>
                <c:pt idx="48">
                  <c:v>1.29</c:v>
                </c:pt>
                <c:pt idx="49">
                  <c:v>1.3</c:v>
                </c:pt>
                <c:pt idx="50">
                  <c:v>1.3</c:v>
                </c:pt>
                <c:pt idx="51">
                  <c:v>1.3</c:v>
                </c:pt>
                <c:pt idx="52">
                  <c:v>1.66</c:v>
                </c:pt>
                <c:pt idx="53">
                  <c:v>2.19</c:v>
                </c:pt>
                <c:pt idx="54">
                  <c:v>1.8</c:v>
                </c:pt>
                <c:pt idx="55">
                  <c:v>1.75</c:v>
                </c:pt>
                <c:pt idx="56">
                  <c:v>1.52</c:v>
                </c:pt>
                <c:pt idx="57">
                  <c:v>1.7</c:v>
                </c:pt>
                <c:pt idx="58">
                  <c:v>2.59</c:v>
                </c:pt>
                <c:pt idx="59">
                  <c:v>4.75</c:v>
                </c:pt>
                <c:pt idx="60">
                  <c:v>4.42</c:v>
                </c:pt>
                <c:pt idx="61">
                  <c:v>4.34</c:v>
                </c:pt>
                <c:pt idx="62">
                  <c:v>4.65</c:v>
                </c:pt>
                <c:pt idx="63">
                  <c:v>5.5</c:v>
                </c:pt>
                <c:pt idx="64">
                  <c:v>12.52</c:v>
                </c:pt>
                <c:pt idx="65">
                  <c:v>19.48</c:v>
                </c:pt>
                <c:pt idx="66">
                  <c:v>10.01</c:v>
                </c:pt>
                <c:pt idx="67">
                  <c:v>7.93</c:v>
                </c:pt>
                <c:pt idx="68">
                  <c:v>11.33</c:v>
                </c:pt>
                <c:pt idx="69">
                  <c:v>8.06</c:v>
                </c:pt>
                <c:pt idx="70">
                  <c:v>6.16</c:v>
                </c:pt>
                <c:pt idx="71">
                  <c:v>5.4</c:v>
                </c:pt>
                <c:pt idx="72">
                  <c:v>7.05</c:v>
                </c:pt>
                <c:pt idx="73">
                  <c:v>6.42</c:v>
                </c:pt>
                <c:pt idx="74">
                  <c:v>5.42</c:v>
                </c:pt>
                <c:pt idx="75">
                  <c:v>4.76</c:v>
                </c:pt>
                <c:pt idx="76">
                  <c:v>3.99</c:v>
                </c:pt>
                <c:pt idx="77">
                  <c:v>3.92</c:v>
                </c:pt>
                <c:pt idx="78">
                  <c:v>4.41</c:v>
                </c:pt>
                <c:pt idx="79">
                  <c:v>5.3</c:v>
                </c:pt>
                <c:pt idx="80">
                  <c:v>5.2</c:v>
                </c:pt>
                <c:pt idx="81">
                  <c:v>5.15</c:v>
                </c:pt>
                <c:pt idx="82">
                  <c:v>5</c:v>
                </c:pt>
                <c:pt idx="83">
                  <c:v>5.5</c:v>
                </c:pt>
                <c:pt idx="84">
                  <c:v>5.28</c:v>
                </c:pt>
                <c:pt idx="85">
                  <c:v>4.9</c:v>
                </c:pt>
                <c:pt idx="86">
                  <c:v>4.39</c:v>
                </c:pt>
                <c:pt idx="87">
                  <c:v>4.6</c:v>
                </c:pt>
                <c:pt idx="88">
                  <c:v>4.95</c:v>
                </c:pt>
                <c:pt idx="89">
                  <c:v>6.69</c:v>
                </c:pt>
                <c:pt idx="90">
                  <c:v>7.39</c:v>
                </c:pt>
                <c:pt idx="91">
                  <c:v>11.83</c:v>
                </c:pt>
                <c:pt idx="92">
                  <c:v>13.51</c:v>
                </c:pt>
                <c:pt idx="93">
                  <c:v>14.98</c:v>
                </c:pt>
                <c:pt idx="94">
                  <c:v>14.77</c:v>
                </c:pt>
                <c:pt idx="95">
                  <c:v>20.51</c:v>
                </c:pt>
                <c:pt idx="96">
                  <c:v>35.56</c:v>
                </c:pt>
                <c:pt idx="97">
                  <c:v>31.63</c:v>
                </c:pt>
                <c:pt idx="98">
                  <c:v>23.53</c:v>
                </c:pt>
                <c:pt idx="99">
                  <c:v>18.76</c:v>
                </c:pt>
                <c:pt idx="100">
                  <c:v>15.51</c:v>
                </c:pt>
                <c:pt idx="101">
                  <c:v>17.13</c:v>
                </c:pt>
                <c:pt idx="102">
                  <c:v>17.24</c:v>
                </c:pt>
                <c:pt idx="103">
                  <c:v>15.64</c:v>
                </c:pt>
                <c:pt idx="104">
                  <c:v>16.36</c:v>
                </c:pt>
                <c:pt idx="105">
                  <c:v>20.8</c:v>
                </c:pt>
                <c:pt idx="106">
                  <c:v>24.97</c:v>
                </c:pt>
                <c:pt idx="107">
                  <c:v>21.67</c:v>
                </c:pt>
                <c:pt idx="108">
                  <c:v>23.58</c:v>
                </c:pt>
                <c:pt idx="109">
                  <c:v>28.13</c:v>
                </c:pt>
                <c:pt idx="110">
                  <c:v>41.5</c:v>
                </c:pt>
                <c:pt idx="111">
                  <c:v>96.08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296921"/>
        <c:axId val="66057118"/>
      </c:lineChart>
      <c:catAx>
        <c:axId val="22969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057118"/>
        <c:crosses val="autoZero"/>
        <c:auto val="1"/>
        <c:lblAlgn val="ctr"/>
        <c:lblOffset val="100"/>
        <c:noMultiLvlLbl val="0"/>
      </c:catAx>
      <c:valAx>
        <c:axId val="660571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Avg price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969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Top 10 currencies by global payment share (latest)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1"/>
        <c:ser>
          <c:idx val="0"/>
          <c:order val="0"/>
          <c:tx>
            <c:strRef>
              <c:f>Data_Currency!$C$1</c:f>
              <c:strCache>
                <c:ptCount val="1"/>
                <c:pt idx="0">
                  <c:v>GlobalPaymentShare</c:v>
                </c:pt>
              </c:strCache>
            </c:strRef>
          </c:tx>
          <c:spPr>
            <a:solidFill>
              <a:srgbClr val="14213d"/>
            </a:solidFill>
            <a:ln w="0">
              <a:noFill/>
            </a:ln>
          </c:spPr>
          <c:invertIfNegative val="0"/>
          <c:dPt>
            <c:idx val="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6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7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8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9"/>
            <c:spPr>
              <a:solidFill>
                <a:srgbClr val="0000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Data_Currency!$B$2:$B$11</c:f>
              <c:strCache>
                <c:ptCount val="10"/>
                <c:pt idx="0">
                  <c:v>USD</c:v>
                </c:pt>
                <c:pt idx="1">
                  <c:v>EUR</c:v>
                </c:pt>
                <c:pt idx="2">
                  <c:v>GBP</c:v>
                </c:pt>
                <c:pt idx="3">
                  <c:v>JPY</c:v>
                </c:pt>
                <c:pt idx="4">
                  <c:v>CNY</c:v>
                </c:pt>
                <c:pt idx="5">
                  <c:v>CAD</c:v>
                </c:pt>
                <c:pt idx="6">
                  <c:v>HKD</c:v>
                </c:pt>
                <c:pt idx="7">
                  <c:v>AUD</c:v>
                </c:pt>
                <c:pt idx="8">
                  <c:v>SGD</c:v>
                </c:pt>
                <c:pt idx="9">
                  <c:v>CHF</c:v>
                </c:pt>
              </c:strCache>
            </c:strRef>
          </c:cat>
          <c:val>
            <c:numRef>
              <c:f>Data_Currency!$C$2:$C$11</c:f>
              <c:numCache>
                <c:formatCode>General</c:formatCode>
                <c:ptCount val="10"/>
                <c:pt idx="0">
                  <c:v>51.14</c:v>
                </c:pt>
                <c:pt idx="1">
                  <c:v>21.3</c:v>
                </c:pt>
                <c:pt idx="2">
                  <c:v>6.54</c:v>
                </c:pt>
                <c:pt idx="3">
                  <c:v>3.53</c:v>
                </c:pt>
                <c:pt idx="4">
                  <c:v>3.1</c:v>
                </c:pt>
                <c:pt idx="5">
                  <c:v>3.03</c:v>
                </c:pt>
                <c:pt idx="6">
                  <c:v>1.76</c:v>
                </c:pt>
                <c:pt idx="7">
                  <c:v>1.61</c:v>
                </c:pt>
                <c:pt idx="8">
                  <c:v>1.23</c:v>
                </c:pt>
                <c:pt idx="9">
                  <c:v>1.07</c:v>
                </c:pt>
              </c:numCache>
            </c:numRef>
          </c:val>
        </c:ser>
        <c:gapWidth val="150"/>
        <c:overlap val="0"/>
        <c:axId val="69255827"/>
        <c:axId val="61543607"/>
      </c:barChart>
      <c:catAx>
        <c:axId val="692558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Currency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543607"/>
        <c:crosses val="autoZero"/>
        <c:auto val="1"/>
        <c:lblAlgn val="ctr"/>
        <c:lblOffset val="100"/>
        <c:noMultiLvlLbl val="0"/>
      </c:catAx>
      <c:valAx>
        <c:axId val="615436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Share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2558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Volatility by Market — Which Is Most Event-Sensitive?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KPI_Calc!B7</c:f>
              <c:strCache>
                <c:ptCount val="1"/>
                <c:pt idx="0">
                  <c:v>Volatility (Std Dev)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.0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KPI_Calc!$A$8:$A$11</c:f>
              <c:strCache>
                <c:ptCount val="4"/>
                <c:pt idx="0">
                  <c:v>Brent Oil</c:v>
                </c:pt>
                <c:pt idx="1">
                  <c:v>Silver</c:v>
                </c:pt>
                <c:pt idx="2">
                  <c:v>Gold</c:v>
                </c:pt>
                <c:pt idx="3">
                  <c:v>Currencies (USD basket)</c:v>
                </c:pt>
              </c:strCache>
            </c:strRef>
          </c:cat>
          <c:val>
            <c:numRef>
              <c:f>KPI_Calc!$B$8:$B$11</c:f>
              <c:numCache>
                <c:formatCode>0.00%</c:formatCode>
                <c:ptCount val="4"/>
                <c:pt idx="0">
                  <c:v>0.0905063183332827</c:v>
                </c:pt>
                <c:pt idx="1">
                  <c:v>0.0769481345819717</c:v>
                </c:pt>
                <c:pt idx="2">
                  <c:v>0.0429557101992683</c:v>
                </c:pt>
                <c:pt idx="3">
                  <c:v>0.025</c:v>
                </c:pt>
              </c:numCache>
            </c:numRef>
          </c:val>
        </c:ser>
        <c:gapWidth val="150"/>
        <c:overlap val="0"/>
        <c:axId val="17227865"/>
        <c:axId val="76207191"/>
      </c:barChart>
      <c:catAx>
        <c:axId val="172278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207191"/>
        <c:crosses val="autoZero"/>
        <c:auto val="1"/>
        <c:lblAlgn val="ctr"/>
        <c:lblOffset val="100"/>
        <c:noMultiLvlLbl val="0"/>
      </c:catAx>
      <c:valAx>
        <c:axId val="762071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Volatility (Std Dev, 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2278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BRICS+ Gold Reserve Share Growth (2019 → 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KPI_Calc!B14</c:f>
              <c:strCache>
                <c:ptCount val="1"/>
                <c:pt idx="0">
                  <c:v>Share of Global Gold Reserves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KPI_Calc!$A$15:$A$16</c:f>
              <c:strCache>
                <c:ptCount val="2"/>
                <c:pt idx="0">
                  <c:v>2019</c:v>
                </c:pt>
                <c:pt idx="1">
                  <c:v>2026</c:v>
                </c:pt>
              </c:strCache>
            </c:strRef>
          </c:cat>
          <c:val>
            <c:numRef>
              <c:f>KPI_Calc!$B$15:$B$16</c:f>
              <c:numCache>
                <c:formatCode>0.0%</c:formatCode>
                <c:ptCount val="2"/>
                <c:pt idx="0">
                  <c:v>0.112</c:v>
                </c:pt>
                <c:pt idx="1">
                  <c:v>0.174</c:v>
                </c:pt>
              </c:numCache>
            </c:numRef>
          </c:val>
        </c:ser>
        <c:gapWidth val="150"/>
        <c:overlap val="0"/>
        <c:axId val="2811979"/>
        <c:axId val="93553259"/>
      </c:barChart>
      <c:catAx>
        <c:axId val="28119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553259"/>
        <c:crosses val="autoZero"/>
        <c:auto val="1"/>
        <c:lblAlgn val="ctr"/>
        <c:lblOffset val="100"/>
        <c:noMultiLvlLbl val="0"/>
      </c:catAx>
      <c:valAx>
        <c:axId val="935532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Global Gold Reserves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119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8</xdr:col>
      <xdr:colOff>183960</xdr:colOff>
      <xdr:row>26</xdr:row>
      <xdr:rowOff>163440</xdr:rowOff>
    </xdr:to>
    <xdr:graphicFrame>
      <xdr:nvGraphicFramePr>
        <xdr:cNvPr id="0" name="Chart 1"/>
        <xdr:cNvGraphicFramePr/>
      </xdr:nvGraphicFramePr>
      <xdr:xfrm>
        <a:off x="0" y="2066760"/>
        <a:ext cx="719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8</xdr:col>
      <xdr:colOff>183960</xdr:colOff>
      <xdr:row>44</xdr:row>
      <xdr:rowOff>163440</xdr:rowOff>
    </xdr:to>
    <xdr:graphicFrame>
      <xdr:nvGraphicFramePr>
        <xdr:cNvPr id="1" name="Chart 2"/>
        <xdr:cNvGraphicFramePr/>
      </xdr:nvGraphicFramePr>
      <xdr:xfrm>
        <a:off x="0" y="5324400"/>
        <a:ext cx="719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53</xdr:row>
      <xdr:rowOff>0</xdr:rowOff>
    </xdr:from>
    <xdr:to>
      <xdr:col>9</xdr:col>
      <xdr:colOff>747000</xdr:colOff>
      <xdr:row>69</xdr:row>
      <xdr:rowOff>163800</xdr:rowOff>
    </xdr:to>
    <xdr:graphicFrame>
      <xdr:nvGraphicFramePr>
        <xdr:cNvPr id="2" name="Chart 3"/>
        <xdr:cNvGraphicFramePr/>
      </xdr:nvGraphicFramePr>
      <xdr:xfrm>
        <a:off x="0" y="9944280"/>
        <a:ext cx="863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77</xdr:row>
      <xdr:rowOff>0</xdr:rowOff>
    </xdr:from>
    <xdr:to>
      <xdr:col>9</xdr:col>
      <xdr:colOff>747000</xdr:colOff>
      <xdr:row>93</xdr:row>
      <xdr:rowOff>163800</xdr:rowOff>
    </xdr:to>
    <xdr:graphicFrame>
      <xdr:nvGraphicFramePr>
        <xdr:cNvPr id="3" name="Chart 4"/>
        <xdr:cNvGraphicFramePr/>
      </xdr:nvGraphicFramePr>
      <xdr:xfrm>
        <a:off x="0" y="14382720"/>
        <a:ext cx="863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Currency" displayName="tblCurrency" ref="A1:C11" headerRowCount="1" totalsRowCount="0" totalsRowShown="0">
  <autoFilter ref="A1:C11"/>
  <tableColumns count="3">
    <tableColumn id="1" name="Rank"/>
    <tableColumn id="2" name="Currency"/>
    <tableColumn id="3" name="GlobalPaymentShare"/>
  </tableColumns>
</table>
</file>

<file path=xl/tables/table2.xml><?xml version="1.0" encoding="utf-8"?>
<table xmlns="http://schemas.openxmlformats.org/spreadsheetml/2006/main" id="2" name="tblMonthly" displayName="tblMonthly" ref="A1:F3636" headerRowCount="1" totalsRowCount="0" totalsRowShown="0">
  <autoFilter ref="A1:F3636"/>
  <tableColumns count="6">
    <tableColumn id="1" name="Date"/>
    <tableColumn id="2" name="Year"/>
    <tableColumn id="3" name="Month"/>
    <tableColumn id="4" name="MonthName"/>
    <tableColumn id="5" name="Commodity"/>
    <tableColumn id="6" name="Pric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D4" activeCellId="0" sqref="D4"/>
    </sheetView>
  </sheetViews>
  <sheetFormatPr defaultColWidth="8.6796875" defaultRowHeight="14.25" zeroHeight="false" outlineLevelRow="0" outlineLevelCol="0"/>
  <cols>
    <col collapsed="false" customWidth="true" hidden="false" outlineLevel="0" max="12" min="1" style="1" width="12.44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3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3" t="s">
        <v>1</v>
      </c>
      <c r="D4" s="4" t="s">
        <v>2</v>
      </c>
      <c r="F4" s="5" t="s">
        <v>3</v>
      </c>
    </row>
    <row r="6" customFormat="false" ht="15.75" hidden="false" customHeight="true" outlineLevel="0" collapsed="false">
      <c r="A6" s="6" t="s">
        <v>4</v>
      </c>
      <c r="B6" s="6"/>
      <c r="C6" s="6"/>
      <c r="D6" s="7" t="s">
        <v>5</v>
      </c>
      <c r="E6" s="7"/>
      <c r="F6" s="7"/>
      <c r="G6" s="8" t="s">
        <v>6</v>
      </c>
      <c r="H6" s="8"/>
      <c r="I6" s="8"/>
      <c r="J6" s="9" t="s">
        <v>7</v>
      </c>
      <c r="K6" s="9"/>
      <c r="L6" s="9"/>
    </row>
    <row r="7" customFormat="false" ht="25.5" hidden="false" customHeight="true" outlineLevel="0" collapsed="false">
      <c r="A7" s="10" t="n">
        <f aca="false">INDEX(KPI_Calc!$B$2:$B$4,MATCH(Dashboard!$D$4,KPI_Calc!$A$2:$A$4,0))</f>
        <v>88.36</v>
      </c>
      <c r="B7" s="10"/>
      <c r="C7" s="10"/>
      <c r="D7" s="11" t="n">
        <f aca="false">INDEX(KPI_Calc!$D$2:$D$4,MATCH(Dashboard!$D$4,KPI_Calc!$A$2:$A$4,0))</f>
        <v>12.7594781697866</v>
      </c>
      <c r="E7" s="11"/>
      <c r="F7" s="11"/>
      <c r="G7" s="10" t="n">
        <f aca="false">INDEX(KPI_Calc!$E$2:$E$4,MATCH(Dashboard!$D$4,KPI_Calc!$A$2:$A$4,0))</f>
        <v>113.9528</v>
      </c>
      <c r="H7" s="10"/>
      <c r="I7" s="10"/>
      <c r="J7" s="10" t="n">
        <f aca="false">INDEX(KPI_Calc!$G$2:$G$4,MATCH(Dashboard!$D$4,KPI_Calc!$A$2:$A$4,0))</f>
        <v>0.28</v>
      </c>
      <c r="K7" s="10"/>
      <c r="L7" s="10"/>
    </row>
    <row r="8" customFormat="false" ht="14.25" hidden="false" customHeight="true" outlineLevel="0" collapsed="false">
      <c r="A8" s="10"/>
      <c r="B8" s="10"/>
      <c r="C8" s="10"/>
      <c r="D8" s="11"/>
      <c r="E8" s="11"/>
      <c r="F8" s="11"/>
      <c r="G8" s="10"/>
      <c r="H8" s="10"/>
      <c r="I8" s="10"/>
      <c r="J8" s="10"/>
      <c r="K8" s="10"/>
      <c r="L8" s="10"/>
    </row>
    <row r="9" customFormat="false" ht="14.25" hidden="false" customHeight="true" outlineLevel="0" collapsed="false">
      <c r="A9" s="12"/>
      <c r="B9" s="12"/>
      <c r="C9" s="12"/>
      <c r="D9" s="12"/>
      <c r="E9" s="12"/>
      <c r="F9" s="12"/>
      <c r="G9" s="12" t="str">
        <f aca="false">"in "&amp;INDEX(KPI_Calc!$F$2:$F$4,MATCH(Dashboard!$D$4,KPI_Calc!$A$2:$A$4,0))</f>
        <v>in 2026</v>
      </c>
      <c r="H9" s="12"/>
      <c r="I9" s="12"/>
      <c r="J9" s="12" t="str">
        <f aca="false">"in "&amp;INDEX(KPI_Calc!$H$2:$H$4,MATCH(Dashboard!$D$4,KPI_Calc!$A$2:$A$4,0))</f>
        <v>in 1932</v>
      </c>
      <c r="K9" s="12"/>
      <c r="L9" s="12"/>
    </row>
    <row r="46" customFormat="false" ht="21.75" hidden="false" customHeight="true" outlineLevel="0" collapsed="false">
      <c r="A46" s="13" t="s">
        <v>8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</row>
    <row r="47" customFormat="false" ht="14.25" hidden="false" customHeight="true" outlineLevel="0" collapsed="false">
      <c r="A47" s="7" t="s">
        <v>9</v>
      </c>
      <c r="B47" s="7"/>
      <c r="C47" s="7"/>
      <c r="D47" s="7" t="s">
        <v>10</v>
      </c>
      <c r="E47" s="7"/>
      <c r="F47" s="7"/>
      <c r="G47" s="7" t="s">
        <v>11</v>
      </c>
      <c r="H47" s="7"/>
      <c r="I47" s="7"/>
      <c r="J47" s="7" t="s">
        <v>12</v>
      </c>
      <c r="K47" s="7"/>
      <c r="L47" s="7"/>
    </row>
    <row r="48" customFormat="false" ht="14.25" hidden="false" customHeight="true" outlineLevel="0" collapsed="false">
      <c r="A48" s="14" t="s">
        <v>13</v>
      </c>
      <c r="B48" s="14"/>
      <c r="C48" s="14"/>
      <c r="D48" s="15" t="n">
        <f aca="false">KPI_Calc!B8</f>
        <v>0.0905063183332827</v>
      </c>
      <c r="E48" s="15"/>
      <c r="F48" s="15"/>
      <c r="G48" s="16" t="n">
        <f aca="false">KPI_Calc!C8</f>
        <v>1.32521908471276</v>
      </c>
      <c r="H48" s="16"/>
      <c r="I48" s="16"/>
      <c r="J48" s="17" t="n">
        <f aca="false">KPI_Calc!D8</f>
        <v>1</v>
      </c>
      <c r="K48" s="17"/>
      <c r="L48" s="17"/>
    </row>
    <row r="49" customFormat="false" ht="14.25" hidden="false" customHeight="true" outlineLevel="0" collapsed="false">
      <c r="A49" s="14" t="s">
        <v>2</v>
      </c>
      <c r="B49" s="14"/>
      <c r="C49" s="14"/>
      <c r="D49" s="15" t="n">
        <f aca="false">KPI_Calc!B9</f>
        <v>0.0769481345819717</v>
      </c>
      <c r="E49" s="15"/>
      <c r="F49" s="15"/>
      <c r="G49" s="16" t="n">
        <f aca="false">KPI_Calc!C9</f>
        <v>0.694736842105263</v>
      </c>
      <c r="H49" s="16"/>
      <c r="I49" s="16"/>
      <c r="J49" s="17" t="n">
        <f aca="false">KPI_Calc!D9</f>
        <v>2</v>
      </c>
      <c r="K49" s="17"/>
      <c r="L49" s="17"/>
    </row>
    <row r="50" customFormat="false" ht="14.25" hidden="false" customHeight="true" outlineLevel="0" collapsed="false">
      <c r="A50" s="14" t="s">
        <v>14</v>
      </c>
      <c r="B50" s="14"/>
      <c r="C50" s="14"/>
      <c r="D50" s="15" t="n">
        <f aca="false">KPI_Calc!B10</f>
        <v>0.0429557101992683</v>
      </c>
      <c r="E50" s="15"/>
      <c r="F50" s="15"/>
      <c r="G50" s="16" t="n">
        <f aca="false">KPI_Calc!C10</f>
        <v>0.322251605591235</v>
      </c>
      <c r="H50" s="16"/>
      <c r="I50" s="16"/>
      <c r="J50" s="17" t="n">
        <f aca="false">KPI_Calc!D10</f>
        <v>3</v>
      </c>
      <c r="K50" s="17"/>
      <c r="L50" s="17"/>
    </row>
    <row r="51" customFormat="false" ht="14.25" hidden="false" customHeight="true" outlineLevel="0" collapsed="false">
      <c r="A51" s="14" t="s">
        <v>15</v>
      </c>
      <c r="B51" s="14"/>
      <c r="C51" s="14"/>
      <c r="D51" s="15" t="n">
        <f aca="false">KPI_Calc!B11</f>
        <v>0.025</v>
      </c>
      <c r="E51" s="15"/>
      <c r="F51" s="15"/>
      <c r="G51" s="16" t="n">
        <f aca="false">KPI_Calc!C11</f>
        <v>0.1</v>
      </c>
      <c r="H51" s="16"/>
      <c r="I51" s="16"/>
      <c r="J51" s="17" t="n">
        <f aca="false">KPI_Calc!D11</f>
        <v>4</v>
      </c>
      <c r="K51" s="17"/>
      <c r="L51" s="17"/>
    </row>
    <row r="52" customFormat="false" ht="14.25" hidden="false" customHeight="true" outlineLevel="0" collapsed="false">
      <c r="A52" s="18" t="s">
        <v>16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</row>
    <row r="72" customFormat="false" ht="21.75" hidden="false" customHeight="true" outlineLevel="0" collapsed="false">
      <c r="A72" s="13" t="s">
        <v>17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</row>
    <row r="73" customFormat="false" ht="14.25" hidden="false" customHeight="true" outlineLevel="0" collapsed="false">
      <c r="A73" s="7" t="s">
        <v>18</v>
      </c>
      <c r="B73" s="7"/>
      <c r="C73" s="7"/>
      <c r="D73" s="7" t="s">
        <v>19</v>
      </c>
      <c r="E73" s="7"/>
      <c r="F73" s="7"/>
    </row>
    <row r="74" customFormat="false" ht="14.25" hidden="false" customHeight="true" outlineLevel="0" collapsed="false">
      <c r="A74" s="14" t="s">
        <v>20</v>
      </c>
      <c r="B74" s="14"/>
      <c r="C74" s="14"/>
      <c r="D74" s="16" t="n">
        <f aca="false">KPI_Calc!B15</f>
        <v>0.112</v>
      </c>
      <c r="E74" s="16"/>
      <c r="F74" s="16"/>
    </row>
    <row r="75" customFormat="false" ht="14.25" hidden="false" customHeight="true" outlineLevel="0" collapsed="false">
      <c r="A75" s="14" t="s">
        <v>21</v>
      </c>
      <c r="B75" s="14"/>
      <c r="C75" s="14"/>
      <c r="D75" s="16" t="n">
        <f aca="false">KPI_Calc!B16</f>
        <v>0.174</v>
      </c>
      <c r="E75" s="16"/>
      <c r="F75" s="16"/>
    </row>
    <row r="76" customFormat="false" ht="14.25" hidden="false" customHeight="true" outlineLevel="0" collapsed="false">
      <c r="A76" s="19" t="s">
        <v>22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96" customFormat="false" ht="21.75" hidden="false" customHeight="true" outlineLevel="0" collapsed="false">
      <c r="A96" s="13" t="s">
        <v>23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</row>
    <row r="97" customFormat="false" ht="15.75" hidden="false" customHeight="true" outlineLevel="0" collapsed="false">
      <c r="A97" s="20" t="s">
        <v>24</v>
      </c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</row>
    <row r="98" customFormat="false" ht="27.75" hidden="false" customHeight="true" outlineLevel="0" collapsed="false">
      <c r="A98" s="21" t="s">
        <v>25</v>
      </c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</row>
    <row r="100" customFormat="false" ht="15.75" hidden="false" customHeight="true" outlineLevel="0" collapsed="false">
      <c r="A100" s="20" t="s">
        <v>26</v>
      </c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</row>
    <row r="101" customFormat="false" ht="27.75" hidden="false" customHeight="true" outlineLevel="0" collapsed="false">
      <c r="A101" s="21" t="s">
        <v>27</v>
      </c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</row>
    <row r="103" customFormat="false" ht="15.75" hidden="false" customHeight="true" outlineLevel="0" collapsed="false">
      <c r="A103" s="20" t="s">
        <v>28</v>
      </c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</row>
    <row r="104" customFormat="false" ht="27.75" hidden="false" customHeight="true" outlineLevel="0" collapsed="false">
      <c r="A104" s="21" t="s">
        <v>29</v>
      </c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</row>
    <row r="106" customFormat="false" ht="21.75" hidden="false" customHeight="true" outlineLevel="0" collapsed="false">
      <c r="A106" s="22" t="s">
        <v>30</v>
      </c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</row>
    <row r="107" customFormat="false" ht="14.25" hidden="false" customHeight="true" outlineLevel="0" collapsed="false">
      <c r="A107" s="23" t="s">
        <v>31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</row>
    <row r="108" customFormat="false" ht="14.25" hidden="false" customHeight="true" outlineLevel="0" collapsed="false">
      <c r="A108" s="23" t="s">
        <v>32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</row>
    <row r="109" customFormat="false" ht="14.25" hidden="false" customHeight="true" outlineLevel="0" collapsed="false">
      <c r="A109" s="23" t="s">
        <v>33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</row>
    <row r="110" customFormat="false" ht="14.25" hidden="false" customHeight="true" outlineLevel="0" collapsed="false">
      <c r="A110" s="23" t="s">
        <v>34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</row>
    <row r="111" customFormat="false" ht="14.25" hidden="false" customHeight="true" outlineLevel="0" collapsed="false">
      <c r="A111" s="23" t="s">
        <v>35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</row>
  </sheetData>
  <mergeCells count="56">
    <mergeCell ref="A1:L2"/>
    <mergeCell ref="A6:C6"/>
    <mergeCell ref="D6:F6"/>
    <mergeCell ref="G6:I6"/>
    <mergeCell ref="J6:L6"/>
    <mergeCell ref="A7:C8"/>
    <mergeCell ref="D7:F8"/>
    <mergeCell ref="G7:I8"/>
    <mergeCell ref="J7:L8"/>
    <mergeCell ref="A9:C9"/>
    <mergeCell ref="D9:F9"/>
    <mergeCell ref="G9:I9"/>
    <mergeCell ref="J9:L9"/>
    <mergeCell ref="A46:L46"/>
    <mergeCell ref="A47:C47"/>
    <mergeCell ref="D47:F47"/>
    <mergeCell ref="G47:I47"/>
    <mergeCell ref="J47:L47"/>
    <mergeCell ref="A48:C48"/>
    <mergeCell ref="D48:F48"/>
    <mergeCell ref="G48:I48"/>
    <mergeCell ref="J48:L48"/>
    <mergeCell ref="A49:C49"/>
    <mergeCell ref="D49:F49"/>
    <mergeCell ref="G49:I49"/>
    <mergeCell ref="J49:L49"/>
    <mergeCell ref="A50:C50"/>
    <mergeCell ref="D50:F50"/>
    <mergeCell ref="G50:I50"/>
    <mergeCell ref="J50:L50"/>
    <mergeCell ref="A51:C51"/>
    <mergeCell ref="D51:F51"/>
    <mergeCell ref="G51:I51"/>
    <mergeCell ref="J51:L51"/>
    <mergeCell ref="A52:L52"/>
    <mergeCell ref="A72:L72"/>
    <mergeCell ref="A73:C73"/>
    <mergeCell ref="D73:F73"/>
    <mergeCell ref="A74:C74"/>
    <mergeCell ref="D74:F74"/>
    <mergeCell ref="A75:C75"/>
    <mergeCell ref="D75:F75"/>
    <mergeCell ref="A76:L76"/>
    <mergeCell ref="A96:L96"/>
    <mergeCell ref="A97:L97"/>
    <mergeCell ref="A98:L98"/>
    <mergeCell ref="A100:L100"/>
    <mergeCell ref="A101:L101"/>
    <mergeCell ref="A103:L103"/>
    <mergeCell ref="A104:L104"/>
    <mergeCell ref="A106:L106"/>
    <mergeCell ref="A107:L107"/>
    <mergeCell ref="A108:L108"/>
    <mergeCell ref="A109:L109"/>
    <mergeCell ref="A110:L110"/>
    <mergeCell ref="A111:L111"/>
  </mergeCells>
  <dataValidations count="1">
    <dataValidation allowBlank="false" errorStyle="stop" operator="between" showDropDown="false" showErrorMessage="false" showInputMessage="false" sqref="D4" type="list">
      <formula1>"Brent Oil,Gold,Silver"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7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36"/>
  <sheetViews>
    <sheetView showFormulas="false" showGridLines="true" showRowColHeaders="true" showZeros="true" rightToLeft="false" tabSelected="false" showOutlineSymbols="true" defaultGridColor="true" view="normal" topLeftCell="A70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6" min="1" style="1" width="15"/>
  </cols>
  <sheetData>
    <row r="1" customFormat="false" ht="14.25" hidden="false" customHeight="true" outlineLevel="0" collapsed="false">
      <c r="A1" s="24" t="s">
        <v>36</v>
      </c>
      <c r="B1" s="24" t="s">
        <v>18</v>
      </c>
      <c r="C1" s="24" t="s">
        <v>37</v>
      </c>
      <c r="D1" s="24" t="s">
        <v>38</v>
      </c>
      <c r="E1" s="24" t="s">
        <v>39</v>
      </c>
      <c r="F1" s="24" t="s">
        <v>40</v>
      </c>
      <c r="G1" s="25" t="s">
        <v>41</v>
      </c>
    </row>
    <row r="2" customFormat="false" ht="14.25" hidden="false" customHeight="true" outlineLevel="0" collapsed="false">
      <c r="A2" s="26" t="n">
        <v>16803</v>
      </c>
      <c r="B2" s="1" t="n">
        <v>1946</v>
      </c>
      <c r="C2" s="1" t="n">
        <v>1</v>
      </c>
      <c r="D2" s="1" t="s">
        <v>42</v>
      </c>
      <c r="E2" s="1" t="s">
        <v>13</v>
      </c>
      <c r="F2" s="1" t="n">
        <v>21.23</v>
      </c>
    </row>
    <row r="3" customFormat="false" ht="14.25" hidden="false" customHeight="true" outlineLevel="0" collapsed="false">
      <c r="A3" s="26" t="n">
        <v>16834</v>
      </c>
      <c r="B3" s="1" t="n">
        <v>1946</v>
      </c>
      <c r="C3" s="1" t="n">
        <v>2</v>
      </c>
      <c r="D3" s="1" t="s">
        <v>43</v>
      </c>
      <c r="E3" s="1" t="s">
        <v>13</v>
      </c>
      <c r="F3" s="1" t="n">
        <v>21.35</v>
      </c>
      <c r="G3" s="1" t="n">
        <f aca="false">IF(E3=E2,F3/F2-1,"")</f>
        <v>0.00565237870937363</v>
      </c>
    </row>
    <row r="4" customFormat="false" ht="14.25" hidden="false" customHeight="true" outlineLevel="0" collapsed="false">
      <c r="A4" s="26" t="n">
        <v>16862</v>
      </c>
      <c r="B4" s="1" t="n">
        <v>1946</v>
      </c>
      <c r="C4" s="1" t="n">
        <v>3</v>
      </c>
      <c r="D4" s="1" t="s">
        <v>44</v>
      </c>
      <c r="E4" s="1" t="s">
        <v>13</v>
      </c>
      <c r="F4" s="1" t="n">
        <v>21.11</v>
      </c>
      <c r="G4" s="1" t="n">
        <f aca="false">IF(E4=E3,F4/F3-1,"")</f>
        <v>-0.011241217798595</v>
      </c>
    </row>
    <row r="5" customFormat="false" ht="14.25" hidden="false" customHeight="true" outlineLevel="0" collapsed="false">
      <c r="A5" s="26" t="n">
        <v>16893</v>
      </c>
      <c r="B5" s="1" t="n">
        <v>1946</v>
      </c>
      <c r="C5" s="1" t="n">
        <v>4</v>
      </c>
      <c r="D5" s="1" t="s">
        <v>45</v>
      </c>
      <c r="E5" s="1" t="s">
        <v>13</v>
      </c>
      <c r="F5" s="1" t="n">
        <v>22.79</v>
      </c>
      <c r="G5" s="1" t="n">
        <f aca="false">IF(E5=E4,F5/F4-1,"")</f>
        <v>0.0795831359545238</v>
      </c>
    </row>
    <row r="6" customFormat="false" ht="14.25" hidden="false" customHeight="true" outlineLevel="0" collapsed="false">
      <c r="A6" s="26" t="n">
        <v>16923</v>
      </c>
      <c r="B6" s="1" t="n">
        <v>1946</v>
      </c>
      <c r="C6" s="1" t="n">
        <v>5</v>
      </c>
      <c r="D6" s="1" t="s">
        <v>46</v>
      </c>
      <c r="E6" s="1" t="s">
        <v>13</v>
      </c>
      <c r="F6" s="1" t="n">
        <v>22.67</v>
      </c>
      <c r="G6" s="1" t="n">
        <f aca="false">IF(E6=E5,F6/F5-1,"")</f>
        <v>-0.0052654673102237</v>
      </c>
    </row>
    <row r="7" customFormat="false" ht="14.25" hidden="false" customHeight="true" outlineLevel="0" collapsed="false">
      <c r="A7" s="26" t="n">
        <v>16954</v>
      </c>
      <c r="B7" s="1" t="n">
        <v>1946</v>
      </c>
      <c r="C7" s="1" t="n">
        <v>6</v>
      </c>
      <c r="D7" s="1" t="s">
        <v>47</v>
      </c>
      <c r="E7" s="1" t="s">
        <v>13</v>
      </c>
      <c r="F7" s="1" t="n">
        <v>22.43</v>
      </c>
      <c r="G7" s="1" t="n">
        <f aca="false">IF(E7=E6,F7/F6-1,"")</f>
        <v>-0.0105866784296428</v>
      </c>
    </row>
    <row r="8" customFormat="false" ht="14.25" hidden="false" customHeight="true" outlineLevel="0" collapsed="false">
      <c r="A8" s="26" t="n">
        <v>16984</v>
      </c>
      <c r="B8" s="1" t="n">
        <v>1946</v>
      </c>
      <c r="C8" s="1" t="n">
        <v>7</v>
      </c>
      <c r="D8" s="1" t="s">
        <v>48</v>
      </c>
      <c r="E8" s="1" t="s">
        <v>13</v>
      </c>
      <c r="F8" s="1" t="n">
        <v>21.18</v>
      </c>
      <c r="G8" s="1" t="n">
        <f aca="false">IF(E8=E7,F8/F7-1,"")</f>
        <v>-0.0557289344627731</v>
      </c>
    </row>
    <row r="9" customFormat="false" ht="14.25" hidden="false" customHeight="true" outlineLevel="0" collapsed="false">
      <c r="A9" s="26" t="n">
        <v>17015</v>
      </c>
      <c r="B9" s="1" t="n">
        <v>1946</v>
      </c>
      <c r="C9" s="1" t="n">
        <v>8</v>
      </c>
      <c r="D9" s="1" t="s">
        <v>49</v>
      </c>
      <c r="E9" s="1" t="s">
        <v>13</v>
      </c>
      <c r="F9" s="1" t="n">
        <v>24.85</v>
      </c>
      <c r="G9" s="1" t="n">
        <f aca="false">IF(E9=E8,F9/F8-1,"")</f>
        <v>0.173276676109537</v>
      </c>
    </row>
    <row r="10" customFormat="false" ht="14.25" hidden="false" customHeight="true" outlineLevel="0" collapsed="false">
      <c r="A10" s="26" t="n">
        <v>17046</v>
      </c>
      <c r="B10" s="1" t="n">
        <v>1946</v>
      </c>
      <c r="C10" s="1" t="n">
        <v>9</v>
      </c>
      <c r="D10" s="1" t="s">
        <v>50</v>
      </c>
      <c r="E10" s="1" t="s">
        <v>13</v>
      </c>
      <c r="F10" s="1" t="n">
        <v>24.6</v>
      </c>
      <c r="G10" s="1" t="n">
        <f aca="false">IF(E10=E9,F10/F9-1,"")</f>
        <v>-0.0100603621730382</v>
      </c>
    </row>
    <row r="11" customFormat="false" ht="14.25" hidden="false" customHeight="true" outlineLevel="0" collapsed="false">
      <c r="A11" s="26" t="n">
        <v>17076</v>
      </c>
      <c r="B11" s="1" t="n">
        <v>1946</v>
      </c>
      <c r="C11" s="1" t="n">
        <v>10</v>
      </c>
      <c r="D11" s="1" t="s">
        <v>51</v>
      </c>
      <c r="E11" s="1" t="s">
        <v>13</v>
      </c>
      <c r="F11" s="1" t="n">
        <v>24.13</v>
      </c>
      <c r="G11" s="1" t="n">
        <f aca="false">IF(E11=E10,F11/F10-1,"")</f>
        <v>-0.0191056910569106</v>
      </c>
    </row>
    <row r="12" customFormat="false" ht="14.25" hidden="false" customHeight="true" outlineLevel="0" collapsed="false">
      <c r="A12" s="26" t="n">
        <v>17107</v>
      </c>
      <c r="B12" s="1" t="n">
        <v>1946</v>
      </c>
      <c r="C12" s="1" t="n">
        <v>11</v>
      </c>
      <c r="D12" s="1" t="s">
        <v>52</v>
      </c>
      <c r="E12" s="1" t="s">
        <v>13</v>
      </c>
      <c r="F12" s="1" t="n">
        <v>23.56</v>
      </c>
      <c r="G12" s="1" t="n">
        <f aca="false">IF(E12=E11,F12/F11-1,"")</f>
        <v>-0.0236220472440944</v>
      </c>
    </row>
    <row r="13" customFormat="false" ht="14.25" hidden="false" customHeight="true" outlineLevel="0" collapsed="false">
      <c r="A13" s="26" t="n">
        <v>17137</v>
      </c>
      <c r="B13" s="1" t="n">
        <v>1946</v>
      </c>
      <c r="C13" s="1" t="n">
        <v>12</v>
      </c>
      <c r="D13" s="1" t="s">
        <v>53</v>
      </c>
      <c r="E13" s="1" t="s">
        <v>13</v>
      </c>
      <c r="F13" s="1" t="n">
        <v>24.88</v>
      </c>
      <c r="G13" s="1" t="n">
        <f aca="false">IF(E13=E12,F13/F12-1,"")</f>
        <v>0.0560271646859083</v>
      </c>
    </row>
    <row r="14" customFormat="false" ht="14.25" hidden="false" customHeight="true" outlineLevel="0" collapsed="false">
      <c r="A14" s="26" t="n">
        <v>17168</v>
      </c>
      <c r="B14" s="1" t="n">
        <v>1947</v>
      </c>
      <c r="C14" s="1" t="n">
        <v>1</v>
      </c>
      <c r="D14" s="1" t="s">
        <v>42</v>
      </c>
      <c r="E14" s="1" t="s">
        <v>13</v>
      </c>
      <c r="F14" s="1" t="n">
        <v>24.88</v>
      </c>
      <c r="G14" s="1" t="n">
        <f aca="false">IF(E14=E13,F14/F13-1,"")</f>
        <v>0</v>
      </c>
    </row>
    <row r="15" customFormat="false" ht="14.25" hidden="false" customHeight="true" outlineLevel="0" collapsed="false">
      <c r="A15" s="26" t="n">
        <v>17199</v>
      </c>
      <c r="B15" s="1" t="n">
        <v>1947</v>
      </c>
      <c r="C15" s="1" t="n">
        <v>2</v>
      </c>
      <c r="D15" s="1" t="s">
        <v>43</v>
      </c>
      <c r="E15" s="1" t="s">
        <v>13</v>
      </c>
      <c r="F15" s="1" t="n">
        <v>24.88</v>
      </c>
      <c r="G15" s="1" t="n">
        <f aca="false">IF(E15=E14,F15/F14-1,"")</f>
        <v>0</v>
      </c>
    </row>
    <row r="16" customFormat="false" ht="14.25" hidden="false" customHeight="true" outlineLevel="0" collapsed="false">
      <c r="A16" s="26" t="n">
        <v>17227</v>
      </c>
      <c r="B16" s="1" t="n">
        <v>1947</v>
      </c>
      <c r="C16" s="1" t="n">
        <v>3</v>
      </c>
      <c r="D16" s="1" t="s">
        <v>44</v>
      </c>
      <c r="E16" s="1" t="s">
        <v>13</v>
      </c>
      <c r="F16" s="1" t="n">
        <v>24.43</v>
      </c>
      <c r="G16" s="1" t="n">
        <f aca="false">IF(E16=E15,F16/F15-1,"")</f>
        <v>-0.0180868167202573</v>
      </c>
    </row>
    <row r="17" customFormat="false" ht="14.25" hidden="false" customHeight="true" outlineLevel="0" collapsed="false">
      <c r="A17" s="26" t="n">
        <v>17258</v>
      </c>
      <c r="B17" s="1" t="n">
        <v>1947</v>
      </c>
      <c r="C17" s="1" t="n">
        <v>4</v>
      </c>
      <c r="D17" s="1" t="s">
        <v>45</v>
      </c>
      <c r="E17" s="1" t="s">
        <v>13</v>
      </c>
      <c r="F17" s="1" t="n">
        <v>28.2</v>
      </c>
      <c r="G17" s="1" t="n">
        <f aca="false">IF(E17=E16,F17/F16-1,"")</f>
        <v>0.154318460908719</v>
      </c>
    </row>
    <row r="18" customFormat="false" ht="14.25" hidden="false" customHeight="true" outlineLevel="0" collapsed="false">
      <c r="A18" s="26" t="n">
        <v>17288</v>
      </c>
      <c r="B18" s="1" t="n">
        <v>1947</v>
      </c>
      <c r="C18" s="1" t="n">
        <v>5</v>
      </c>
      <c r="D18" s="1" t="s">
        <v>46</v>
      </c>
      <c r="E18" s="1" t="s">
        <v>13</v>
      </c>
      <c r="F18" s="1" t="n">
        <v>28.2</v>
      </c>
      <c r="G18" s="1" t="n">
        <f aca="false">IF(E18=E17,F18/F17-1,"")</f>
        <v>0</v>
      </c>
    </row>
    <row r="19" customFormat="false" ht="14.25" hidden="false" customHeight="true" outlineLevel="0" collapsed="false">
      <c r="A19" s="26" t="n">
        <v>17319</v>
      </c>
      <c r="B19" s="1" t="n">
        <v>1947</v>
      </c>
      <c r="C19" s="1" t="n">
        <v>6</v>
      </c>
      <c r="D19" s="1" t="s">
        <v>47</v>
      </c>
      <c r="E19" s="1" t="s">
        <v>13</v>
      </c>
      <c r="F19" s="1" t="n">
        <v>28.07</v>
      </c>
      <c r="G19" s="1" t="n">
        <f aca="false">IF(E19=E18,F19/F18-1,"")</f>
        <v>-0.00460992907801416</v>
      </c>
    </row>
    <row r="20" customFormat="false" ht="14.25" hidden="false" customHeight="true" outlineLevel="0" collapsed="false">
      <c r="A20" s="26" t="n">
        <v>17349</v>
      </c>
      <c r="B20" s="1" t="n">
        <v>1947</v>
      </c>
      <c r="C20" s="1" t="n">
        <v>7</v>
      </c>
      <c r="D20" s="1" t="s">
        <v>48</v>
      </c>
      <c r="E20" s="1" t="s">
        <v>13</v>
      </c>
      <c r="F20" s="1" t="n">
        <v>27.82</v>
      </c>
      <c r="G20" s="1" t="n">
        <f aca="false">IF(E20=E19,F20/F19-1,"")</f>
        <v>-0.00890630566441042</v>
      </c>
    </row>
    <row r="21" customFormat="false" ht="14.25" hidden="false" customHeight="true" outlineLevel="0" collapsed="false">
      <c r="A21" s="26" t="n">
        <v>17380</v>
      </c>
      <c r="B21" s="1" t="n">
        <v>1947</v>
      </c>
      <c r="C21" s="1" t="n">
        <v>8</v>
      </c>
      <c r="D21" s="1" t="s">
        <v>49</v>
      </c>
      <c r="E21" s="1" t="s">
        <v>13</v>
      </c>
      <c r="F21" s="1" t="n">
        <v>27.44</v>
      </c>
      <c r="G21" s="1" t="n">
        <f aca="false">IF(E21=E20,F21/F20-1,"")</f>
        <v>-0.0136592379583034</v>
      </c>
    </row>
    <row r="22" customFormat="false" ht="14.25" hidden="false" customHeight="true" outlineLevel="0" collapsed="false">
      <c r="A22" s="26" t="n">
        <v>17411</v>
      </c>
      <c r="B22" s="1" t="n">
        <v>1947</v>
      </c>
      <c r="C22" s="1" t="n">
        <v>9</v>
      </c>
      <c r="D22" s="1" t="s">
        <v>50</v>
      </c>
      <c r="E22" s="1" t="s">
        <v>13</v>
      </c>
      <c r="F22" s="1" t="n">
        <v>26.85</v>
      </c>
      <c r="G22" s="1" t="n">
        <f aca="false">IF(E22=E21,F22/F21-1,"")</f>
        <v>-0.0215014577259475</v>
      </c>
    </row>
    <row r="23" customFormat="false" ht="14.25" hidden="false" customHeight="true" outlineLevel="0" collapsed="false">
      <c r="A23" s="26" t="n">
        <v>17441</v>
      </c>
      <c r="B23" s="1" t="n">
        <v>1947</v>
      </c>
      <c r="C23" s="1" t="n">
        <v>10</v>
      </c>
      <c r="D23" s="1" t="s">
        <v>51</v>
      </c>
      <c r="E23" s="1" t="s">
        <v>13</v>
      </c>
      <c r="F23" s="1" t="n">
        <v>26.85</v>
      </c>
      <c r="G23" s="1" t="n">
        <f aca="false">IF(E23=E22,F23/F22-1,"")</f>
        <v>0</v>
      </c>
    </row>
    <row r="24" customFormat="false" ht="14.25" hidden="false" customHeight="true" outlineLevel="0" collapsed="false">
      <c r="A24" s="26" t="n">
        <v>17472</v>
      </c>
      <c r="B24" s="1" t="n">
        <v>1947</v>
      </c>
      <c r="C24" s="1" t="n">
        <v>11</v>
      </c>
      <c r="D24" s="1" t="s">
        <v>52</v>
      </c>
      <c r="E24" s="1" t="s">
        <v>13</v>
      </c>
      <c r="F24" s="1" t="n">
        <v>29.59</v>
      </c>
      <c r="G24" s="1" t="n">
        <f aca="false">IF(E24=E23,F24/F23-1,"")</f>
        <v>0.102048417132216</v>
      </c>
    </row>
    <row r="25" customFormat="false" ht="14.25" hidden="false" customHeight="true" outlineLevel="0" collapsed="false">
      <c r="A25" s="26" t="n">
        <v>17502</v>
      </c>
      <c r="B25" s="1" t="n">
        <v>1947</v>
      </c>
      <c r="C25" s="1" t="n">
        <v>12</v>
      </c>
      <c r="D25" s="1" t="s">
        <v>53</v>
      </c>
      <c r="E25" s="1" t="s">
        <v>13</v>
      </c>
      <c r="F25" s="1" t="n">
        <v>29.21</v>
      </c>
      <c r="G25" s="1" t="n">
        <f aca="false">IF(E25=E24,F25/F24-1,"")</f>
        <v>-0.0128421764109496</v>
      </c>
    </row>
    <row r="26" customFormat="false" ht="14.25" hidden="false" customHeight="true" outlineLevel="0" collapsed="false">
      <c r="A26" s="26" t="n">
        <v>17533</v>
      </c>
      <c r="B26" s="1" t="n">
        <v>1948</v>
      </c>
      <c r="C26" s="1" t="n">
        <v>1</v>
      </c>
      <c r="D26" s="1" t="s">
        <v>42</v>
      </c>
      <c r="E26" s="1" t="s">
        <v>13</v>
      </c>
      <c r="F26" s="1" t="n">
        <v>35.81</v>
      </c>
      <c r="G26" s="1" t="n">
        <f aca="false">IF(E26=E25,F26/F25-1,"")</f>
        <v>0.225950017117426</v>
      </c>
    </row>
    <row r="27" customFormat="false" ht="14.25" hidden="false" customHeight="true" outlineLevel="0" collapsed="false">
      <c r="A27" s="26" t="n">
        <v>17564</v>
      </c>
      <c r="B27" s="1" t="n">
        <v>1948</v>
      </c>
      <c r="C27" s="1" t="n">
        <v>2</v>
      </c>
      <c r="D27" s="1" t="s">
        <v>43</v>
      </c>
      <c r="E27" s="1" t="s">
        <v>13</v>
      </c>
      <c r="F27" s="1" t="n">
        <v>36.11</v>
      </c>
      <c r="G27" s="1" t="n">
        <f aca="false">IF(E27=E26,F27/F26-1,"")</f>
        <v>0.00837754817090186</v>
      </c>
    </row>
    <row r="28" customFormat="false" ht="14.25" hidden="false" customHeight="true" outlineLevel="0" collapsed="false">
      <c r="A28" s="26" t="n">
        <v>17593</v>
      </c>
      <c r="B28" s="1" t="n">
        <v>1948</v>
      </c>
      <c r="C28" s="1" t="n">
        <v>3</v>
      </c>
      <c r="D28" s="1" t="s">
        <v>44</v>
      </c>
      <c r="E28" s="1" t="s">
        <v>13</v>
      </c>
      <c r="F28" s="1" t="n">
        <v>36.27</v>
      </c>
      <c r="G28" s="1" t="n">
        <f aca="false">IF(E28=E27,F28/F27-1,"")</f>
        <v>0.00443090556632519</v>
      </c>
    </row>
    <row r="29" customFormat="false" ht="14.25" hidden="false" customHeight="true" outlineLevel="0" collapsed="false">
      <c r="A29" s="26" t="n">
        <v>17624</v>
      </c>
      <c r="B29" s="1" t="n">
        <v>1948</v>
      </c>
      <c r="C29" s="1" t="n">
        <v>4</v>
      </c>
      <c r="D29" s="1" t="s">
        <v>45</v>
      </c>
      <c r="E29" s="1" t="s">
        <v>13</v>
      </c>
      <c r="F29" s="1" t="n">
        <v>35.66</v>
      </c>
      <c r="G29" s="1" t="n">
        <f aca="false">IF(E29=E28,F29/F28-1,"")</f>
        <v>-0.0168183071408879</v>
      </c>
    </row>
    <row r="30" customFormat="false" ht="14.25" hidden="false" customHeight="true" outlineLevel="0" collapsed="false">
      <c r="A30" s="26" t="n">
        <v>17654</v>
      </c>
      <c r="B30" s="1" t="n">
        <v>1948</v>
      </c>
      <c r="C30" s="1" t="n">
        <v>5</v>
      </c>
      <c r="D30" s="1" t="s">
        <v>46</v>
      </c>
      <c r="E30" s="1" t="s">
        <v>13</v>
      </c>
      <c r="F30" s="1" t="n">
        <v>35.51</v>
      </c>
      <c r="G30" s="1" t="n">
        <f aca="false">IF(E30=E29,F30/F29-1,"")</f>
        <v>-0.004206393718452</v>
      </c>
    </row>
    <row r="31" customFormat="false" ht="14.25" hidden="false" customHeight="true" outlineLevel="0" collapsed="false">
      <c r="A31" s="26" t="n">
        <v>17685</v>
      </c>
      <c r="B31" s="1" t="n">
        <v>1948</v>
      </c>
      <c r="C31" s="1" t="n">
        <v>6</v>
      </c>
      <c r="D31" s="1" t="s">
        <v>47</v>
      </c>
      <c r="E31" s="1" t="s">
        <v>13</v>
      </c>
      <c r="F31" s="1" t="n">
        <v>35.21</v>
      </c>
      <c r="G31" s="1" t="n">
        <f aca="false">IF(E31=E30,F31/F30-1,"")</f>
        <v>-0.00844832441565746</v>
      </c>
    </row>
    <row r="32" customFormat="false" ht="14.25" hidden="false" customHeight="true" outlineLevel="0" collapsed="false">
      <c r="A32" s="26" t="n">
        <v>17715</v>
      </c>
      <c r="B32" s="1" t="n">
        <v>1948</v>
      </c>
      <c r="C32" s="1" t="n">
        <v>7</v>
      </c>
      <c r="D32" s="1" t="s">
        <v>48</v>
      </c>
      <c r="E32" s="1" t="s">
        <v>13</v>
      </c>
      <c r="F32" s="1" t="n">
        <v>34.78</v>
      </c>
      <c r="G32" s="1" t="n">
        <f aca="false">IF(E32=E31,F32/F31-1,"")</f>
        <v>-0.0122124396478274</v>
      </c>
    </row>
    <row r="33" customFormat="false" ht="14.25" hidden="false" customHeight="true" outlineLevel="0" collapsed="false">
      <c r="A33" s="26" t="n">
        <v>17746</v>
      </c>
      <c r="B33" s="1" t="n">
        <v>1948</v>
      </c>
      <c r="C33" s="1" t="n">
        <v>8</v>
      </c>
      <c r="D33" s="1" t="s">
        <v>49</v>
      </c>
      <c r="E33" s="1" t="s">
        <v>13</v>
      </c>
      <c r="F33" s="1" t="n">
        <v>34.64</v>
      </c>
      <c r="G33" s="1" t="n">
        <f aca="false">IF(E33=E32,F33/F32-1,"")</f>
        <v>-0.00402530189764239</v>
      </c>
    </row>
    <row r="34" customFormat="false" ht="14.25" hidden="false" customHeight="true" outlineLevel="0" collapsed="false">
      <c r="A34" s="26" t="n">
        <v>17777</v>
      </c>
      <c r="B34" s="1" t="n">
        <v>1948</v>
      </c>
      <c r="C34" s="1" t="n">
        <v>9</v>
      </c>
      <c r="D34" s="1" t="s">
        <v>50</v>
      </c>
      <c r="E34" s="1" t="s">
        <v>13</v>
      </c>
      <c r="F34" s="1" t="n">
        <v>34.64</v>
      </c>
      <c r="G34" s="1" t="n">
        <f aca="false">IF(E34=E33,F34/F33-1,"")</f>
        <v>0</v>
      </c>
    </row>
    <row r="35" customFormat="false" ht="14.25" hidden="false" customHeight="true" outlineLevel="0" collapsed="false">
      <c r="A35" s="26" t="n">
        <v>17807</v>
      </c>
      <c r="B35" s="1" t="n">
        <v>1948</v>
      </c>
      <c r="C35" s="1" t="n">
        <v>10</v>
      </c>
      <c r="D35" s="1" t="s">
        <v>51</v>
      </c>
      <c r="E35" s="1" t="s">
        <v>13</v>
      </c>
      <c r="F35" s="1" t="n">
        <v>34.78</v>
      </c>
      <c r="G35" s="1" t="n">
        <f aca="false">IF(E35=E34,F35/F34-1,"")</f>
        <v>0.00404157043879905</v>
      </c>
    </row>
    <row r="36" customFormat="false" ht="14.25" hidden="false" customHeight="true" outlineLevel="0" collapsed="false">
      <c r="A36" s="26" t="n">
        <v>17838</v>
      </c>
      <c r="B36" s="1" t="n">
        <v>1948</v>
      </c>
      <c r="C36" s="1" t="n">
        <v>11</v>
      </c>
      <c r="D36" s="1" t="s">
        <v>52</v>
      </c>
      <c r="E36" s="1" t="s">
        <v>13</v>
      </c>
      <c r="F36" s="1" t="n">
        <v>35.07</v>
      </c>
      <c r="G36" s="1" t="n">
        <f aca="false">IF(E36=E35,F36/F35-1,"")</f>
        <v>0.00833812535940193</v>
      </c>
    </row>
    <row r="37" customFormat="false" ht="14.25" hidden="false" customHeight="true" outlineLevel="0" collapsed="false">
      <c r="A37" s="26" t="n">
        <v>17868</v>
      </c>
      <c r="B37" s="1" t="n">
        <v>1948</v>
      </c>
      <c r="C37" s="1" t="n">
        <v>12</v>
      </c>
      <c r="D37" s="1" t="s">
        <v>53</v>
      </c>
      <c r="E37" s="1" t="s">
        <v>13</v>
      </c>
      <c r="F37" s="1" t="n">
        <v>35.21</v>
      </c>
      <c r="G37" s="1" t="n">
        <f aca="false">IF(E37=E36,F37/F36-1,"")</f>
        <v>0.00399201596806398</v>
      </c>
    </row>
    <row r="38" customFormat="false" ht="14.25" hidden="false" customHeight="true" outlineLevel="0" collapsed="false">
      <c r="A38" s="26" t="n">
        <v>17899</v>
      </c>
      <c r="B38" s="1" t="n">
        <v>1949</v>
      </c>
      <c r="C38" s="1" t="n">
        <v>1</v>
      </c>
      <c r="D38" s="1" t="s">
        <v>42</v>
      </c>
      <c r="E38" s="1" t="s">
        <v>13</v>
      </c>
      <c r="F38" s="1" t="n">
        <v>35.36</v>
      </c>
      <c r="G38" s="1" t="n">
        <f aca="false">IF(E38=E37,F38/F37-1,"")</f>
        <v>0.0042601533655211</v>
      </c>
    </row>
    <row r="39" customFormat="false" ht="14.25" hidden="false" customHeight="true" outlineLevel="0" collapsed="false">
      <c r="A39" s="26" t="n">
        <v>17930</v>
      </c>
      <c r="B39" s="1" t="n">
        <v>1949</v>
      </c>
      <c r="C39" s="1" t="n">
        <v>2</v>
      </c>
      <c r="D39" s="1" t="s">
        <v>43</v>
      </c>
      <c r="E39" s="1" t="s">
        <v>13</v>
      </c>
      <c r="F39" s="1" t="n">
        <v>35.66</v>
      </c>
      <c r="G39" s="1" t="n">
        <f aca="false">IF(E39=E38,F39/F38-1,"")</f>
        <v>0.00848416289592757</v>
      </c>
    </row>
    <row r="40" customFormat="false" ht="14.25" hidden="false" customHeight="true" outlineLevel="0" collapsed="false">
      <c r="A40" s="26" t="n">
        <v>17958</v>
      </c>
      <c r="B40" s="1" t="n">
        <v>1949</v>
      </c>
      <c r="C40" s="1" t="n">
        <v>3</v>
      </c>
      <c r="D40" s="1" t="s">
        <v>44</v>
      </c>
      <c r="E40" s="1" t="s">
        <v>13</v>
      </c>
      <c r="F40" s="1" t="n">
        <v>35.66</v>
      </c>
      <c r="G40" s="1" t="n">
        <f aca="false">IF(E40=E39,F40/F39-1,"")</f>
        <v>0</v>
      </c>
    </row>
    <row r="41" customFormat="false" ht="14.25" hidden="false" customHeight="true" outlineLevel="0" collapsed="false">
      <c r="A41" s="26" t="n">
        <v>17989</v>
      </c>
      <c r="B41" s="1" t="n">
        <v>1949</v>
      </c>
      <c r="C41" s="1" t="n">
        <v>4</v>
      </c>
      <c r="D41" s="1" t="s">
        <v>45</v>
      </c>
      <c r="E41" s="1" t="s">
        <v>13</v>
      </c>
      <c r="F41" s="1" t="n">
        <v>35.51</v>
      </c>
      <c r="G41" s="1" t="n">
        <f aca="false">IF(E41=E40,F41/F40-1,"")</f>
        <v>-0.004206393718452</v>
      </c>
    </row>
    <row r="42" customFormat="false" ht="14.25" hidden="false" customHeight="true" outlineLevel="0" collapsed="false">
      <c r="A42" s="26" t="n">
        <v>18019</v>
      </c>
      <c r="B42" s="1" t="n">
        <v>1949</v>
      </c>
      <c r="C42" s="1" t="n">
        <v>5</v>
      </c>
      <c r="D42" s="1" t="s">
        <v>46</v>
      </c>
      <c r="E42" s="1" t="s">
        <v>13</v>
      </c>
      <c r="F42" s="1" t="n">
        <v>35.66</v>
      </c>
      <c r="G42" s="1" t="n">
        <f aca="false">IF(E42=E41,F42/F41-1,"")</f>
        <v>0.00422416220782873</v>
      </c>
    </row>
    <row r="43" customFormat="false" ht="14.25" hidden="false" customHeight="true" outlineLevel="0" collapsed="false">
      <c r="A43" s="26" t="n">
        <v>18050</v>
      </c>
      <c r="B43" s="1" t="n">
        <v>1949</v>
      </c>
      <c r="C43" s="1" t="n">
        <v>6</v>
      </c>
      <c r="D43" s="1" t="s">
        <v>47</v>
      </c>
      <c r="E43" s="1" t="s">
        <v>13</v>
      </c>
      <c r="F43" s="1" t="n">
        <v>35.51</v>
      </c>
      <c r="G43" s="1" t="n">
        <f aca="false">IF(E43=E42,F43/F42-1,"")</f>
        <v>-0.004206393718452</v>
      </c>
    </row>
    <row r="44" customFormat="false" ht="14.25" hidden="false" customHeight="true" outlineLevel="0" collapsed="false">
      <c r="A44" s="26" t="n">
        <v>18080</v>
      </c>
      <c r="B44" s="1" t="n">
        <v>1949</v>
      </c>
      <c r="C44" s="1" t="n">
        <v>7</v>
      </c>
      <c r="D44" s="1" t="s">
        <v>48</v>
      </c>
      <c r="E44" s="1" t="s">
        <v>13</v>
      </c>
      <c r="F44" s="1" t="n">
        <v>35.81</v>
      </c>
      <c r="G44" s="1" t="n">
        <f aca="false">IF(E44=E43,F44/F43-1,"")</f>
        <v>0.00844832441565768</v>
      </c>
    </row>
    <row r="45" customFormat="false" ht="14.25" hidden="false" customHeight="true" outlineLevel="0" collapsed="false">
      <c r="A45" s="26" t="n">
        <v>18111</v>
      </c>
      <c r="B45" s="1" t="n">
        <v>1949</v>
      </c>
      <c r="C45" s="1" t="n">
        <v>8</v>
      </c>
      <c r="D45" s="1" t="s">
        <v>49</v>
      </c>
      <c r="E45" s="1" t="s">
        <v>13</v>
      </c>
      <c r="F45" s="1" t="n">
        <v>35.66</v>
      </c>
      <c r="G45" s="1" t="n">
        <f aca="false">IF(E45=E44,F45/F44-1,"")</f>
        <v>-0.00418877408545115</v>
      </c>
    </row>
    <row r="46" customFormat="false" ht="14.25" hidden="false" customHeight="true" outlineLevel="0" collapsed="false">
      <c r="A46" s="26" t="n">
        <v>18142</v>
      </c>
      <c r="B46" s="1" t="n">
        <v>1949</v>
      </c>
      <c r="C46" s="1" t="n">
        <v>9</v>
      </c>
      <c r="D46" s="1" t="s">
        <v>50</v>
      </c>
      <c r="E46" s="1" t="s">
        <v>13</v>
      </c>
      <c r="F46" s="1" t="n">
        <v>35.51</v>
      </c>
      <c r="G46" s="1" t="n">
        <f aca="false">IF(E46=E45,F46/F45-1,"")</f>
        <v>-0.004206393718452</v>
      </c>
    </row>
    <row r="47" customFormat="false" ht="14.25" hidden="false" customHeight="true" outlineLevel="0" collapsed="false">
      <c r="A47" s="26" t="n">
        <v>18172</v>
      </c>
      <c r="B47" s="1" t="n">
        <v>1949</v>
      </c>
      <c r="C47" s="1" t="n">
        <v>10</v>
      </c>
      <c r="D47" s="1" t="s">
        <v>51</v>
      </c>
      <c r="E47" s="1" t="s">
        <v>13</v>
      </c>
      <c r="F47" s="1" t="n">
        <v>35.81</v>
      </c>
      <c r="G47" s="1" t="n">
        <f aca="false">IF(E47=E46,F47/F46-1,"")</f>
        <v>0.00844832441565768</v>
      </c>
    </row>
    <row r="48" customFormat="false" ht="14.25" hidden="false" customHeight="true" outlineLevel="0" collapsed="false">
      <c r="A48" s="26" t="n">
        <v>18203</v>
      </c>
      <c r="B48" s="1" t="n">
        <v>1949</v>
      </c>
      <c r="C48" s="1" t="n">
        <v>11</v>
      </c>
      <c r="D48" s="1" t="s">
        <v>52</v>
      </c>
      <c r="E48" s="1" t="s">
        <v>13</v>
      </c>
      <c r="F48" s="1" t="n">
        <v>35.66</v>
      </c>
      <c r="G48" s="1" t="n">
        <f aca="false">IF(E48=E47,F48/F47-1,"")</f>
        <v>-0.00418877408545115</v>
      </c>
    </row>
    <row r="49" customFormat="false" ht="14.25" hidden="false" customHeight="true" outlineLevel="0" collapsed="false">
      <c r="A49" s="26" t="n">
        <v>18233</v>
      </c>
      <c r="B49" s="1" t="n">
        <v>1949</v>
      </c>
      <c r="C49" s="1" t="n">
        <v>12</v>
      </c>
      <c r="D49" s="1" t="s">
        <v>53</v>
      </c>
      <c r="E49" s="1" t="s">
        <v>13</v>
      </c>
      <c r="F49" s="1" t="n">
        <v>35.96</v>
      </c>
      <c r="G49" s="1" t="n">
        <f aca="false">IF(E49=E48,F49/F48-1,"")</f>
        <v>0.00841278743690421</v>
      </c>
    </row>
    <row r="50" customFormat="false" ht="14.25" hidden="false" customHeight="true" outlineLevel="0" collapsed="false">
      <c r="A50" s="26" t="n">
        <v>18264</v>
      </c>
      <c r="B50" s="1" t="n">
        <v>1950</v>
      </c>
      <c r="C50" s="1" t="n">
        <v>1</v>
      </c>
      <c r="D50" s="1" t="s">
        <v>42</v>
      </c>
      <c r="E50" s="1" t="s">
        <v>13</v>
      </c>
      <c r="F50" s="1" t="n">
        <v>36.11</v>
      </c>
      <c r="G50" s="1" t="n">
        <f aca="false">IF(E50=E49,F50/F49-1,"")</f>
        <v>0.00417130144605116</v>
      </c>
    </row>
    <row r="51" customFormat="false" ht="14.25" hidden="false" customHeight="true" outlineLevel="0" collapsed="false">
      <c r="A51" s="26" t="n">
        <v>18295</v>
      </c>
      <c r="B51" s="1" t="n">
        <v>1950</v>
      </c>
      <c r="C51" s="1" t="n">
        <v>2</v>
      </c>
      <c r="D51" s="1" t="s">
        <v>43</v>
      </c>
      <c r="E51" s="1" t="s">
        <v>13</v>
      </c>
      <c r="F51" s="1" t="n">
        <v>36.11</v>
      </c>
      <c r="G51" s="1" t="n">
        <f aca="false">IF(E51=E50,F51/F50-1,"")</f>
        <v>0</v>
      </c>
    </row>
    <row r="52" customFormat="false" ht="14.25" hidden="false" customHeight="true" outlineLevel="0" collapsed="false">
      <c r="A52" s="26" t="n">
        <v>18323</v>
      </c>
      <c r="B52" s="1" t="n">
        <v>1950</v>
      </c>
      <c r="C52" s="1" t="n">
        <v>3</v>
      </c>
      <c r="D52" s="1" t="s">
        <v>44</v>
      </c>
      <c r="E52" s="1" t="s">
        <v>13</v>
      </c>
      <c r="F52" s="1" t="n">
        <v>35.96</v>
      </c>
      <c r="G52" s="1" t="n">
        <f aca="false">IF(E52=E51,F52/F51-1,"")</f>
        <v>-0.00415397396842976</v>
      </c>
    </row>
    <row r="53" customFormat="false" ht="14.25" hidden="false" customHeight="true" outlineLevel="0" collapsed="false">
      <c r="A53" s="26" t="n">
        <v>18354</v>
      </c>
      <c r="B53" s="1" t="n">
        <v>1950</v>
      </c>
      <c r="C53" s="1" t="n">
        <v>4</v>
      </c>
      <c r="D53" s="1" t="s">
        <v>45</v>
      </c>
      <c r="E53" s="1" t="s">
        <v>13</v>
      </c>
      <c r="F53" s="1" t="n">
        <v>35.96</v>
      </c>
      <c r="G53" s="1" t="n">
        <f aca="false">IF(E53=E52,F53/F52-1,"")</f>
        <v>0</v>
      </c>
    </row>
    <row r="54" customFormat="false" ht="14.25" hidden="false" customHeight="true" outlineLevel="0" collapsed="false">
      <c r="A54" s="26" t="n">
        <v>18384</v>
      </c>
      <c r="B54" s="1" t="n">
        <v>1950</v>
      </c>
      <c r="C54" s="1" t="n">
        <v>5</v>
      </c>
      <c r="D54" s="1" t="s">
        <v>46</v>
      </c>
      <c r="E54" s="1" t="s">
        <v>13</v>
      </c>
      <c r="F54" s="1" t="n">
        <v>35.81</v>
      </c>
      <c r="G54" s="1" t="n">
        <f aca="false">IF(E54=E53,F54/F53-1,"")</f>
        <v>-0.00417130144605116</v>
      </c>
    </row>
    <row r="55" customFormat="false" ht="14.25" hidden="false" customHeight="true" outlineLevel="0" collapsed="false">
      <c r="A55" s="26" t="n">
        <v>18415</v>
      </c>
      <c r="B55" s="1" t="n">
        <v>1950</v>
      </c>
      <c r="C55" s="1" t="n">
        <v>6</v>
      </c>
      <c r="D55" s="1" t="s">
        <v>47</v>
      </c>
      <c r="E55" s="1" t="s">
        <v>13</v>
      </c>
      <c r="F55" s="1" t="n">
        <v>35.66</v>
      </c>
      <c r="G55" s="1" t="n">
        <f aca="false">IF(E55=E54,F55/F54-1,"")</f>
        <v>-0.00418877408545115</v>
      </c>
    </row>
    <row r="56" customFormat="false" ht="14.25" hidden="false" customHeight="true" outlineLevel="0" collapsed="false">
      <c r="A56" s="26" t="n">
        <v>18445</v>
      </c>
      <c r="B56" s="1" t="n">
        <v>1950</v>
      </c>
      <c r="C56" s="1" t="n">
        <v>7</v>
      </c>
      <c r="D56" s="1" t="s">
        <v>48</v>
      </c>
      <c r="E56" s="1" t="s">
        <v>13</v>
      </c>
      <c r="F56" s="1" t="n">
        <v>35.21</v>
      </c>
      <c r="G56" s="1" t="n">
        <f aca="false">IF(E56=E55,F56/F55-1,"")</f>
        <v>-0.012619181155356</v>
      </c>
    </row>
    <row r="57" customFormat="false" ht="14.25" hidden="false" customHeight="true" outlineLevel="0" collapsed="false">
      <c r="A57" s="26" t="n">
        <v>18476</v>
      </c>
      <c r="B57" s="1" t="n">
        <v>1950</v>
      </c>
      <c r="C57" s="1" t="n">
        <v>8</v>
      </c>
      <c r="D57" s="1" t="s">
        <v>49</v>
      </c>
      <c r="E57" s="1" t="s">
        <v>13</v>
      </c>
      <c r="F57" s="1" t="n">
        <v>34.92</v>
      </c>
      <c r="G57" s="1" t="n">
        <f aca="false">IF(E57=E56,F57/F56-1,"")</f>
        <v>-0.00823629650667423</v>
      </c>
    </row>
    <row r="58" customFormat="false" ht="14.25" hidden="false" customHeight="true" outlineLevel="0" collapsed="false">
      <c r="A58" s="26" t="n">
        <v>18507</v>
      </c>
      <c r="B58" s="1" t="n">
        <v>1950</v>
      </c>
      <c r="C58" s="1" t="n">
        <v>9</v>
      </c>
      <c r="D58" s="1" t="s">
        <v>50</v>
      </c>
      <c r="E58" s="1" t="s">
        <v>13</v>
      </c>
      <c r="F58" s="1" t="n">
        <v>34.78</v>
      </c>
      <c r="G58" s="1" t="n">
        <f aca="false">IF(E58=E57,F58/F57-1,"")</f>
        <v>-0.00400916380297822</v>
      </c>
    </row>
    <row r="59" customFormat="false" ht="14.25" hidden="false" customHeight="true" outlineLevel="0" collapsed="false">
      <c r="A59" s="26" t="n">
        <v>18537</v>
      </c>
      <c r="B59" s="1" t="n">
        <v>1950</v>
      </c>
      <c r="C59" s="1" t="n">
        <v>10</v>
      </c>
      <c r="D59" s="1" t="s">
        <v>51</v>
      </c>
      <c r="E59" s="1" t="s">
        <v>13</v>
      </c>
      <c r="F59" s="1" t="n">
        <v>34.5</v>
      </c>
      <c r="G59" s="1" t="n">
        <f aca="false">IF(E59=E58,F59/F58-1,"")</f>
        <v>-0.00805060379528466</v>
      </c>
    </row>
    <row r="60" customFormat="false" ht="14.25" hidden="false" customHeight="true" outlineLevel="0" collapsed="false">
      <c r="A60" s="26" t="n">
        <v>18568</v>
      </c>
      <c r="B60" s="1" t="n">
        <v>1950</v>
      </c>
      <c r="C60" s="1" t="n">
        <v>11</v>
      </c>
      <c r="D60" s="1" t="s">
        <v>52</v>
      </c>
      <c r="E60" s="1" t="s">
        <v>13</v>
      </c>
      <c r="F60" s="1" t="n">
        <v>34.36</v>
      </c>
      <c r="G60" s="1" t="n">
        <f aca="false">IF(E60=E59,F60/F59-1,"")</f>
        <v>-0.00405797101449279</v>
      </c>
    </row>
    <row r="61" customFormat="false" ht="14.25" hidden="false" customHeight="true" outlineLevel="0" collapsed="false">
      <c r="A61" s="26" t="n">
        <v>18598</v>
      </c>
      <c r="B61" s="1" t="n">
        <v>1950</v>
      </c>
      <c r="C61" s="1" t="n">
        <v>12</v>
      </c>
      <c r="D61" s="1" t="s">
        <v>53</v>
      </c>
      <c r="E61" s="1" t="s">
        <v>13</v>
      </c>
      <c r="F61" s="1" t="n">
        <v>33.95</v>
      </c>
      <c r="G61" s="1" t="n">
        <f aca="false">IF(E61=E60,F61/F60-1,"")</f>
        <v>-0.0119324796274737</v>
      </c>
    </row>
    <row r="62" customFormat="false" ht="14.25" hidden="false" customHeight="true" outlineLevel="0" collapsed="false">
      <c r="A62" s="26" t="n">
        <v>18629</v>
      </c>
      <c r="B62" s="1" t="n">
        <v>1951</v>
      </c>
      <c r="C62" s="1" t="n">
        <v>1</v>
      </c>
      <c r="D62" s="1" t="s">
        <v>42</v>
      </c>
      <c r="E62" s="1" t="s">
        <v>13</v>
      </c>
      <c r="F62" s="1" t="n">
        <v>33.41</v>
      </c>
      <c r="G62" s="1" t="n">
        <f aca="false">IF(E62=E61,F62/F61-1,"")</f>
        <v>-0.0159057437407955</v>
      </c>
    </row>
    <row r="63" customFormat="false" ht="14.25" hidden="false" customHeight="true" outlineLevel="0" collapsed="false">
      <c r="A63" s="26" t="n">
        <v>18660</v>
      </c>
      <c r="B63" s="1" t="n">
        <v>1951</v>
      </c>
      <c r="C63" s="1" t="n">
        <v>2</v>
      </c>
      <c r="D63" s="1" t="s">
        <v>43</v>
      </c>
      <c r="E63" s="1" t="s">
        <v>13</v>
      </c>
      <c r="F63" s="1" t="n">
        <v>33.02</v>
      </c>
      <c r="G63" s="1" t="n">
        <f aca="false">IF(E63=E62,F63/F62-1,"")</f>
        <v>-0.0116731517509726</v>
      </c>
    </row>
    <row r="64" customFormat="false" ht="14.25" hidden="false" customHeight="true" outlineLevel="0" collapsed="false">
      <c r="A64" s="26" t="n">
        <v>18688</v>
      </c>
      <c r="B64" s="1" t="n">
        <v>1951</v>
      </c>
      <c r="C64" s="1" t="n">
        <v>3</v>
      </c>
      <c r="D64" s="1" t="s">
        <v>44</v>
      </c>
      <c r="E64" s="1" t="s">
        <v>13</v>
      </c>
      <c r="F64" s="1" t="n">
        <v>32.89</v>
      </c>
      <c r="G64" s="1" t="n">
        <f aca="false">IF(E64=E63,F64/F63-1,"")</f>
        <v>-0.00393700787401585</v>
      </c>
    </row>
    <row r="65" customFormat="false" ht="14.25" hidden="false" customHeight="true" outlineLevel="0" collapsed="false">
      <c r="A65" s="26" t="n">
        <v>18719</v>
      </c>
      <c r="B65" s="1" t="n">
        <v>1951</v>
      </c>
      <c r="C65" s="1" t="n">
        <v>4</v>
      </c>
      <c r="D65" s="1" t="s">
        <v>45</v>
      </c>
      <c r="E65" s="1" t="s">
        <v>13</v>
      </c>
      <c r="F65" s="1" t="n">
        <v>32.89</v>
      </c>
      <c r="G65" s="1" t="n">
        <f aca="false">IF(E65=E64,F65/F64-1,"")</f>
        <v>0</v>
      </c>
    </row>
    <row r="66" customFormat="false" ht="14.25" hidden="false" customHeight="true" outlineLevel="0" collapsed="false">
      <c r="A66" s="26" t="n">
        <v>18749</v>
      </c>
      <c r="B66" s="1" t="n">
        <v>1951</v>
      </c>
      <c r="C66" s="1" t="n">
        <v>5</v>
      </c>
      <c r="D66" s="1" t="s">
        <v>46</v>
      </c>
      <c r="E66" s="1" t="s">
        <v>13</v>
      </c>
      <c r="F66" s="1" t="n">
        <v>32.77</v>
      </c>
      <c r="G66" s="1" t="n">
        <f aca="false">IF(E66=E65,F66/F65-1,"")</f>
        <v>-0.0036485253876557</v>
      </c>
    </row>
    <row r="67" customFormat="false" ht="14.25" hidden="false" customHeight="true" outlineLevel="0" collapsed="false">
      <c r="A67" s="26" t="n">
        <v>18780</v>
      </c>
      <c r="B67" s="1" t="n">
        <v>1951</v>
      </c>
      <c r="C67" s="1" t="n">
        <v>6</v>
      </c>
      <c r="D67" s="1" t="s">
        <v>47</v>
      </c>
      <c r="E67" s="1" t="s">
        <v>13</v>
      </c>
      <c r="F67" s="1" t="n">
        <v>32.77</v>
      </c>
      <c r="G67" s="1" t="n">
        <f aca="false">IF(E67=E66,F67/F66-1,"")</f>
        <v>0</v>
      </c>
    </row>
    <row r="68" customFormat="false" ht="14.25" hidden="false" customHeight="true" outlineLevel="0" collapsed="false">
      <c r="A68" s="26" t="n">
        <v>18810</v>
      </c>
      <c r="B68" s="1" t="n">
        <v>1951</v>
      </c>
      <c r="C68" s="1" t="n">
        <v>7</v>
      </c>
      <c r="D68" s="1" t="s">
        <v>48</v>
      </c>
      <c r="E68" s="1" t="s">
        <v>13</v>
      </c>
      <c r="F68" s="1" t="n">
        <v>32.77</v>
      </c>
      <c r="G68" s="1" t="n">
        <f aca="false">IF(E68=E67,F68/F67-1,"")</f>
        <v>0</v>
      </c>
    </row>
    <row r="69" customFormat="false" ht="14.25" hidden="false" customHeight="true" outlineLevel="0" collapsed="false">
      <c r="A69" s="26" t="n">
        <v>18841</v>
      </c>
      <c r="B69" s="1" t="n">
        <v>1951</v>
      </c>
      <c r="C69" s="1" t="n">
        <v>8</v>
      </c>
      <c r="D69" s="1" t="s">
        <v>49</v>
      </c>
      <c r="E69" s="1" t="s">
        <v>13</v>
      </c>
      <c r="F69" s="1" t="n">
        <v>32.77</v>
      </c>
      <c r="G69" s="1" t="n">
        <f aca="false">IF(E69=E68,F69/F68-1,"")</f>
        <v>0</v>
      </c>
    </row>
    <row r="70" customFormat="false" ht="14.25" hidden="false" customHeight="true" outlineLevel="0" collapsed="false">
      <c r="A70" s="26" t="n">
        <v>18872</v>
      </c>
      <c r="B70" s="1" t="n">
        <v>1951</v>
      </c>
      <c r="C70" s="1" t="n">
        <v>9</v>
      </c>
      <c r="D70" s="1" t="s">
        <v>50</v>
      </c>
      <c r="E70" s="1" t="s">
        <v>13</v>
      </c>
      <c r="F70" s="1" t="n">
        <v>32.52</v>
      </c>
      <c r="G70" s="1" t="n">
        <f aca="false">IF(E70=E69,F70/F69-1,"")</f>
        <v>-0.00762892889838263</v>
      </c>
    </row>
    <row r="71" customFormat="false" ht="14.25" hidden="false" customHeight="true" outlineLevel="0" collapsed="false">
      <c r="A71" s="26" t="n">
        <v>18902</v>
      </c>
      <c r="B71" s="1" t="n">
        <v>1951</v>
      </c>
      <c r="C71" s="1" t="n">
        <v>10</v>
      </c>
      <c r="D71" s="1" t="s">
        <v>51</v>
      </c>
      <c r="E71" s="1" t="s">
        <v>13</v>
      </c>
      <c r="F71" s="1" t="n">
        <v>32.39</v>
      </c>
      <c r="G71" s="1" t="n">
        <f aca="false">IF(E71=E70,F71/F70-1,"")</f>
        <v>-0.00399753997539987</v>
      </c>
    </row>
    <row r="72" customFormat="false" ht="14.25" hidden="false" customHeight="true" outlineLevel="0" collapsed="false">
      <c r="A72" s="26" t="n">
        <v>18933</v>
      </c>
      <c r="B72" s="1" t="n">
        <v>1951</v>
      </c>
      <c r="C72" s="1" t="n">
        <v>11</v>
      </c>
      <c r="D72" s="1" t="s">
        <v>52</v>
      </c>
      <c r="E72" s="1" t="s">
        <v>13</v>
      </c>
      <c r="F72" s="1" t="n">
        <v>32.15</v>
      </c>
      <c r="G72" s="1" t="n">
        <f aca="false">IF(E72=E71,F72/F71-1,"")</f>
        <v>-0.00740969435010808</v>
      </c>
    </row>
    <row r="73" customFormat="false" ht="14.25" hidden="false" customHeight="true" outlineLevel="0" collapsed="false">
      <c r="A73" s="26" t="n">
        <v>18963</v>
      </c>
      <c r="B73" s="1" t="n">
        <v>1951</v>
      </c>
      <c r="C73" s="1" t="n">
        <v>12</v>
      </c>
      <c r="D73" s="1" t="s">
        <v>53</v>
      </c>
      <c r="E73" s="1" t="s">
        <v>13</v>
      </c>
      <c r="F73" s="1" t="n">
        <v>32.02</v>
      </c>
      <c r="G73" s="1" t="n">
        <f aca="false">IF(E73=E72,F73/F72-1,"")</f>
        <v>-0.00404354587869349</v>
      </c>
    </row>
    <row r="74" customFormat="false" ht="14.25" hidden="false" customHeight="true" outlineLevel="0" collapsed="false">
      <c r="A74" s="26" t="n">
        <v>18994</v>
      </c>
      <c r="B74" s="1" t="n">
        <v>1952</v>
      </c>
      <c r="C74" s="1" t="n">
        <v>1</v>
      </c>
      <c r="D74" s="1" t="s">
        <v>42</v>
      </c>
      <c r="E74" s="1" t="s">
        <v>13</v>
      </c>
      <c r="F74" s="1" t="n">
        <v>32.02</v>
      </c>
      <c r="G74" s="1" t="n">
        <f aca="false">IF(E74=E73,F74/F73-1,"")</f>
        <v>0</v>
      </c>
    </row>
    <row r="75" customFormat="false" ht="14.25" hidden="false" customHeight="true" outlineLevel="0" collapsed="false">
      <c r="A75" s="26" t="n">
        <v>19025</v>
      </c>
      <c r="B75" s="1" t="n">
        <v>1952</v>
      </c>
      <c r="C75" s="1" t="n">
        <v>2</v>
      </c>
      <c r="D75" s="1" t="s">
        <v>43</v>
      </c>
      <c r="E75" s="1" t="s">
        <v>13</v>
      </c>
      <c r="F75" s="1" t="n">
        <v>32.27</v>
      </c>
      <c r="G75" s="1" t="n">
        <f aca="false">IF(E75=E74,F75/F74-1,"")</f>
        <v>0.0078076202373516</v>
      </c>
    </row>
    <row r="76" customFormat="false" ht="14.25" hidden="false" customHeight="true" outlineLevel="0" collapsed="false">
      <c r="A76" s="26" t="n">
        <v>19054</v>
      </c>
      <c r="B76" s="1" t="n">
        <v>1952</v>
      </c>
      <c r="C76" s="1" t="n">
        <v>3</v>
      </c>
      <c r="D76" s="1" t="s">
        <v>44</v>
      </c>
      <c r="E76" s="1" t="s">
        <v>13</v>
      </c>
      <c r="F76" s="1" t="n">
        <v>32.27</v>
      </c>
      <c r="G76" s="1" t="n">
        <f aca="false">IF(E76=E75,F76/F75-1,"")</f>
        <v>0</v>
      </c>
    </row>
    <row r="77" customFormat="false" ht="14.25" hidden="false" customHeight="true" outlineLevel="0" collapsed="false">
      <c r="A77" s="26" t="n">
        <v>19085</v>
      </c>
      <c r="B77" s="1" t="n">
        <v>1952</v>
      </c>
      <c r="C77" s="1" t="n">
        <v>4</v>
      </c>
      <c r="D77" s="1" t="s">
        <v>45</v>
      </c>
      <c r="E77" s="1" t="s">
        <v>13</v>
      </c>
      <c r="F77" s="1" t="n">
        <v>32.15</v>
      </c>
      <c r="G77" s="1" t="n">
        <f aca="false">IF(E77=E76,F77/F76-1,"")</f>
        <v>-0.00371862410907975</v>
      </c>
    </row>
    <row r="78" customFormat="false" ht="14.25" hidden="false" customHeight="true" outlineLevel="0" collapsed="false">
      <c r="A78" s="26" t="n">
        <v>19115</v>
      </c>
      <c r="B78" s="1" t="n">
        <v>1952</v>
      </c>
      <c r="C78" s="1" t="n">
        <v>5</v>
      </c>
      <c r="D78" s="1" t="s">
        <v>46</v>
      </c>
      <c r="E78" s="1" t="s">
        <v>13</v>
      </c>
      <c r="F78" s="1" t="n">
        <v>32.15</v>
      </c>
      <c r="G78" s="1" t="n">
        <f aca="false">IF(E78=E77,F78/F77-1,"")</f>
        <v>0</v>
      </c>
    </row>
    <row r="79" customFormat="false" ht="14.25" hidden="false" customHeight="true" outlineLevel="0" collapsed="false">
      <c r="A79" s="26" t="n">
        <v>19146</v>
      </c>
      <c r="B79" s="1" t="n">
        <v>1952</v>
      </c>
      <c r="C79" s="1" t="n">
        <v>6</v>
      </c>
      <c r="D79" s="1" t="s">
        <v>47</v>
      </c>
      <c r="E79" s="1" t="s">
        <v>13</v>
      </c>
      <c r="F79" s="1" t="n">
        <v>32.02</v>
      </c>
      <c r="G79" s="1" t="n">
        <f aca="false">IF(E79=E78,F79/F78-1,"")</f>
        <v>-0.00404354587869349</v>
      </c>
    </row>
    <row r="80" customFormat="false" ht="14.25" hidden="false" customHeight="true" outlineLevel="0" collapsed="false">
      <c r="A80" s="26" t="n">
        <v>19176</v>
      </c>
      <c r="B80" s="1" t="n">
        <v>1952</v>
      </c>
      <c r="C80" s="1" t="n">
        <v>7</v>
      </c>
      <c r="D80" s="1" t="s">
        <v>48</v>
      </c>
      <c r="E80" s="1" t="s">
        <v>13</v>
      </c>
      <c r="F80" s="1" t="n">
        <v>31.78</v>
      </c>
      <c r="G80" s="1" t="n">
        <f aca="false">IF(E80=E79,F80/F79-1,"")</f>
        <v>-0.00749531542785764</v>
      </c>
    </row>
    <row r="81" customFormat="false" ht="14.25" hidden="false" customHeight="true" outlineLevel="0" collapsed="false">
      <c r="A81" s="26" t="n">
        <v>19207</v>
      </c>
      <c r="B81" s="1" t="n">
        <v>1952</v>
      </c>
      <c r="C81" s="1" t="n">
        <v>8</v>
      </c>
      <c r="D81" s="1" t="s">
        <v>49</v>
      </c>
      <c r="E81" s="1" t="s">
        <v>13</v>
      </c>
      <c r="F81" s="1" t="n">
        <v>31.78</v>
      </c>
      <c r="G81" s="1" t="n">
        <f aca="false">IF(E81=E80,F81/F80-1,"")</f>
        <v>0</v>
      </c>
    </row>
    <row r="82" customFormat="false" ht="14.25" hidden="false" customHeight="true" outlineLevel="0" collapsed="false">
      <c r="A82" s="26" t="n">
        <v>19238</v>
      </c>
      <c r="B82" s="1" t="n">
        <v>1952</v>
      </c>
      <c r="C82" s="1" t="n">
        <v>9</v>
      </c>
      <c r="D82" s="1" t="s">
        <v>50</v>
      </c>
      <c r="E82" s="1" t="s">
        <v>13</v>
      </c>
      <c r="F82" s="1" t="n">
        <v>31.78</v>
      </c>
      <c r="G82" s="1" t="n">
        <f aca="false">IF(E82=E81,F82/F81-1,"")</f>
        <v>0</v>
      </c>
    </row>
    <row r="83" customFormat="false" ht="14.25" hidden="false" customHeight="true" outlineLevel="0" collapsed="false">
      <c r="A83" s="26" t="n">
        <v>19268</v>
      </c>
      <c r="B83" s="1" t="n">
        <v>1952</v>
      </c>
      <c r="C83" s="1" t="n">
        <v>10</v>
      </c>
      <c r="D83" s="1" t="s">
        <v>51</v>
      </c>
      <c r="E83" s="1" t="s">
        <v>13</v>
      </c>
      <c r="F83" s="1" t="n">
        <v>31.78</v>
      </c>
      <c r="G83" s="1" t="n">
        <f aca="false">IF(E83=E82,F83/F82-1,"")</f>
        <v>0</v>
      </c>
    </row>
    <row r="84" customFormat="false" ht="14.25" hidden="false" customHeight="true" outlineLevel="0" collapsed="false">
      <c r="A84" s="26" t="n">
        <v>19299</v>
      </c>
      <c r="B84" s="1" t="n">
        <v>1952</v>
      </c>
      <c r="C84" s="1" t="n">
        <v>11</v>
      </c>
      <c r="D84" s="1" t="s">
        <v>52</v>
      </c>
      <c r="E84" s="1" t="s">
        <v>13</v>
      </c>
      <c r="F84" s="1" t="n">
        <v>31.78</v>
      </c>
      <c r="G84" s="1" t="n">
        <f aca="false">IF(E84=E83,F84/F83-1,"")</f>
        <v>0</v>
      </c>
    </row>
    <row r="85" customFormat="false" ht="14.25" hidden="false" customHeight="true" outlineLevel="0" collapsed="false">
      <c r="A85" s="26" t="n">
        <v>19329</v>
      </c>
      <c r="B85" s="1" t="n">
        <v>1952</v>
      </c>
      <c r="C85" s="1" t="n">
        <v>12</v>
      </c>
      <c r="D85" s="1" t="s">
        <v>53</v>
      </c>
      <c r="E85" s="1" t="s">
        <v>13</v>
      </c>
      <c r="F85" s="1" t="n">
        <v>31.78</v>
      </c>
      <c r="G85" s="1" t="n">
        <f aca="false">IF(E85=E84,F85/F84-1,"")</f>
        <v>0</v>
      </c>
    </row>
    <row r="86" customFormat="false" ht="14.25" hidden="false" customHeight="true" outlineLevel="0" collapsed="false">
      <c r="A86" s="26" t="n">
        <v>19360</v>
      </c>
      <c r="B86" s="1" t="n">
        <v>1953</v>
      </c>
      <c r="C86" s="1" t="n">
        <v>1</v>
      </c>
      <c r="D86" s="1" t="s">
        <v>42</v>
      </c>
      <c r="E86" s="1" t="s">
        <v>13</v>
      </c>
      <c r="F86" s="1" t="n">
        <v>31.9</v>
      </c>
      <c r="G86" s="1" t="n">
        <f aca="false">IF(E86=E85,F86/F85-1,"")</f>
        <v>0.00377595972309619</v>
      </c>
    </row>
    <row r="87" customFormat="false" ht="14.25" hidden="false" customHeight="true" outlineLevel="0" collapsed="false">
      <c r="A87" s="26" t="n">
        <v>19391</v>
      </c>
      <c r="B87" s="1" t="n">
        <v>1953</v>
      </c>
      <c r="C87" s="1" t="n">
        <v>2</v>
      </c>
      <c r="D87" s="1" t="s">
        <v>43</v>
      </c>
      <c r="E87" s="1" t="s">
        <v>13</v>
      </c>
      <c r="F87" s="1" t="n">
        <v>32.02</v>
      </c>
      <c r="G87" s="1" t="n">
        <f aca="false">IF(E87=E86,F87/F86-1,"")</f>
        <v>0.00376175548589353</v>
      </c>
    </row>
    <row r="88" customFormat="false" ht="14.25" hidden="false" customHeight="true" outlineLevel="0" collapsed="false">
      <c r="A88" s="26" t="n">
        <v>19419</v>
      </c>
      <c r="B88" s="1" t="n">
        <v>1953</v>
      </c>
      <c r="C88" s="1" t="n">
        <v>3</v>
      </c>
      <c r="D88" s="1" t="s">
        <v>44</v>
      </c>
      <c r="E88" s="1" t="s">
        <v>13</v>
      </c>
      <c r="F88" s="1" t="n">
        <v>31.9</v>
      </c>
      <c r="G88" s="1" t="n">
        <f aca="false">IF(E88=E87,F88/F87-1,"")</f>
        <v>-0.00374765771392893</v>
      </c>
    </row>
    <row r="89" customFormat="false" ht="14.25" hidden="false" customHeight="true" outlineLevel="0" collapsed="false">
      <c r="A89" s="26" t="n">
        <v>19450</v>
      </c>
      <c r="B89" s="1" t="n">
        <v>1953</v>
      </c>
      <c r="C89" s="1" t="n">
        <v>4</v>
      </c>
      <c r="D89" s="1" t="s">
        <v>45</v>
      </c>
      <c r="E89" s="1" t="s">
        <v>13</v>
      </c>
      <c r="F89" s="1" t="n">
        <v>31.9</v>
      </c>
      <c r="G89" s="1" t="n">
        <f aca="false">IF(E89=E88,F89/F88-1,"")</f>
        <v>0</v>
      </c>
    </row>
    <row r="90" customFormat="false" ht="14.25" hidden="false" customHeight="true" outlineLevel="0" collapsed="false">
      <c r="A90" s="26" t="n">
        <v>19480</v>
      </c>
      <c r="B90" s="1" t="n">
        <v>1953</v>
      </c>
      <c r="C90" s="1" t="n">
        <v>5</v>
      </c>
      <c r="D90" s="1" t="s">
        <v>46</v>
      </c>
      <c r="E90" s="1" t="s">
        <v>13</v>
      </c>
      <c r="F90" s="1" t="n">
        <v>31.78</v>
      </c>
      <c r="G90" s="1" t="n">
        <f aca="false">IF(E90=E89,F90/F89-1,"")</f>
        <v>-0.0037617554858933</v>
      </c>
    </row>
    <row r="91" customFormat="false" ht="14.25" hidden="false" customHeight="true" outlineLevel="0" collapsed="false">
      <c r="A91" s="26" t="n">
        <v>19511</v>
      </c>
      <c r="B91" s="1" t="n">
        <v>1953</v>
      </c>
      <c r="C91" s="1" t="n">
        <v>6</v>
      </c>
      <c r="D91" s="1" t="s">
        <v>47</v>
      </c>
      <c r="E91" s="1" t="s">
        <v>13</v>
      </c>
      <c r="F91" s="1" t="n">
        <v>34.75</v>
      </c>
      <c r="G91" s="1" t="n">
        <f aca="false">IF(E91=E90,F91/F90-1,"")</f>
        <v>0.093455003146633</v>
      </c>
    </row>
    <row r="92" customFormat="false" ht="14.25" hidden="false" customHeight="true" outlineLevel="0" collapsed="false">
      <c r="A92" s="26" t="n">
        <v>19541</v>
      </c>
      <c r="B92" s="1" t="n">
        <v>1953</v>
      </c>
      <c r="C92" s="1" t="n">
        <v>7</v>
      </c>
      <c r="D92" s="1" t="s">
        <v>48</v>
      </c>
      <c r="E92" s="1" t="s">
        <v>13</v>
      </c>
      <c r="F92" s="1" t="n">
        <v>34.75</v>
      </c>
      <c r="G92" s="1" t="n">
        <f aca="false">IF(E92=E91,F92/F91-1,"")</f>
        <v>0</v>
      </c>
    </row>
    <row r="93" customFormat="false" ht="14.25" hidden="false" customHeight="true" outlineLevel="0" collapsed="false">
      <c r="A93" s="26" t="n">
        <v>19572</v>
      </c>
      <c r="B93" s="1" t="n">
        <v>1953</v>
      </c>
      <c r="C93" s="1" t="n">
        <v>8</v>
      </c>
      <c r="D93" s="1" t="s">
        <v>49</v>
      </c>
      <c r="E93" s="1" t="s">
        <v>13</v>
      </c>
      <c r="F93" s="1" t="n">
        <v>34.62</v>
      </c>
      <c r="G93" s="1" t="n">
        <f aca="false">IF(E93=E92,F93/F92-1,"")</f>
        <v>-0.00374100719424464</v>
      </c>
    </row>
    <row r="94" customFormat="false" ht="14.25" hidden="false" customHeight="true" outlineLevel="0" collapsed="false">
      <c r="A94" s="26" t="n">
        <v>19603</v>
      </c>
      <c r="B94" s="1" t="n">
        <v>1953</v>
      </c>
      <c r="C94" s="1" t="n">
        <v>9</v>
      </c>
      <c r="D94" s="1" t="s">
        <v>50</v>
      </c>
      <c r="E94" s="1" t="s">
        <v>13</v>
      </c>
      <c r="F94" s="1" t="n">
        <v>34.62</v>
      </c>
      <c r="G94" s="1" t="n">
        <f aca="false">IF(E94=E93,F94/F93-1,"")</f>
        <v>0</v>
      </c>
    </row>
    <row r="95" customFormat="false" ht="14.25" hidden="false" customHeight="true" outlineLevel="0" collapsed="false">
      <c r="A95" s="26" t="n">
        <v>19633</v>
      </c>
      <c r="B95" s="1" t="n">
        <v>1953</v>
      </c>
      <c r="C95" s="1" t="n">
        <v>10</v>
      </c>
      <c r="D95" s="1" t="s">
        <v>51</v>
      </c>
      <c r="E95" s="1" t="s">
        <v>13</v>
      </c>
      <c r="F95" s="1" t="n">
        <v>34.49</v>
      </c>
      <c r="G95" s="1" t="n">
        <f aca="false">IF(E95=E94,F95/F94-1,"")</f>
        <v>-0.00375505488157124</v>
      </c>
    </row>
    <row r="96" customFormat="false" ht="14.25" hidden="false" customHeight="true" outlineLevel="0" collapsed="false">
      <c r="A96" s="26" t="n">
        <v>19664</v>
      </c>
      <c r="B96" s="1" t="n">
        <v>1953</v>
      </c>
      <c r="C96" s="1" t="n">
        <v>11</v>
      </c>
      <c r="D96" s="1" t="s">
        <v>52</v>
      </c>
      <c r="E96" s="1" t="s">
        <v>13</v>
      </c>
      <c r="F96" s="1" t="n">
        <v>34.62</v>
      </c>
      <c r="G96" s="1" t="n">
        <f aca="false">IF(E96=E95,F96/F95-1,"")</f>
        <v>0.00376920846622197</v>
      </c>
    </row>
    <row r="97" customFormat="false" ht="14.25" hidden="false" customHeight="true" outlineLevel="0" collapsed="false">
      <c r="A97" s="26" t="n">
        <v>19694</v>
      </c>
      <c r="B97" s="1" t="n">
        <v>1953</v>
      </c>
      <c r="C97" s="1" t="n">
        <v>12</v>
      </c>
      <c r="D97" s="1" t="s">
        <v>53</v>
      </c>
      <c r="E97" s="1" t="s">
        <v>13</v>
      </c>
      <c r="F97" s="1" t="n">
        <v>34.62</v>
      </c>
      <c r="G97" s="1" t="n">
        <f aca="false">IF(E97=E96,F97/F96-1,"")</f>
        <v>0</v>
      </c>
    </row>
    <row r="98" customFormat="false" ht="14.25" hidden="false" customHeight="true" outlineLevel="0" collapsed="false">
      <c r="A98" s="26" t="n">
        <v>19725</v>
      </c>
      <c r="B98" s="1" t="n">
        <v>1954</v>
      </c>
      <c r="C98" s="1" t="n">
        <v>1</v>
      </c>
      <c r="D98" s="1" t="s">
        <v>42</v>
      </c>
      <c r="E98" s="1" t="s">
        <v>13</v>
      </c>
      <c r="F98" s="1" t="n">
        <v>34.62</v>
      </c>
      <c r="G98" s="1" t="n">
        <f aca="false">IF(E98=E97,F98/F97-1,"")</f>
        <v>0</v>
      </c>
    </row>
    <row r="99" customFormat="false" ht="14.25" hidden="false" customHeight="true" outlineLevel="0" collapsed="false">
      <c r="A99" s="26" t="n">
        <v>19756</v>
      </c>
      <c r="B99" s="1" t="n">
        <v>1954</v>
      </c>
      <c r="C99" s="1" t="n">
        <v>2</v>
      </c>
      <c r="D99" s="1" t="s">
        <v>43</v>
      </c>
      <c r="E99" s="1" t="s">
        <v>13</v>
      </c>
      <c r="F99" s="1" t="n">
        <v>34.62</v>
      </c>
      <c r="G99" s="1" t="n">
        <f aca="false">IF(E99=E98,F99/F98-1,"")</f>
        <v>0</v>
      </c>
    </row>
    <row r="100" customFormat="false" ht="14.25" hidden="false" customHeight="true" outlineLevel="0" collapsed="false">
      <c r="A100" s="26" t="n">
        <v>19784</v>
      </c>
      <c r="B100" s="1" t="n">
        <v>1954</v>
      </c>
      <c r="C100" s="1" t="n">
        <v>3</v>
      </c>
      <c r="D100" s="1" t="s">
        <v>44</v>
      </c>
      <c r="E100" s="1" t="s">
        <v>13</v>
      </c>
      <c r="F100" s="1" t="n">
        <v>34.62</v>
      </c>
      <c r="G100" s="1" t="n">
        <f aca="false">IF(E100=E99,F100/F99-1,"")</f>
        <v>0</v>
      </c>
    </row>
    <row r="101" customFormat="false" ht="14.25" hidden="false" customHeight="true" outlineLevel="0" collapsed="false">
      <c r="A101" s="26" t="n">
        <v>19815</v>
      </c>
      <c r="B101" s="1" t="n">
        <v>1954</v>
      </c>
      <c r="C101" s="1" t="n">
        <v>4</v>
      </c>
      <c r="D101" s="1" t="s">
        <v>45</v>
      </c>
      <c r="E101" s="1" t="s">
        <v>13</v>
      </c>
      <c r="F101" s="1" t="n">
        <v>34.75</v>
      </c>
      <c r="G101" s="1" t="n">
        <f aca="false">IF(E101=E100,F101/F100-1,"")</f>
        <v>0.00375505488157146</v>
      </c>
    </row>
    <row r="102" customFormat="false" ht="14.25" hidden="false" customHeight="true" outlineLevel="0" collapsed="false">
      <c r="A102" s="26" t="n">
        <v>19845</v>
      </c>
      <c r="B102" s="1" t="n">
        <v>1954</v>
      </c>
      <c r="C102" s="1" t="n">
        <v>5</v>
      </c>
      <c r="D102" s="1" t="s">
        <v>46</v>
      </c>
      <c r="E102" s="1" t="s">
        <v>13</v>
      </c>
      <c r="F102" s="1" t="n">
        <v>34.62</v>
      </c>
      <c r="G102" s="1" t="n">
        <f aca="false">IF(E102=E101,F102/F101-1,"")</f>
        <v>-0.00374100719424464</v>
      </c>
    </row>
    <row r="103" customFormat="false" ht="14.25" hidden="false" customHeight="true" outlineLevel="0" collapsed="false">
      <c r="A103" s="26" t="n">
        <v>19876</v>
      </c>
      <c r="B103" s="1" t="n">
        <v>1954</v>
      </c>
      <c r="C103" s="1" t="n">
        <v>6</v>
      </c>
      <c r="D103" s="1" t="s">
        <v>47</v>
      </c>
      <c r="E103" s="1" t="s">
        <v>13</v>
      </c>
      <c r="F103" s="1" t="n">
        <v>34.62</v>
      </c>
      <c r="G103" s="1" t="n">
        <f aca="false">IF(E103=E102,F103/F102-1,"")</f>
        <v>0</v>
      </c>
    </row>
    <row r="104" customFormat="false" ht="14.25" hidden="false" customHeight="true" outlineLevel="0" collapsed="false">
      <c r="A104" s="26" t="n">
        <v>19906</v>
      </c>
      <c r="B104" s="1" t="n">
        <v>1954</v>
      </c>
      <c r="C104" s="1" t="n">
        <v>7</v>
      </c>
      <c r="D104" s="1" t="s">
        <v>48</v>
      </c>
      <c r="E104" s="1" t="s">
        <v>13</v>
      </c>
      <c r="F104" s="1" t="n">
        <v>34.62</v>
      </c>
      <c r="G104" s="1" t="n">
        <f aca="false">IF(E104=E103,F104/F103-1,"")</f>
        <v>0</v>
      </c>
    </row>
    <row r="105" customFormat="false" ht="14.25" hidden="false" customHeight="true" outlineLevel="0" collapsed="false">
      <c r="A105" s="26" t="n">
        <v>19937</v>
      </c>
      <c r="B105" s="1" t="n">
        <v>1954</v>
      </c>
      <c r="C105" s="1" t="n">
        <v>8</v>
      </c>
      <c r="D105" s="1" t="s">
        <v>49</v>
      </c>
      <c r="E105" s="1" t="s">
        <v>13</v>
      </c>
      <c r="F105" s="1" t="n">
        <v>34.62</v>
      </c>
      <c r="G105" s="1" t="n">
        <f aca="false">IF(E105=E104,F105/F104-1,"")</f>
        <v>0</v>
      </c>
    </row>
    <row r="106" customFormat="false" ht="14.25" hidden="false" customHeight="true" outlineLevel="0" collapsed="false">
      <c r="A106" s="26" t="n">
        <v>19968</v>
      </c>
      <c r="B106" s="1" t="n">
        <v>1954</v>
      </c>
      <c r="C106" s="1" t="n">
        <v>9</v>
      </c>
      <c r="D106" s="1" t="s">
        <v>50</v>
      </c>
      <c r="E106" s="1" t="s">
        <v>13</v>
      </c>
      <c r="F106" s="1" t="n">
        <v>34.75</v>
      </c>
      <c r="G106" s="1" t="n">
        <f aca="false">IF(E106=E105,F106/F105-1,"")</f>
        <v>0.00375505488157146</v>
      </c>
    </row>
    <row r="107" customFormat="false" ht="14.25" hidden="false" customHeight="true" outlineLevel="0" collapsed="false">
      <c r="A107" s="26" t="n">
        <v>19998</v>
      </c>
      <c r="B107" s="1" t="n">
        <v>1954</v>
      </c>
      <c r="C107" s="1" t="n">
        <v>10</v>
      </c>
      <c r="D107" s="1" t="s">
        <v>51</v>
      </c>
      <c r="E107" s="1" t="s">
        <v>13</v>
      </c>
      <c r="F107" s="1" t="n">
        <v>34.75</v>
      </c>
      <c r="G107" s="1" t="n">
        <f aca="false">IF(E107=E106,F107/F106-1,"")</f>
        <v>0</v>
      </c>
    </row>
    <row r="108" customFormat="false" ht="14.25" hidden="false" customHeight="true" outlineLevel="0" collapsed="false">
      <c r="A108" s="26" t="n">
        <v>20029</v>
      </c>
      <c r="B108" s="1" t="n">
        <v>1954</v>
      </c>
      <c r="C108" s="1" t="n">
        <v>11</v>
      </c>
      <c r="D108" s="1" t="s">
        <v>52</v>
      </c>
      <c r="E108" s="1" t="s">
        <v>13</v>
      </c>
      <c r="F108" s="1" t="n">
        <v>34.75</v>
      </c>
      <c r="G108" s="1" t="n">
        <f aca="false">IF(E108=E107,F108/F107-1,"")</f>
        <v>0</v>
      </c>
    </row>
    <row r="109" customFormat="false" ht="14.25" hidden="false" customHeight="true" outlineLevel="0" collapsed="false">
      <c r="A109" s="26" t="n">
        <v>20059</v>
      </c>
      <c r="B109" s="1" t="n">
        <v>1954</v>
      </c>
      <c r="C109" s="1" t="n">
        <v>12</v>
      </c>
      <c r="D109" s="1" t="s">
        <v>53</v>
      </c>
      <c r="E109" s="1" t="s">
        <v>13</v>
      </c>
      <c r="F109" s="1" t="n">
        <v>34.88</v>
      </c>
      <c r="G109" s="1" t="n">
        <f aca="false">IF(E109=E108,F109/F108-1,"")</f>
        <v>0.00374100719424475</v>
      </c>
    </row>
    <row r="110" customFormat="false" ht="14.25" hidden="false" customHeight="true" outlineLevel="0" collapsed="false">
      <c r="A110" s="26" t="n">
        <v>20090</v>
      </c>
      <c r="B110" s="1" t="n">
        <v>1955</v>
      </c>
      <c r="C110" s="1" t="n">
        <v>1</v>
      </c>
      <c r="D110" s="1" t="s">
        <v>42</v>
      </c>
      <c r="E110" s="1" t="s">
        <v>13</v>
      </c>
      <c r="F110" s="1" t="n">
        <v>34.88</v>
      </c>
      <c r="G110" s="1" t="n">
        <f aca="false">IF(E110=E109,F110/F109-1,"")</f>
        <v>0</v>
      </c>
    </row>
    <row r="111" customFormat="false" ht="14.25" hidden="false" customHeight="true" outlineLevel="0" collapsed="false">
      <c r="A111" s="26" t="n">
        <v>20121</v>
      </c>
      <c r="B111" s="1" t="n">
        <v>1955</v>
      </c>
      <c r="C111" s="1" t="n">
        <v>2</v>
      </c>
      <c r="D111" s="1" t="s">
        <v>43</v>
      </c>
      <c r="E111" s="1" t="s">
        <v>13</v>
      </c>
      <c r="F111" s="1" t="n">
        <v>34.88</v>
      </c>
      <c r="G111" s="1" t="n">
        <f aca="false">IF(E111=E110,F111/F110-1,"")</f>
        <v>0</v>
      </c>
    </row>
    <row r="112" customFormat="false" ht="14.25" hidden="false" customHeight="true" outlineLevel="0" collapsed="false">
      <c r="A112" s="26" t="n">
        <v>20149</v>
      </c>
      <c r="B112" s="1" t="n">
        <v>1955</v>
      </c>
      <c r="C112" s="1" t="n">
        <v>3</v>
      </c>
      <c r="D112" s="1" t="s">
        <v>44</v>
      </c>
      <c r="E112" s="1" t="s">
        <v>13</v>
      </c>
      <c r="F112" s="1" t="n">
        <v>34.88</v>
      </c>
      <c r="G112" s="1" t="n">
        <f aca="false">IF(E112=E111,F112/F111-1,"")</f>
        <v>0</v>
      </c>
    </row>
    <row r="113" customFormat="false" ht="14.25" hidden="false" customHeight="true" outlineLevel="0" collapsed="false">
      <c r="A113" s="26" t="n">
        <v>20180</v>
      </c>
      <c r="B113" s="1" t="n">
        <v>1955</v>
      </c>
      <c r="C113" s="1" t="n">
        <v>4</v>
      </c>
      <c r="D113" s="1" t="s">
        <v>45</v>
      </c>
      <c r="E113" s="1" t="s">
        <v>13</v>
      </c>
      <c r="F113" s="1" t="n">
        <v>34.88</v>
      </c>
      <c r="G113" s="1" t="n">
        <f aca="false">IF(E113=E112,F113/F112-1,"")</f>
        <v>0</v>
      </c>
    </row>
    <row r="114" customFormat="false" ht="14.25" hidden="false" customHeight="true" outlineLevel="0" collapsed="false">
      <c r="A114" s="26" t="n">
        <v>20210</v>
      </c>
      <c r="B114" s="1" t="n">
        <v>1955</v>
      </c>
      <c r="C114" s="1" t="n">
        <v>5</v>
      </c>
      <c r="D114" s="1" t="s">
        <v>46</v>
      </c>
      <c r="E114" s="1" t="s">
        <v>13</v>
      </c>
      <c r="F114" s="1" t="n">
        <v>34.88</v>
      </c>
      <c r="G114" s="1" t="n">
        <f aca="false">IF(E114=E113,F114/F113-1,"")</f>
        <v>0</v>
      </c>
    </row>
    <row r="115" customFormat="false" ht="14.25" hidden="false" customHeight="true" outlineLevel="0" collapsed="false">
      <c r="A115" s="26" t="n">
        <v>20241</v>
      </c>
      <c r="B115" s="1" t="n">
        <v>1955</v>
      </c>
      <c r="C115" s="1" t="n">
        <v>6</v>
      </c>
      <c r="D115" s="1" t="s">
        <v>47</v>
      </c>
      <c r="E115" s="1" t="s">
        <v>13</v>
      </c>
      <c r="F115" s="1" t="n">
        <v>34.88</v>
      </c>
      <c r="G115" s="1" t="n">
        <f aca="false">IF(E115=E114,F115/F114-1,"")</f>
        <v>0</v>
      </c>
    </row>
    <row r="116" customFormat="false" ht="14.25" hidden="false" customHeight="true" outlineLevel="0" collapsed="false">
      <c r="A116" s="26" t="n">
        <v>20271</v>
      </c>
      <c r="B116" s="1" t="n">
        <v>1955</v>
      </c>
      <c r="C116" s="1" t="n">
        <v>7</v>
      </c>
      <c r="D116" s="1" t="s">
        <v>48</v>
      </c>
      <c r="E116" s="1" t="s">
        <v>13</v>
      </c>
      <c r="F116" s="1" t="n">
        <v>34.75</v>
      </c>
      <c r="G116" s="1" t="n">
        <f aca="false">IF(E116=E115,F116/F115-1,"")</f>
        <v>-0.00372706422018354</v>
      </c>
    </row>
    <row r="117" customFormat="false" ht="14.25" hidden="false" customHeight="true" outlineLevel="0" collapsed="false">
      <c r="A117" s="26" t="n">
        <v>20302</v>
      </c>
      <c r="B117" s="1" t="n">
        <v>1955</v>
      </c>
      <c r="C117" s="1" t="n">
        <v>8</v>
      </c>
      <c r="D117" s="1" t="s">
        <v>49</v>
      </c>
      <c r="E117" s="1" t="s">
        <v>13</v>
      </c>
      <c r="F117" s="1" t="n">
        <v>34.75</v>
      </c>
      <c r="G117" s="1" t="n">
        <f aca="false">IF(E117=E116,F117/F116-1,"")</f>
        <v>0</v>
      </c>
    </row>
    <row r="118" customFormat="false" ht="14.25" hidden="false" customHeight="true" outlineLevel="0" collapsed="false">
      <c r="A118" s="26" t="n">
        <v>20333</v>
      </c>
      <c r="B118" s="1" t="n">
        <v>1955</v>
      </c>
      <c r="C118" s="1" t="n">
        <v>9</v>
      </c>
      <c r="D118" s="1" t="s">
        <v>50</v>
      </c>
      <c r="E118" s="1" t="s">
        <v>13</v>
      </c>
      <c r="F118" s="1" t="n">
        <v>34.62</v>
      </c>
      <c r="G118" s="1" t="n">
        <f aca="false">IF(E118=E117,F118/F117-1,"")</f>
        <v>-0.00374100719424464</v>
      </c>
    </row>
    <row r="119" customFormat="false" ht="14.25" hidden="false" customHeight="true" outlineLevel="0" collapsed="false">
      <c r="A119" s="26" t="n">
        <v>20363</v>
      </c>
      <c r="B119" s="1" t="n">
        <v>1955</v>
      </c>
      <c r="C119" s="1" t="n">
        <v>10</v>
      </c>
      <c r="D119" s="1" t="s">
        <v>51</v>
      </c>
      <c r="E119" s="1" t="s">
        <v>13</v>
      </c>
      <c r="F119" s="1" t="n">
        <v>34.62</v>
      </c>
      <c r="G119" s="1" t="n">
        <f aca="false">IF(E119=E118,F119/F118-1,"")</f>
        <v>0</v>
      </c>
    </row>
    <row r="120" customFormat="false" ht="14.25" hidden="false" customHeight="true" outlineLevel="0" collapsed="false">
      <c r="A120" s="26" t="n">
        <v>20394</v>
      </c>
      <c r="B120" s="1" t="n">
        <v>1955</v>
      </c>
      <c r="C120" s="1" t="n">
        <v>11</v>
      </c>
      <c r="D120" s="1" t="s">
        <v>52</v>
      </c>
      <c r="E120" s="1" t="s">
        <v>13</v>
      </c>
      <c r="F120" s="1" t="n">
        <v>34.62</v>
      </c>
      <c r="G120" s="1" t="n">
        <f aca="false">IF(E120=E119,F120/F119-1,"")</f>
        <v>0</v>
      </c>
    </row>
    <row r="121" customFormat="false" ht="14.25" hidden="false" customHeight="true" outlineLevel="0" collapsed="false">
      <c r="A121" s="26" t="n">
        <v>20424</v>
      </c>
      <c r="B121" s="1" t="n">
        <v>1955</v>
      </c>
      <c r="C121" s="1" t="n">
        <v>12</v>
      </c>
      <c r="D121" s="1" t="s">
        <v>53</v>
      </c>
      <c r="E121" s="1" t="s">
        <v>13</v>
      </c>
      <c r="F121" s="1" t="n">
        <v>34.75</v>
      </c>
      <c r="G121" s="1" t="n">
        <f aca="false">IF(E121=E120,F121/F120-1,"")</f>
        <v>0.00375505488157146</v>
      </c>
    </row>
    <row r="122" customFormat="false" ht="14.25" hidden="false" customHeight="true" outlineLevel="0" collapsed="false">
      <c r="A122" s="26" t="n">
        <v>20455</v>
      </c>
      <c r="B122" s="1" t="n">
        <v>1956</v>
      </c>
      <c r="C122" s="1" t="n">
        <v>1</v>
      </c>
      <c r="D122" s="1" t="s">
        <v>42</v>
      </c>
      <c r="E122" s="1" t="s">
        <v>13</v>
      </c>
      <c r="F122" s="1" t="n">
        <v>34.75</v>
      </c>
      <c r="G122" s="1" t="n">
        <f aca="false">IF(E122=E121,F122/F121-1,"")</f>
        <v>0</v>
      </c>
    </row>
    <row r="123" customFormat="false" ht="14.25" hidden="false" customHeight="true" outlineLevel="0" collapsed="false">
      <c r="A123" s="26" t="n">
        <v>20486</v>
      </c>
      <c r="B123" s="1" t="n">
        <v>1956</v>
      </c>
      <c r="C123" s="1" t="n">
        <v>2</v>
      </c>
      <c r="D123" s="1" t="s">
        <v>43</v>
      </c>
      <c r="E123" s="1" t="s">
        <v>13</v>
      </c>
      <c r="F123" s="1" t="n">
        <v>34.75</v>
      </c>
      <c r="G123" s="1" t="n">
        <f aca="false">IF(E123=E122,F123/F122-1,"")</f>
        <v>0</v>
      </c>
    </row>
    <row r="124" customFormat="false" ht="14.25" hidden="false" customHeight="true" outlineLevel="0" collapsed="false">
      <c r="A124" s="26" t="n">
        <v>20515</v>
      </c>
      <c r="B124" s="1" t="n">
        <v>1956</v>
      </c>
      <c r="C124" s="1" t="n">
        <v>3</v>
      </c>
      <c r="D124" s="1" t="s">
        <v>44</v>
      </c>
      <c r="E124" s="1" t="s">
        <v>13</v>
      </c>
      <c r="F124" s="1" t="n">
        <v>34.75</v>
      </c>
      <c r="G124" s="1" t="n">
        <f aca="false">IF(E124=E123,F124/F123-1,"")</f>
        <v>0</v>
      </c>
    </row>
    <row r="125" customFormat="false" ht="14.25" hidden="false" customHeight="true" outlineLevel="0" collapsed="false">
      <c r="A125" s="26" t="n">
        <v>20546</v>
      </c>
      <c r="B125" s="1" t="n">
        <v>1956</v>
      </c>
      <c r="C125" s="1" t="n">
        <v>4</v>
      </c>
      <c r="D125" s="1" t="s">
        <v>45</v>
      </c>
      <c r="E125" s="1" t="s">
        <v>13</v>
      </c>
      <c r="F125" s="1" t="n">
        <v>34.62</v>
      </c>
      <c r="G125" s="1" t="n">
        <f aca="false">IF(E125=E124,F125/F124-1,"")</f>
        <v>-0.00374100719424464</v>
      </c>
    </row>
    <row r="126" customFormat="false" ht="14.25" hidden="false" customHeight="true" outlineLevel="0" collapsed="false">
      <c r="A126" s="26" t="n">
        <v>20576</v>
      </c>
      <c r="B126" s="1" t="n">
        <v>1956</v>
      </c>
      <c r="C126" s="1" t="n">
        <v>5</v>
      </c>
      <c r="D126" s="1" t="s">
        <v>46</v>
      </c>
      <c r="E126" s="1" t="s">
        <v>13</v>
      </c>
      <c r="F126" s="1" t="n">
        <v>34.49</v>
      </c>
      <c r="G126" s="1" t="n">
        <f aca="false">IF(E126=E125,F126/F125-1,"")</f>
        <v>-0.00375505488157124</v>
      </c>
    </row>
    <row r="127" customFormat="false" ht="14.25" hidden="false" customHeight="true" outlineLevel="0" collapsed="false">
      <c r="A127" s="26" t="n">
        <v>20607</v>
      </c>
      <c r="B127" s="1" t="n">
        <v>1956</v>
      </c>
      <c r="C127" s="1" t="n">
        <v>6</v>
      </c>
      <c r="D127" s="1" t="s">
        <v>47</v>
      </c>
      <c r="E127" s="1" t="s">
        <v>13</v>
      </c>
      <c r="F127" s="1" t="n">
        <v>34.24</v>
      </c>
      <c r="G127" s="1" t="n">
        <f aca="false">IF(E127=E126,F127/F126-1,"")</f>
        <v>-0.00724847781965787</v>
      </c>
    </row>
    <row r="128" customFormat="false" ht="14.25" hidden="false" customHeight="true" outlineLevel="0" collapsed="false">
      <c r="A128" s="26" t="n">
        <v>20637</v>
      </c>
      <c r="B128" s="1" t="n">
        <v>1956</v>
      </c>
      <c r="C128" s="1" t="n">
        <v>7</v>
      </c>
      <c r="D128" s="1" t="s">
        <v>48</v>
      </c>
      <c r="E128" s="1" t="s">
        <v>13</v>
      </c>
      <c r="F128" s="1" t="n">
        <v>33.99</v>
      </c>
      <c r="G128" s="1" t="n">
        <f aca="false">IF(E128=E127,F128/F127-1,"")</f>
        <v>-0.00730140186915884</v>
      </c>
    </row>
    <row r="129" customFormat="false" ht="14.25" hidden="false" customHeight="true" outlineLevel="0" collapsed="false">
      <c r="A129" s="26" t="n">
        <v>20668</v>
      </c>
      <c r="B129" s="1" t="n">
        <v>1956</v>
      </c>
      <c r="C129" s="1" t="n">
        <v>8</v>
      </c>
      <c r="D129" s="1" t="s">
        <v>49</v>
      </c>
      <c r="E129" s="1" t="s">
        <v>13</v>
      </c>
      <c r="F129" s="1" t="n">
        <v>34.11</v>
      </c>
      <c r="G129" s="1" t="n">
        <f aca="false">IF(E129=E128,F129/F128-1,"")</f>
        <v>0.00353045013239184</v>
      </c>
    </row>
    <row r="130" customFormat="false" ht="14.25" hidden="false" customHeight="true" outlineLevel="0" collapsed="false">
      <c r="A130" s="26" t="n">
        <v>20699</v>
      </c>
      <c r="B130" s="1" t="n">
        <v>1956</v>
      </c>
      <c r="C130" s="1" t="n">
        <v>9</v>
      </c>
      <c r="D130" s="1" t="s">
        <v>50</v>
      </c>
      <c r="E130" s="1" t="s">
        <v>13</v>
      </c>
      <c r="F130" s="1" t="n">
        <v>33.99</v>
      </c>
      <c r="G130" s="1" t="n">
        <f aca="false">IF(E130=E129,F130/F129-1,"")</f>
        <v>-0.00351802990325412</v>
      </c>
    </row>
    <row r="131" customFormat="false" ht="14.25" hidden="false" customHeight="true" outlineLevel="0" collapsed="false">
      <c r="A131" s="26" t="n">
        <v>20729</v>
      </c>
      <c r="B131" s="1" t="n">
        <v>1956</v>
      </c>
      <c r="C131" s="1" t="n">
        <v>10</v>
      </c>
      <c r="D131" s="1" t="s">
        <v>51</v>
      </c>
      <c r="E131" s="1" t="s">
        <v>13</v>
      </c>
      <c r="F131" s="1" t="n">
        <v>33.86</v>
      </c>
      <c r="G131" s="1" t="n">
        <f aca="false">IF(E131=E130,F131/F130-1,"")</f>
        <v>-0.00382465431009127</v>
      </c>
    </row>
    <row r="132" customFormat="false" ht="14.25" hidden="false" customHeight="true" outlineLevel="0" collapsed="false">
      <c r="A132" s="26" t="n">
        <v>20760</v>
      </c>
      <c r="B132" s="1" t="n">
        <v>1956</v>
      </c>
      <c r="C132" s="1" t="n">
        <v>11</v>
      </c>
      <c r="D132" s="1" t="s">
        <v>52</v>
      </c>
      <c r="E132" s="1" t="s">
        <v>13</v>
      </c>
      <c r="F132" s="1" t="n">
        <v>33.86</v>
      </c>
      <c r="G132" s="1" t="n">
        <f aca="false">IF(E132=E131,F132/F131-1,"")</f>
        <v>0</v>
      </c>
    </row>
    <row r="133" customFormat="false" ht="14.25" hidden="false" customHeight="true" outlineLevel="0" collapsed="false">
      <c r="A133" s="26" t="n">
        <v>20790</v>
      </c>
      <c r="B133" s="1" t="n">
        <v>1956</v>
      </c>
      <c r="C133" s="1" t="n">
        <v>12</v>
      </c>
      <c r="D133" s="1" t="s">
        <v>53</v>
      </c>
      <c r="E133" s="1" t="s">
        <v>13</v>
      </c>
      <c r="F133" s="1" t="n">
        <v>33.74</v>
      </c>
      <c r="G133" s="1" t="n">
        <f aca="false">IF(E133=E132,F133/F132-1,"")</f>
        <v>-0.00354400472533956</v>
      </c>
    </row>
    <row r="134" customFormat="false" ht="14.25" hidden="false" customHeight="true" outlineLevel="0" collapsed="false">
      <c r="A134" s="26" t="n">
        <v>20821</v>
      </c>
      <c r="B134" s="1" t="n">
        <v>1957</v>
      </c>
      <c r="C134" s="1" t="n">
        <v>1</v>
      </c>
      <c r="D134" s="1" t="s">
        <v>42</v>
      </c>
      <c r="E134" s="1" t="s">
        <v>13</v>
      </c>
      <c r="F134" s="1" t="n">
        <v>33.74</v>
      </c>
      <c r="G134" s="1" t="n">
        <f aca="false">IF(E134=E133,F134/F133-1,"")</f>
        <v>0</v>
      </c>
    </row>
    <row r="135" customFormat="false" ht="14.25" hidden="false" customHeight="true" outlineLevel="0" collapsed="false">
      <c r="A135" s="26" t="n">
        <v>20852</v>
      </c>
      <c r="B135" s="1" t="n">
        <v>1957</v>
      </c>
      <c r="C135" s="1" t="n">
        <v>2</v>
      </c>
      <c r="D135" s="1" t="s">
        <v>43</v>
      </c>
      <c r="E135" s="1" t="s">
        <v>13</v>
      </c>
      <c r="F135" s="1" t="n">
        <v>36.6</v>
      </c>
      <c r="G135" s="1" t="n">
        <f aca="false">IF(E135=E134,F135/F134-1,"")</f>
        <v>0.0847658565500888</v>
      </c>
    </row>
    <row r="136" customFormat="false" ht="14.25" hidden="false" customHeight="true" outlineLevel="0" collapsed="false">
      <c r="A136" s="26" t="n">
        <v>20880</v>
      </c>
      <c r="B136" s="1" t="n">
        <v>1957</v>
      </c>
      <c r="C136" s="1" t="n">
        <v>3</v>
      </c>
      <c r="D136" s="1" t="s">
        <v>44</v>
      </c>
      <c r="E136" s="1" t="s">
        <v>13</v>
      </c>
      <c r="F136" s="1" t="n">
        <v>36.47</v>
      </c>
      <c r="G136" s="1" t="n">
        <f aca="false">IF(E136=E135,F136/F135-1,"")</f>
        <v>-0.00355191256830612</v>
      </c>
    </row>
    <row r="137" customFormat="false" ht="14.25" hidden="false" customHeight="true" outlineLevel="0" collapsed="false">
      <c r="A137" s="26" t="n">
        <v>20911</v>
      </c>
      <c r="B137" s="1" t="n">
        <v>1957</v>
      </c>
      <c r="C137" s="1" t="n">
        <v>4</v>
      </c>
      <c r="D137" s="1" t="s">
        <v>45</v>
      </c>
      <c r="E137" s="1" t="s">
        <v>13</v>
      </c>
      <c r="F137" s="1" t="n">
        <v>36.34</v>
      </c>
      <c r="G137" s="1" t="n">
        <f aca="false">IF(E137=E136,F137/F136-1,"")</f>
        <v>-0.00356457362215512</v>
      </c>
    </row>
    <row r="138" customFormat="false" ht="14.25" hidden="false" customHeight="true" outlineLevel="0" collapsed="false">
      <c r="A138" s="26" t="n">
        <v>20941</v>
      </c>
      <c r="B138" s="1" t="n">
        <v>1957</v>
      </c>
      <c r="C138" s="1" t="n">
        <v>5</v>
      </c>
      <c r="D138" s="1" t="s">
        <v>46</v>
      </c>
      <c r="E138" s="1" t="s">
        <v>13</v>
      </c>
      <c r="F138" s="1" t="n">
        <v>36.21</v>
      </c>
      <c r="G138" s="1" t="n">
        <f aca="false">IF(E138=E137,F138/F137-1,"")</f>
        <v>-0.00357732526141996</v>
      </c>
    </row>
    <row r="139" customFormat="false" ht="14.25" hidden="false" customHeight="true" outlineLevel="0" collapsed="false">
      <c r="A139" s="26" t="n">
        <v>20972</v>
      </c>
      <c r="B139" s="1" t="n">
        <v>1957</v>
      </c>
      <c r="C139" s="1" t="n">
        <v>6</v>
      </c>
      <c r="D139" s="1" t="s">
        <v>47</v>
      </c>
      <c r="E139" s="1" t="s">
        <v>13</v>
      </c>
      <c r="F139" s="1" t="n">
        <v>36.08</v>
      </c>
      <c r="G139" s="1" t="n">
        <f aca="false">IF(E139=E138,F139/F138-1,"")</f>
        <v>-0.00359016846175098</v>
      </c>
    </row>
    <row r="140" customFormat="false" ht="14.25" hidden="false" customHeight="true" outlineLevel="0" collapsed="false">
      <c r="A140" s="26" t="n">
        <v>21002</v>
      </c>
      <c r="B140" s="1" t="n">
        <v>1957</v>
      </c>
      <c r="C140" s="1" t="n">
        <v>7</v>
      </c>
      <c r="D140" s="1" t="s">
        <v>48</v>
      </c>
      <c r="E140" s="1" t="s">
        <v>13</v>
      </c>
      <c r="F140" s="1" t="n">
        <v>35.82</v>
      </c>
      <c r="G140" s="1" t="n">
        <f aca="false">IF(E140=E139,F140/F139-1,"")</f>
        <v>-0.00720620842572062</v>
      </c>
    </row>
    <row r="141" customFormat="false" ht="14.25" hidden="false" customHeight="true" outlineLevel="0" collapsed="false">
      <c r="A141" s="26" t="n">
        <v>21033</v>
      </c>
      <c r="B141" s="1" t="n">
        <v>1957</v>
      </c>
      <c r="C141" s="1" t="n">
        <v>8</v>
      </c>
      <c r="D141" s="1" t="s">
        <v>49</v>
      </c>
      <c r="E141" s="1" t="s">
        <v>13</v>
      </c>
      <c r="F141" s="1" t="n">
        <v>35.82</v>
      </c>
      <c r="G141" s="1" t="n">
        <f aca="false">IF(E141=E140,F141/F140-1,"")</f>
        <v>0</v>
      </c>
    </row>
    <row r="142" customFormat="false" ht="14.25" hidden="false" customHeight="true" outlineLevel="0" collapsed="false">
      <c r="A142" s="26" t="n">
        <v>21064</v>
      </c>
      <c r="B142" s="1" t="n">
        <v>1957</v>
      </c>
      <c r="C142" s="1" t="n">
        <v>9</v>
      </c>
      <c r="D142" s="1" t="s">
        <v>50</v>
      </c>
      <c r="E142" s="1" t="s">
        <v>13</v>
      </c>
      <c r="F142" s="1" t="n">
        <v>35.82</v>
      </c>
      <c r="G142" s="1" t="n">
        <f aca="false">IF(E142=E141,F142/F141-1,"")</f>
        <v>0</v>
      </c>
    </row>
    <row r="143" customFormat="false" ht="14.25" hidden="false" customHeight="true" outlineLevel="0" collapsed="false">
      <c r="A143" s="26" t="n">
        <v>21094</v>
      </c>
      <c r="B143" s="1" t="n">
        <v>1957</v>
      </c>
      <c r="C143" s="1" t="n">
        <v>10</v>
      </c>
      <c r="D143" s="1" t="s">
        <v>51</v>
      </c>
      <c r="E143" s="1" t="s">
        <v>13</v>
      </c>
      <c r="F143" s="1" t="n">
        <v>35.82</v>
      </c>
      <c r="G143" s="1" t="n">
        <f aca="false">IF(E143=E142,F143/F142-1,"")</f>
        <v>0</v>
      </c>
    </row>
    <row r="144" customFormat="false" ht="14.25" hidden="false" customHeight="true" outlineLevel="0" collapsed="false">
      <c r="A144" s="26" t="n">
        <v>21125</v>
      </c>
      <c r="B144" s="1" t="n">
        <v>1957</v>
      </c>
      <c r="C144" s="1" t="n">
        <v>11</v>
      </c>
      <c r="D144" s="1" t="s">
        <v>52</v>
      </c>
      <c r="E144" s="1" t="s">
        <v>13</v>
      </c>
      <c r="F144" s="1" t="n">
        <v>35.7</v>
      </c>
      <c r="G144" s="1" t="n">
        <f aca="false">IF(E144=E143,F144/F143-1,"")</f>
        <v>-0.00335008375209378</v>
      </c>
    </row>
    <row r="145" customFormat="false" ht="14.25" hidden="false" customHeight="true" outlineLevel="0" collapsed="false">
      <c r="A145" s="26" t="n">
        <v>21155</v>
      </c>
      <c r="B145" s="1" t="n">
        <v>1957</v>
      </c>
      <c r="C145" s="1" t="n">
        <v>12</v>
      </c>
      <c r="D145" s="1" t="s">
        <v>53</v>
      </c>
      <c r="E145" s="1" t="s">
        <v>13</v>
      </c>
      <c r="F145" s="1" t="n">
        <v>34.88</v>
      </c>
      <c r="G145" s="1" t="n">
        <f aca="false">IF(E145=E144,F145/F144-1,"")</f>
        <v>-0.0229691876750701</v>
      </c>
    </row>
    <row r="146" customFormat="false" ht="14.25" hidden="false" customHeight="true" outlineLevel="0" collapsed="false">
      <c r="A146" s="26" t="n">
        <v>21186</v>
      </c>
      <c r="B146" s="1" t="n">
        <v>1958</v>
      </c>
      <c r="C146" s="1" t="n">
        <v>1</v>
      </c>
      <c r="D146" s="1" t="s">
        <v>42</v>
      </c>
      <c r="E146" s="1" t="s">
        <v>13</v>
      </c>
      <c r="F146" s="1" t="n">
        <v>35.45</v>
      </c>
      <c r="G146" s="1" t="n">
        <f aca="false">IF(E146=E145,F146/F145-1,"")</f>
        <v>0.0163417431192661</v>
      </c>
    </row>
    <row r="147" customFormat="false" ht="14.25" hidden="false" customHeight="true" outlineLevel="0" collapsed="false">
      <c r="A147" s="26" t="n">
        <v>21217</v>
      </c>
      <c r="B147" s="1" t="n">
        <v>1958</v>
      </c>
      <c r="C147" s="1" t="n">
        <v>2</v>
      </c>
      <c r="D147" s="1" t="s">
        <v>43</v>
      </c>
      <c r="E147" s="1" t="s">
        <v>13</v>
      </c>
      <c r="F147" s="1" t="n">
        <v>35.45</v>
      </c>
      <c r="G147" s="1" t="n">
        <f aca="false">IF(E147=E146,F147/F146-1,"")</f>
        <v>0</v>
      </c>
    </row>
    <row r="148" customFormat="false" ht="14.25" hidden="false" customHeight="true" outlineLevel="0" collapsed="false">
      <c r="A148" s="26" t="n">
        <v>21245</v>
      </c>
      <c r="B148" s="1" t="n">
        <v>1958</v>
      </c>
      <c r="C148" s="1" t="n">
        <v>3</v>
      </c>
      <c r="D148" s="1" t="s">
        <v>44</v>
      </c>
      <c r="E148" s="1" t="s">
        <v>13</v>
      </c>
      <c r="F148" s="1" t="n">
        <v>35.2</v>
      </c>
      <c r="G148" s="1" t="n">
        <f aca="false">IF(E148=E147,F148/F147-1,"")</f>
        <v>-0.00705218617771508</v>
      </c>
    </row>
    <row r="149" customFormat="false" ht="14.25" hidden="false" customHeight="true" outlineLevel="0" collapsed="false">
      <c r="A149" s="26" t="n">
        <v>21276</v>
      </c>
      <c r="B149" s="1" t="n">
        <v>1958</v>
      </c>
      <c r="C149" s="1" t="n">
        <v>4</v>
      </c>
      <c r="D149" s="1" t="s">
        <v>45</v>
      </c>
      <c r="E149" s="1" t="s">
        <v>13</v>
      </c>
      <c r="F149" s="1" t="n">
        <v>35.08</v>
      </c>
      <c r="G149" s="1" t="n">
        <f aca="false">IF(E149=E148,F149/F148-1,"")</f>
        <v>-0.00340909090909103</v>
      </c>
    </row>
    <row r="150" customFormat="false" ht="14.25" hidden="false" customHeight="true" outlineLevel="0" collapsed="false">
      <c r="A150" s="26" t="n">
        <v>21306</v>
      </c>
      <c r="B150" s="1" t="n">
        <v>1958</v>
      </c>
      <c r="C150" s="1" t="n">
        <v>5</v>
      </c>
      <c r="D150" s="1" t="s">
        <v>46</v>
      </c>
      <c r="E150" s="1" t="s">
        <v>13</v>
      </c>
      <c r="F150" s="1" t="n">
        <v>35.08</v>
      </c>
      <c r="G150" s="1" t="n">
        <f aca="false">IF(E150=E149,F150/F149-1,"")</f>
        <v>0</v>
      </c>
    </row>
    <row r="151" customFormat="false" ht="14.25" hidden="false" customHeight="true" outlineLevel="0" collapsed="false">
      <c r="A151" s="26" t="n">
        <v>21337</v>
      </c>
      <c r="B151" s="1" t="n">
        <v>1958</v>
      </c>
      <c r="C151" s="1" t="n">
        <v>6</v>
      </c>
      <c r="D151" s="1" t="s">
        <v>47</v>
      </c>
      <c r="E151" s="1" t="s">
        <v>13</v>
      </c>
      <c r="F151" s="1" t="n">
        <v>35.08</v>
      </c>
      <c r="G151" s="1" t="n">
        <f aca="false">IF(E151=E150,F151/F150-1,"")</f>
        <v>0</v>
      </c>
    </row>
    <row r="152" customFormat="false" ht="14.25" hidden="false" customHeight="true" outlineLevel="0" collapsed="false">
      <c r="A152" s="26" t="n">
        <v>21367</v>
      </c>
      <c r="B152" s="1" t="n">
        <v>1958</v>
      </c>
      <c r="C152" s="1" t="n">
        <v>7</v>
      </c>
      <c r="D152" s="1" t="s">
        <v>48</v>
      </c>
      <c r="E152" s="1" t="s">
        <v>13</v>
      </c>
      <c r="F152" s="1" t="n">
        <v>34.96</v>
      </c>
      <c r="G152" s="1" t="n">
        <f aca="false">IF(E152=E151,F152/F151-1,"")</f>
        <v>-0.0034207525655644</v>
      </c>
    </row>
    <row r="153" customFormat="false" ht="14.25" hidden="false" customHeight="true" outlineLevel="0" collapsed="false">
      <c r="A153" s="26" t="n">
        <v>21398</v>
      </c>
      <c r="B153" s="1" t="n">
        <v>1958</v>
      </c>
      <c r="C153" s="1" t="n">
        <v>8</v>
      </c>
      <c r="D153" s="1" t="s">
        <v>49</v>
      </c>
      <c r="E153" s="1" t="s">
        <v>13</v>
      </c>
      <c r="F153" s="1" t="n">
        <v>35.08</v>
      </c>
      <c r="G153" s="1" t="n">
        <f aca="false">IF(E153=E152,F153/F152-1,"")</f>
        <v>0.00343249427917614</v>
      </c>
    </row>
    <row r="154" customFormat="false" ht="14.25" hidden="false" customHeight="true" outlineLevel="0" collapsed="false">
      <c r="A154" s="26" t="n">
        <v>21429</v>
      </c>
      <c r="B154" s="1" t="n">
        <v>1958</v>
      </c>
      <c r="C154" s="1" t="n">
        <v>9</v>
      </c>
      <c r="D154" s="1" t="s">
        <v>50</v>
      </c>
      <c r="E154" s="1" t="s">
        <v>13</v>
      </c>
      <c r="F154" s="1" t="n">
        <v>35.08</v>
      </c>
      <c r="G154" s="1" t="n">
        <f aca="false">IF(E154=E153,F154/F153-1,"")</f>
        <v>0</v>
      </c>
    </row>
    <row r="155" customFormat="false" ht="14.25" hidden="false" customHeight="true" outlineLevel="0" collapsed="false">
      <c r="A155" s="26" t="n">
        <v>21459</v>
      </c>
      <c r="B155" s="1" t="n">
        <v>1958</v>
      </c>
      <c r="C155" s="1" t="n">
        <v>10</v>
      </c>
      <c r="D155" s="1" t="s">
        <v>51</v>
      </c>
      <c r="E155" s="1" t="s">
        <v>13</v>
      </c>
      <c r="F155" s="1" t="n">
        <v>35.08</v>
      </c>
      <c r="G155" s="1" t="n">
        <f aca="false">IF(E155=E154,F155/F154-1,"")</f>
        <v>0</v>
      </c>
    </row>
    <row r="156" customFormat="false" ht="14.25" hidden="false" customHeight="true" outlineLevel="0" collapsed="false">
      <c r="A156" s="26" t="n">
        <v>21490</v>
      </c>
      <c r="B156" s="1" t="n">
        <v>1958</v>
      </c>
      <c r="C156" s="1" t="n">
        <v>11</v>
      </c>
      <c r="D156" s="1" t="s">
        <v>52</v>
      </c>
      <c r="E156" s="1" t="s">
        <v>13</v>
      </c>
      <c r="F156" s="1" t="n">
        <v>34.16</v>
      </c>
      <c r="G156" s="1" t="n">
        <f aca="false">IF(E156=E155,F156/F155-1,"")</f>
        <v>-0.0262257696693273</v>
      </c>
    </row>
    <row r="157" customFormat="false" ht="14.25" hidden="false" customHeight="true" outlineLevel="0" collapsed="false">
      <c r="A157" s="26" t="n">
        <v>21520</v>
      </c>
      <c r="B157" s="1" t="n">
        <v>1958</v>
      </c>
      <c r="C157" s="1" t="n">
        <v>12</v>
      </c>
      <c r="D157" s="1" t="s">
        <v>53</v>
      </c>
      <c r="E157" s="1" t="s">
        <v>13</v>
      </c>
      <c r="F157" s="1" t="n">
        <v>34.28</v>
      </c>
      <c r="G157" s="1" t="n">
        <f aca="false">IF(E157=E156,F157/F156-1,"")</f>
        <v>0.00351288056206101</v>
      </c>
    </row>
    <row r="158" customFormat="false" ht="14.25" hidden="false" customHeight="true" outlineLevel="0" collapsed="false">
      <c r="A158" s="26" t="n">
        <v>21551</v>
      </c>
      <c r="B158" s="1" t="n">
        <v>1959</v>
      </c>
      <c r="C158" s="1" t="n">
        <v>1</v>
      </c>
      <c r="D158" s="1" t="s">
        <v>42</v>
      </c>
      <c r="E158" s="1" t="s">
        <v>13</v>
      </c>
      <c r="F158" s="1" t="n">
        <v>34.16</v>
      </c>
      <c r="G158" s="1" t="n">
        <f aca="false">IF(E158=E157,F158/F157-1,"")</f>
        <v>-0.00350058343057191</v>
      </c>
    </row>
    <row r="159" customFormat="false" ht="14.25" hidden="false" customHeight="true" outlineLevel="0" collapsed="false">
      <c r="A159" s="26" t="n">
        <v>21582</v>
      </c>
      <c r="B159" s="1" t="n">
        <v>1959</v>
      </c>
      <c r="C159" s="1" t="n">
        <v>2</v>
      </c>
      <c r="D159" s="1" t="s">
        <v>43</v>
      </c>
      <c r="E159" s="1" t="s">
        <v>13</v>
      </c>
      <c r="F159" s="1" t="n">
        <v>34.28</v>
      </c>
      <c r="G159" s="1" t="n">
        <f aca="false">IF(E159=E158,F159/F158-1,"")</f>
        <v>0.00351288056206101</v>
      </c>
    </row>
    <row r="160" customFormat="false" ht="14.25" hidden="false" customHeight="true" outlineLevel="0" collapsed="false">
      <c r="A160" s="26" t="n">
        <v>21610</v>
      </c>
      <c r="B160" s="1" t="n">
        <v>1959</v>
      </c>
      <c r="C160" s="1" t="n">
        <v>3</v>
      </c>
      <c r="D160" s="1" t="s">
        <v>44</v>
      </c>
      <c r="E160" s="1" t="s">
        <v>13</v>
      </c>
      <c r="F160" s="1" t="n">
        <v>33.94</v>
      </c>
      <c r="G160" s="1" t="n">
        <f aca="false">IF(E160=E159,F160/F159-1,"")</f>
        <v>-0.00991831971995338</v>
      </c>
    </row>
    <row r="161" customFormat="false" ht="14.25" hidden="false" customHeight="true" outlineLevel="0" collapsed="false">
      <c r="A161" s="26" t="n">
        <v>21641</v>
      </c>
      <c r="B161" s="1" t="n">
        <v>1959</v>
      </c>
      <c r="C161" s="1" t="n">
        <v>4</v>
      </c>
      <c r="D161" s="1" t="s">
        <v>45</v>
      </c>
      <c r="E161" s="1" t="s">
        <v>13</v>
      </c>
      <c r="F161" s="1" t="n">
        <v>33.82</v>
      </c>
      <c r="G161" s="1" t="n">
        <f aca="false">IF(E161=E160,F161/F160-1,"")</f>
        <v>-0.00353565114908649</v>
      </c>
    </row>
    <row r="162" customFormat="false" ht="14.25" hidden="false" customHeight="true" outlineLevel="0" collapsed="false">
      <c r="A162" s="26" t="n">
        <v>21671</v>
      </c>
      <c r="B162" s="1" t="n">
        <v>1959</v>
      </c>
      <c r="C162" s="1" t="n">
        <v>5</v>
      </c>
      <c r="D162" s="1" t="s">
        <v>46</v>
      </c>
      <c r="E162" s="1" t="s">
        <v>13</v>
      </c>
      <c r="F162" s="1" t="n">
        <v>33.82</v>
      </c>
      <c r="G162" s="1" t="n">
        <f aca="false">IF(E162=E161,F162/F161-1,"")</f>
        <v>0</v>
      </c>
    </row>
    <row r="163" customFormat="false" ht="14.25" hidden="false" customHeight="true" outlineLevel="0" collapsed="false">
      <c r="A163" s="26" t="n">
        <v>21702</v>
      </c>
      <c r="B163" s="1" t="n">
        <v>1959</v>
      </c>
      <c r="C163" s="1" t="n">
        <v>6</v>
      </c>
      <c r="D163" s="1" t="s">
        <v>47</v>
      </c>
      <c r="E163" s="1" t="s">
        <v>13</v>
      </c>
      <c r="F163" s="1" t="n">
        <v>33.7</v>
      </c>
      <c r="G163" s="1" t="n">
        <f aca="false">IF(E163=E162,F163/F162-1,"")</f>
        <v>-0.00354819633353043</v>
      </c>
    </row>
    <row r="164" customFormat="false" ht="14.25" hidden="false" customHeight="true" outlineLevel="0" collapsed="false">
      <c r="A164" s="26" t="n">
        <v>21732</v>
      </c>
      <c r="B164" s="1" t="n">
        <v>1959</v>
      </c>
      <c r="C164" s="1" t="n">
        <v>7</v>
      </c>
      <c r="D164" s="1" t="s">
        <v>48</v>
      </c>
      <c r="E164" s="1" t="s">
        <v>13</v>
      </c>
      <c r="F164" s="1" t="n">
        <v>33.59</v>
      </c>
      <c r="G164" s="1" t="n">
        <f aca="false">IF(E164=E163,F164/F163-1,"")</f>
        <v>-0.00326409495548963</v>
      </c>
    </row>
    <row r="165" customFormat="false" ht="14.25" hidden="false" customHeight="true" outlineLevel="0" collapsed="false">
      <c r="A165" s="26" t="n">
        <v>21763</v>
      </c>
      <c r="B165" s="1" t="n">
        <v>1959</v>
      </c>
      <c r="C165" s="1" t="n">
        <v>8</v>
      </c>
      <c r="D165" s="1" t="s">
        <v>49</v>
      </c>
      <c r="E165" s="1" t="s">
        <v>13</v>
      </c>
      <c r="F165" s="1" t="n">
        <v>33.59</v>
      </c>
      <c r="G165" s="1" t="n">
        <f aca="false">IF(E165=E164,F165/F164-1,"")</f>
        <v>0</v>
      </c>
    </row>
    <row r="166" customFormat="false" ht="14.25" hidden="false" customHeight="true" outlineLevel="0" collapsed="false">
      <c r="A166" s="26" t="n">
        <v>21794</v>
      </c>
      <c r="B166" s="1" t="n">
        <v>1959</v>
      </c>
      <c r="C166" s="1" t="n">
        <v>9</v>
      </c>
      <c r="D166" s="1" t="s">
        <v>50</v>
      </c>
      <c r="E166" s="1" t="s">
        <v>13</v>
      </c>
      <c r="F166" s="1" t="n">
        <v>33.47</v>
      </c>
      <c r="G166" s="1" t="n">
        <f aca="false">IF(E166=E165,F166/F165-1,"")</f>
        <v>-0.00357249181303976</v>
      </c>
    </row>
    <row r="167" customFormat="false" ht="14.25" hidden="false" customHeight="true" outlineLevel="0" collapsed="false">
      <c r="A167" s="26" t="n">
        <v>21824</v>
      </c>
      <c r="B167" s="1" t="n">
        <v>1959</v>
      </c>
      <c r="C167" s="1" t="n">
        <v>10</v>
      </c>
      <c r="D167" s="1" t="s">
        <v>51</v>
      </c>
      <c r="E167" s="1" t="s">
        <v>13</v>
      </c>
      <c r="F167" s="1" t="n">
        <v>33.36</v>
      </c>
      <c r="G167" s="1" t="n">
        <f aca="false">IF(E167=E166,F167/F166-1,"")</f>
        <v>-0.00328652524648942</v>
      </c>
    </row>
    <row r="168" customFormat="false" ht="14.25" hidden="false" customHeight="true" outlineLevel="0" collapsed="false">
      <c r="A168" s="26" t="n">
        <v>21855</v>
      </c>
      <c r="B168" s="1" t="n">
        <v>1959</v>
      </c>
      <c r="C168" s="1" t="n">
        <v>11</v>
      </c>
      <c r="D168" s="1" t="s">
        <v>52</v>
      </c>
      <c r="E168" s="1" t="s">
        <v>13</v>
      </c>
      <c r="F168" s="1" t="n">
        <v>33.36</v>
      </c>
      <c r="G168" s="1" t="n">
        <f aca="false">IF(E168=E167,F168/F167-1,"")</f>
        <v>0</v>
      </c>
    </row>
    <row r="169" customFormat="false" ht="14.25" hidden="false" customHeight="true" outlineLevel="0" collapsed="false">
      <c r="A169" s="26" t="n">
        <v>21885</v>
      </c>
      <c r="B169" s="1" t="n">
        <v>1959</v>
      </c>
      <c r="C169" s="1" t="n">
        <v>12</v>
      </c>
      <c r="D169" s="1" t="s">
        <v>53</v>
      </c>
      <c r="E169" s="1" t="s">
        <v>13</v>
      </c>
      <c r="F169" s="1" t="n">
        <v>33.36</v>
      </c>
      <c r="G169" s="1" t="n">
        <f aca="false">IF(E169=E168,F169/F168-1,"")</f>
        <v>0</v>
      </c>
    </row>
    <row r="170" customFormat="false" ht="14.25" hidden="false" customHeight="true" outlineLevel="0" collapsed="false">
      <c r="A170" s="26" t="n">
        <v>21916</v>
      </c>
      <c r="B170" s="1" t="n">
        <v>1960</v>
      </c>
      <c r="C170" s="1" t="n">
        <v>1</v>
      </c>
      <c r="D170" s="1" t="s">
        <v>42</v>
      </c>
      <c r="E170" s="1" t="s">
        <v>13</v>
      </c>
      <c r="F170" s="1" t="n">
        <v>33.47</v>
      </c>
      <c r="G170" s="1" t="n">
        <f aca="false">IF(E170=E169,F170/F169-1,"")</f>
        <v>0.00329736211031184</v>
      </c>
    </row>
    <row r="171" customFormat="false" ht="14.25" hidden="false" customHeight="true" outlineLevel="0" collapsed="false">
      <c r="A171" s="26" t="n">
        <v>21947</v>
      </c>
      <c r="B171" s="1" t="n">
        <v>1960</v>
      </c>
      <c r="C171" s="1" t="n">
        <v>2</v>
      </c>
      <c r="D171" s="1" t="s">
        <v>43</v>
      </c>
      <c r="E171" s="1" t="s">
        <v>13</v>
      </c>
      <c r="F171" s="1" t="n">
        <v>33.36</v>
      </c>
      <c r="G171" s="1" t="n">
        <f aca="false">IF(E171=E170,F171/F170-1,"")</f>
        <v>-0.00328652524648942</v>
      </c>
    </row>
    <row r="172" customFormat="false" ht="14.25" hidden="false" customHeight="true" outlineLevel="0" collapsed="false">
      <c r="A172" s="26" t="n">
        <v>21976</v>
      </c>
      <c r="B172" s="1" t="n">
        <v>1960</v>
      </c>
      <c r="C172" s="1" t="n">
        <v>3</v>
      </c>
      <c r="D172" s="1" t="s">
        <v>44</v>
      </c>
      <c r="E172" s="1" t="s">
        <v>13</v>
      </c>
      <c r="F172" s="1" t="n">
        <v>33.36</v>
      </c>
      <c r="G172" s="1" t="n">
        <f aca="false">IF(E172=E171,F172/F171-1,"")</f>
        <v>0</v>
      </c>
    </row>
    <row r="173" customFormat="false" ht="14.25" hidden="false" customHeight="true" outlineLevel="0" collapsed="false">
      <c r="A173" s="26" t="n">
        <v>22007</v>
      </c>
      <c r="B173" s="1" t="n">
        <v>1960</v>
      </c>
      <c r="C173" s="1" t="n">
        <v>4</v>
      </c>
      <c r="D173" s="1" t="s">
        <v>45</v>
      </c>
      <c r="E173" s="1" t="s">
        <v>13</v>
      </c>
      <c r="F173" s="1" t="n">
        <v>33.25</v>
      </c>
      <c r="G173" s="1" t="n">
        <f aca="false">IF(E173=E172,F173/F172-1,"")</f>
        <v>-0.00329736211031173</v>
      </c>
    </row>
    <row r="174" customFormat="false" ht="14.25" hidden="false" customHeight="true" outlineLevel="0" collapsed="false">
      <c r="A174" s="26" t="n">
        <v>22037</v>
      </c>
      <c r="B174" s="1" t="n">
        <v>1960</v>
      </c>
      <c r="C174" s="1" t="n">
        <v>5</v>
      </c>
      <c r="D174" s="1" t="s">
        <v>46</v>
      </c>
      <c r="E174" s="1" t="s">
        <v>13</v>
      </c>
      <c r="F174" s="1" t="n">
        <v>33.25</v>
      </c>
      <c r="G174" s="1" t="n">
        <f aca="false">IF(E174=E173,F174/F173-1,"")</f>
        <v>0</v>
      </c>
    </row>
    <row r="175" customFormat="false" ht="14.25" hidden="false" customHeight="true" outlineLevel="0" collapsed="false">
      <c r="A175" s="26" t="n">
        <v>22068</v>
      </c>
      <c r="B175" s="1" t="n">
        <v>1960</v>
      </c>
      <c r="C175" s="1" t="n">
        <v>6</v>
      </c>
      <c r="D175" s="1" t="s">
        <v>47</v>
      </c>
      <c r="E175" s="1" t="s">
        <v>13</v>
      </c>
      <c r="F175" s="1" t="n">
        <v>33.13</v>
      </c>
      <c r="G175" s="1" t="n">
        <f aca="false">IF(E175=E174,F175/F174-1,"")</f>
        <v>-0.00360902255639095</v>
      </c>
    </row>
    <row r="176" customFormat="false" ht="14.25" hidden="false" customHeight="true" outlineLevel="0" collapsed="false">
      <c r="A176" s="26" t="n">
        <v>22098</v>
      </c>
      <c r="B176" s="1" t="n">
        <v>1960</v>
      </c>
      <c r="C176" s="1" t="n">
        <v>7</v>
      </c>
      <c r="D176" s="1" t="s">
        <v>48</v>
      </c>
      <c r="E176" s="1" t="s">
        <v>13</v>
      </c>
      <c r="F176" s="1" t="n">
        <v>33.13</v>
      </c>
      <c r="G176" s="1" t="n">
        <f aca="false">IF(E176=E175,F176/F175-1,"")</f>
        <v>0</v>
      </c>
    </row>
    <row r="177" customFormat="false" ht="14.25" hidden="false" customHeight="true" outlineLevel="0" collapsed="false">
      <c r="A177" s="26" t="n">
        <v>22129</v>
      </c>
      <c r="B177" s="1" t="n">
        <v>1960</v>
      </c>
      <c r="C177" s="1" t="n">
        <v>8</v>
      </c>
      <c r="D177" s="1" t="s">
        <v>49</v>
      </c>
      <c r="E177" s="1" t="s">
        <v>13</v>
      </c>
      <c r="F177" s="1" t="n">
        <v>33.13</v>
      </c>
      <c r="G177" s="1" t="n">
        <f aca="false">IF(E177=E176,F177/F176-1,"")</f>
        <v>0</v>
      </c>
    </row>
    <row r="178" customFormat="false" ht="14.25" hidden="false" customHeight="true" outlineLevel="0" collapsed="false">
      <c r="A178" s="26" t="n">
        <v>22160</v>
      </c>
      <c r="B178" s="1" t="n">
        <v>1960</v>
      </c>
      <c r="C178" s="1" t="n">
        <v>9</v>
      </c>
      <c r="D178" s="1" t="s">
        <v>50</v>
      </c>
      <c r="E178" s="1" t="s">
        <v>13</v>
      </c>
      <c r="F178" s="1" t="n">
        <v>33.13</v>
      </c>
      <c r="G178" s="1" t="n">
        <f aca="false">IF(E178=E177,F178/F177-1,"")</f>
        <v>0</v>
      </c>
    </row>
    <row r="179" customFormat="false" ht="14.25" hidden="false" customHeight="true" outlineLevel="0" collapsed="false">
      <c r="A179" s="26" t="n">
        <v>22190</v>
      </c>
      <c r="B179" s="1" t="n">
        <v>1960</v>
      </c>
      <c r="C179" s="1" t="n">
        <v>10</v>
      </c>
      <c r="D179" s="1" t="s">
        <v>51</v>
      </c>
      <c r="E179" s="1" t="s">
        <v>13</v>
      </c>
      <c r="F179" s="1" t="n">
        <v>32.91</v>
      </c>
      <c r="G179" s="1" t="n">
        <f aca="false">IF(E179=E178,F179/F178-1,"")</f>
        <v>-0.00664050709326913</v>
      </c>
    </row>
    <row r="180" customFormat="false" ht="14.25" hidden="false" customHeight="true" outlineLevel="0" collapsed="false">
      <c r="A180" s="26" t="n">
        <v>22221</v>
      </c>
      <c r="B180" s="1" t="n">
        <v>1960</v>
      </c>
      <c r="C180" s="1" t="n">
        <v>11</v>
      </c>
      <c r="D180" s="1" t="s">
        <v>52</v>
      </c>
      <c r="E180" s="1" t="s">
        <v>13</v>
      </c>
      <c r="F180" s="1" t="n">
        <v>32.91</v>
      </c>
      <c r="G180" s="1" t="n">
        <f aca="false">IF(E180=E179,F180/F179-1,"")</f>
        <v>0</v>
      </c>
    </row>
    <row r="181" customFormat="false" ht="14.25" hidden="false" customHeight="true" outlineLevel="0" collapsed="false">
      <c r="A181" s="26" t="n">
        <v>22251</v>
      </c>
      <c r="B181" s="1" t="n">
        <v>1960</v>
      </c>
      <c r="C181" s="1" t="n">
        <v>12</v>
      </c>
      <c r="D181" s="1" t="s">
        <v>53</v>
      </c>
      <c r="E181" s="1" t="s">
        <v>13</v>
      </c>
      <c r="F181" s="1" t="n">
        <v>32.91</v>
      </c>
      <c r="G181" s="1" t="n">
        <f aca="false">IF(E181=E180,F181/F180-1,"")</f>
        <v>0</v>
      </c>
    </row>
    <row r="182" customFormat="false" ht="14.25" hidden="false" customHeight="true" outlineLevel="0" collapsed="false">
      <c r="A182" s="26" t="n">
        <v>22282</v>
      </c>
      <c r="B182" s="1" t="n">
        <v>1961</v>
      </c>
      <c r="C182" s="1" t="n">
        <v>1</v>
      </c>
      <c r="D182" s="1" t="s">
        <v>42</v>
      </c>
      <c r="E182" s="1" t="s">
        <v>13</v>
      </c>
      <c r="F182" s="1" t="n">
        <v>32.91</v>
      </c>
      <c r="G182" s="1" t="n">
        <f aca="false">IF(E182=E181,F182/F181-1,"")</f>
        <v>0</v>
      </c>
    </row>
    <row r="183" customFormat="false" ht="14.25" hidden="false" customHeight="true" outlineLevel="0" collapsed="false">
      <c r="A183" s="26" t="n">
        <v>22313</v>
      </c>
      <c r="B183" s="1" t="n">
        <v>1961</v>
      </c>
      <c r="C183" s="1" t="n">
        <v>2</v>
      </c>
      <c r="D183" s="1" t="s">
        <v>43</v>
      </c>
      <c r="E183" s="1" t="s">
        <v>13</v>
      </c>
      <c r="F183" s="1" t="n">
        <v>32.91</v>
      </c>
      <c r="G183" s="1" t="n">
        <f aca="false">IF(E183=E182,F183/F182-1,"")</f>
        <v>0</v>
      </c>
    </row>
    <row r="184" customFormat="false" ht="14.25" hidden="false" customHeight="true" outlineLevel="0" collapsed="false">
      <c r="A184" s="26" t="n">
        <v>22341</v>
      </c>
      <c r="B184" s="1" t="n">
        <v>1961</v>
      </c>
      <c r="C184" s="1" t="n">
        <v>3</v>
      </c>
      <c r="D184" s="1" t="s">
        <v>44</v>
      </c>
      <c r="E184" s="1" t="s">
        <v>13</v>
      </c>
      <c r="F184" s="1" t="n">
        <v>32.91</v>
      </c>
      <c r="G184" s="1" t="n">
        <f aca="false">IF(E184=E183,F184/F183-1,"")</f>
        <v>0</v>
      </c>
    </row>
    <row r="185" customFormat="false" ht="14.25" hidden="false" customHeight="true" outlineLevel="0" collapsed="false">
      <c r="A185" s="26" t="n">
        <v>22372</v>
      </c>
      <c r="B185" s="1" t="n">
        <v>1961</v>
      </c>
      <c r="C185" s="1" t="n">
        <v>4</v>
      </c>
      <c r="D185" s="1" t="s">
        <v>45</v>
      </c>
      <c r="E185" s="1" t="s">
        <v>13</v>
      </c>
      <c r="F185" s="1" t="n">
        <v>32.91</v>
      </c>
      <c r="G185" s="1" t="n">
        <f aca="false">IF(E185=E184,F185/F184-1,"")</f>
        <v>0</v>
      </c>
    </row>
    <row r="186" customFormat="false" ht="14.25" hidden="false" customHeight="true" outlineLevel="0" collapsed="false">
      <c r="A186" s="26" t="n">
        <v>22402</v>
      </c>
      <c r="B186" s="1" t="n">
        <v>1961</v>
      </c>
      <c r="C186" s="1" t="n">
        <v>5</v>
      </c>
      <c r="D186" s="1" t="s">
        <v>46</v>
      </c>
      <c r="E186" s="1" t="s">
        <v>13</v>
      </c>
      <c r="F186" s="1" t="n">
        <v>32.91</v>
      </c>
      <c r="G186" s="1" t="n">
        <f aca="false">IF(E186=E185,F186/F185-1,"")</f>
        <v>0</v>
      </c>
    </row>
    <row r="187" customFormat="false" ht="14.25" hidden="false" customHeight="true" outlineLevel="0" collapsed="false">
      <c r="A187" s="26" t="n">
        <v>22433</v>
      </c>
      <c r="B187" s="1" t="n">
        <v>1961</v>
      </c>
      <c r="C187" s="1" t="n">
        <v>6</v>
      </c>
      <c r="D187" s="1" t="s">
        <v>47</v>
      </c>
      <c r="E187" s="1" t="s">
        <v>13</v>
      </c>
      <c r="F187" s="1" t="n">
        <v>32.91</v>
      </c>
      <c r="G187" s="1" t="n">
        <f aca="false">IF(E187=E186,F187/F186-1,"")</f>
        <v>0</v>
      </c>
    </row>
    <row r="188" customFormat="false" ht="14.25" hidden="false" customHeight="true" outlineLevel="0" collapsed="false">
      <c r="A188" s="26" t="n">
        <v>22463</v>
      </c>
      <c r="B188" s="1" t="n">
        <v>1961</v>
      </c>
      <c r="C188" s="1" t="n">
        <v>7</v>
      </c>
      <c r="D188" s="1" t="s">
        <v>48</v>
      </c>
      <c r="E188" s="1" t="s">
        <v>13</v>
      </c>
      <c r="F188" s="1" t="n">
        <v>32.69</v>
      </c>
      <c r="G188" s="1" t="n">
        <f aca="false">IF(E188=E187,F188/F187-1,"")</f>
        <v>-0.00668489820723184</v>
      </c>
    </row>
    <row r="189" customFormat="false" ht="14.25" hidden="false" customHeight="true" outlineLevel="0" collapsed="false">
      <c r="A189" s="26" t="n">
        <v>22494</v>
      </c>
      <c r="B189" s="1" t="n">
        <v>1961</v>
      </c>
      <c r="C189" s="1" t="n">
        <v>8</v>
      </c>
      <c r="D189" s="1" t="s">
        <v>49</v>
      </c>
      <c r="E189" s="1" t="s">
        <v>13</v>
      </c>
      <c r="F189" s="1" t="n">
        <v>32.8</v>
      </c>
      <c r="G189" s="1" t="n">
        <f aca="false">IF(E189=E188,F189/F188-1,"")</f>
        <v>0.00336494340777005</v>
      </c>
    </row>
    <row r="190" customFormat="false" ht="14.25" hidden="false" customHeight="true" outlineLevel="0" collapsed="false">
      <c r="A190" s="26" t="n">
        <v>22525</v>
      </c>
      <c r="B190" s="1" t="n">
        <v>1961</v>
      </c>
      <c r="C190" s="1" t="n">
        <v>9</v>
      </c>
      <c r="D190" s="1" t="s">
        <v>50</v>
      </c>
      <c r="E190" s="1" t="s">
        <v>13</v>
      </c>
      <c r="F190" s="1" t="n">
        <v>32.69</v>
      </c>
      <c r="G190" s="1" t="n">
        <f aca="false">IF(E190=E189,F190/F189-1,"")</f>
        <v>-0.00335365853658531</v>
      </c>
    </row>
    <row r="191" customFormat="false" ht="14.25" hidden="false" customHeight="true" outlineLevel="0" collapsed="false">
      <c r="A191" s="26" t="n">
        <v>22555</v>
      </c>
      <c r="B191" s="1" t="n">
        <v>1961</v>
      </c>
      <c r="C191" s="1" t="n">
        <v>10</v>
      </c>
      <c r="D191" s="1" t="s">
        <v>51</v>
      </c>
      <c r="E191" s="1" t="s">
        <v>13</v>
      </c>
      <c r="F191" s="1" t="n">
        <v>32.69</v>
      </c>
      <c r="G191" s="1" t="n">
        <f aca="false">IF(E191=E190,F191/F190-1,"")</f>
        <v>0</v>
      </c>
    </row>
    <row r="192" customFormat="false" ht="14.25" hidden="false" customHeight="true" outlineLevel="0" collapsed="false">
      <c r="A192" s="26" t="n">
        <v>22586</v>
      </c>
      <c r="B192" s="1" t="n">
        <v>1961</v>
      </c>
      <c r="C192" s="1" t="n">
        <v>11</v>
      </c>
      <c r="D192" s="1" t="s">
        <v>52</v>
      </c>
      <c r="E192" s="1" t="s">
        <v>13</v>
      </c>
      <c r="F192" s="1" t="n">
        <v>32.69</v>
      </c>
      <c r="G192" s="1" t="n">
        <f aca="false">IF(E192=E191,F192/F191-1,"")</f>
        <v>0</v>
      </c>
    </row>
    <row r="193" customFormat="false" ht="14.25" hidden="false" customHeight="true" outlineLevel="0" collapsed="false">
      <c r="A193" s="26" t="n">
        <v>22616</v>
      </c>
      <c r="B193" s="1" t="n">
        <v>1961</v>
      </c>
      <c r="C193" s="1" t="n">
        <v>12</v>
      </c>
      <c r="D193" s="1" t="s">
        <v>53</v>
      </c>
      <c r="E193" s="1" t="s">
        <v>13</v>
      </c>
      <c r="F193" s="1" t="n">
        <v>32.69</v>
      </c>
      <c r="G193" s="1" t="n">
        <f aca="false">IF(E193=E192,F193/F192-1,"")</f>
        <v>0</v>
      </c>
    </row>
    <row r="194" customFormat="false" ht="14.25" hidden="false" customHeight="true" outlineLevel="0" collapsed="false">
      <c r="A194" s="26" t="n">
        <v>22647</v>
      </c>
      <c r="B194" s="1" t="n">
        <v>1962</v>
      </c>
      <c r="C194" s="1" t="n">
        <v>1</v>
      </c>
      <c r="D194" s="1" t="s">
        <v>42</v>
      </c>
      <c r="E194" s="1" t="s">
        <v>13</v>
      </c>
      <c r="F194" s="1" t="n">
        <v>32.69</v>
      </c>
      <c r="G194" s="1" t="n">
        <f aca="false">IF(E194=E193,F194/F193-1,"")</f>
        <v>0</v>
      </c>
    </row>
    <row r="195" customFormat="false" ht="14.25" hidden="false" customHeight="true" outlineLevel="0" collapsed="false">
      <c r="A195" s="26" t="n">
        <v>22678</v>
      </c>
      <c r="B195" s="1" t="n">
        <v>1962</v>
      </c>
      <c r="C195" s="1" t="n">
        <v>2</v>
      </c>
      <c r="D195" s="1" t="s">
        <v>43</v>
      </c>
      <c r="E195" s="1" t="s">
        <v>13</v>
      </c>
      <c r="F195" s="1" t="n">
        <v>32.58</v>
      </c>
      <c r="G195" s="1" t="n">
        <f aca="false">IF(E195=E194,F195/F194-1,"")</f>
        <v>-0.00336494340776994</v>
      </c>
    </row>
    <row r="196" customFormat="false" ht="14.25" hidden="false" customHeight="true" outlineLevel="0" collapsed="false">
      <c r="A196" s="26" t="n">
        <v>22706</v>
      </c>
      <c r="B196" s="1" t="n">
        <v>1962</v>
      </c>
      <c r="C196" s="1" t="n">
        <v>3</v>
      </c>
      <c r="D196" s="1" t="s">
        <v>44</v>
      </c>
      <c r="E196" s="1" t="s">
        <v>13</v>
      </c>
      <c r="F196" s="1" t="n">
        <v>32.58</v>
      </c>
      <c r="G196" s="1" t="n">
        <f aca="false">IF(E196=E195,F196/F195-1,"")</f>
        <v>0</v>
      </c>
    </row>
    <row r="197" customFormat="false" ht="14.25" hidden="false" customHeight="true" outlineLevel="0" collapsed="false">
      <c r="A197" s="26" t="n">
        <v>22737</v>
      </c>
      <c r="B197" s="1" t="n">
        <v>1962</v>
      </c>
      <c r="C197" s="1" t="n">
        <v>4</v>
      </c>
      <c r="D197" s="1" t="s">
        <v>45</v>
      </c>
      <c r="E197" s="1" t="s">
        <v>13</v>
      </c>
      <c r="F197" s="1" t="n">
        <v>32.47</v>
      </c>
      <c r="G197" s="1" t="n">
        <f aca="false">IF(E197=E196,F197/F196-1,"")</f>
        <v>-0.00337630448127679</v>
      </c>
    </row>
    <row r="198" customFormat="false" ht="14.25" hidden="false" customHeight="true" outlineLevel="0" collapsed="false">
      <c r="A198" s="26" t="n">
        <v>22767</v>
      </c>
      <c r="B198" s="1" t="n">
        <v>1962</v>
      </c>
      <c r="C198" s="1" t="n">
        <v>5</v>
      </c>
      <c r="D198" s="1" t="s">
        <v>46</v>
      </c>
      <c r="E198" s="1" t="s">
        <v>13</v>
      </c>
      <c r="F198" s="1" t="n">
        <v>32.47</v>
      </c>
      <c r="G198" s="1" t="n">
        <f aca="false">IF(E198=E197,F198/F197-1,"")</f>
        <v>0</v>
      </c>
    </row>
    <row r="199" customFormat="false" ht="14.25" hidden="false" customHeight="true" outlineLevel="0" collapsed="false">
      <c r="A199" s="26" t="n">
        <v>22798</v>
      </c>
      <c r="B199" s="1" t="n">
        <v>1962</v>
      </c>
      <c r="C199" s="1" t="n">
        <v>6</v>
      </c>
      <c r="D199" s="1" t="s">
        <v>47</v>
      </c>
      <c r="E199" s="1" t="s">
        <v>13</v>
      </c>
      <c r="F199" s="1" t="n">
        <v>32.47</v>
      </c>
      <c r="G199" s="1" t="n">
        <f aca="false">IF(E199=E198,F199/F198-1,"")</f>
        <v>0</v>
      </c>
    </row>
    <row r="200" customFormat="false" ht="14.25" hidden="false" customHeight="true" outlineLevel="0" collapsed="false">
      <c r="A200" s="26" t="n">
        <v>22828</v>
      </c>
      <c r="B200" s="1" t="n">
        <v>1962</v>
      </c>
      <c r="C200" s="1" t="n">
        <v>7</v>
      </c>
      <c r="D200" s="1" t="s">
        <v>48</v>
      </c>
      <c r="E200" s="1" t="s">
        <v>13</v>
      </c>
      <c r="F200" s="1" t="n">
        <v>32.37</v>
      </c>
      <c r="G200" s="1" t="n">
        <f aca="false">IF(E200=E199,F200/F199-1,"")</f>
        <v>-0.0030797659377888</v>
      </c>
    </row>
    <row r="201" customFormat="false" ht="14.25" hidden="false" customHeight="true" outlineLevel="0" collapsed="false">
      <c r="A201" s="26" t="n">
        <v>22859</v>
      </c>
      <c r="B201" s="1" t="n">
        <v>1962</v>
      </c>
      <c r="C201" s="1" t="n">
        <v>8</v>
      </c>
      <c r="D201" s="1" t="s">
        <v>49</v>
      </c>
      <c r="E201" s="1" t="s">
        <v>13</v>
      </c>
      <c r="F201" s="1" t="n">
        <v>32.37</v>
      </c>
      <c r="G201" s="1" t="n">
        <f aca="false">IF(E201=E200,F201/F200-1,"")</f>
        <v>0</v>
      </c>
    </row>
    <row r="202" customFormat="false" ht="14.25" hidden="false" customHeight="true" outlineLevel="0" collapsed="false">
      <c r="A202" s="26" t="n">
        <v>22890</v>
      </c>
      <c r="B202" s="1" t="n">
        <v>1962</v>
      </c>
      <c r="C202" s="1" t="n">
        <v>9</v>
      </c>
      <c r="D202" s="1" t="s">
        <v>50</v>
      </c>
      <c r="E202" s="1" t="s">
        <v>13</v>
      </c>
      <c r="F202" s="1" t="n">
        <v>32.26</v>
      </c>
      <c r="G202" s="1" t="n">
        <f aca="false">IF(E202=E201,F202/F201-1,"")</f>
        <v>-0.00339820821748527</v>
      </c>
    </row>
    <row r="203" customFormat="false" ht="14.25" hidden="false" customHeight="true" outlineLevel="0" collapsed="false">
      <c r="A203" s="26" t="n">
        <v>22920</v>
      </c>
      <c r="B203" s="1" t="n">
        <v>1962</v>
      </c>
      <c r="C203" s="1" t="n">
        <v>10</v>
      </c>
      <c r="D203" s="1" t="s">
        <v>51</v>
      </c>
      <c r="E203" s="1" t="s">
        <v>13</v>
      </c>
      <c r="F203" s="1" t="n">
        <v>32.26</v>
      </c>
      <c r="G203" s="1" t="n">
        <f aca="false">IF(E203=E202,F203/F202-1,"")</f>
        <v>0</v>
      </c>
    </row>
    <row r="204" customFormat="false" ht="14.25" hidden="false" customHeight="true" outlineLevel="0" collapsed="false">
      <c r="A204" s="26" t="n">
        <v>22951</v>
      </c>
      <c r="B204" s="1" t="n">
        <v>1962</v>
      </c>
      <c r="C204" s="1" t="n">
        <v>11</v>
      </c>
      <c r="D204" s="1" t="s">
        <v>52</v>
      </c>
      <c r="E204" s="1" t="s">
        <v>13</v>
      </c>
      <c r="F204" s="1" t="n">
        <v>32.26</v>
      </c>
      <c r="G204" s="1" t="n">
        <f aca="false">IF(E204=E203,F204/F203-1,"")</f>
        <v>0</v>
      </c>
    </row>
    <row r="205" customFormat="false" ht="14.25" hidden="false" customHeight="true" outlineLevel="0" collapsed="false">
      <c r="A205" s="26" t="n">
        <v>22981</v>
      </c>
      <c r="B205" s="1" t="n">
        <v>1962</v>
      </c>
      <c r="C205" s="1" t="n">
        <v>12</v>
      </c>
      <c r="D205" s="1" t="s">
        <v>53</v>
      </c>
      <c r="E205" s="1" t="s">
        <v>13</v>
      </c>
      <c r="F205" s="1" t="n">
        <v>32.26</v>
      </c>
      <c r="G205" s="1" t="n">
        <f aca="false">IF(E205=E204,F205/F204-1,"")</f>
        <v>0</v>
      </c>
    </row>
    <row r="206" customFormat="false" ht="14.25" hidden="false" customHeight="true" outlineLevel="0" collapsed="false">
      <c r="A206" s="26" t="n">
        <v>23012</v>
      </c>
      <c r="B206" s="1" t="n">
        <v>1963</v>
      </c>
      <c r="C206" s="1" t="n">
        <v>1</v>
      </c>
      <c r="D206" s="1" t="s">
        <v>42</v>
      </c>
      <c r="E206" s="1" t="s">
        <v>13</v>
      </c>
      <c r="F206" s="1" t="n">
        <v>32.26</v>
      </c>
      <c r="G206" s="1" t="n">
        <f aca="false">IF(E206=E205,F206/F205-1,"")</f>
        <v>0</v>
      </c>
    </row>
    <row r="207" customFormat="false" ht="14.25" hidden="false" customHeight="true" outlineLevel="0" collapsed="false">
      <c r="A207" s="26" t="n">
        <v>23043</v>
      </c>
      <c r="B207" s="1" t="n">
        <v>1963</v>
      </c>
      <c r="C207" s="1" t="n">
        <v>2</v>
      </c>
      <c r="D207" s="1" t="s">
        <v>43</v>
      </c>
      <c r="E207" s="1" t="s">
        <v>13</v>
      </c>
      <c r="F207" s="1" t="n">
        <v>32.26</v>
      </c>
      <c r="G207" s="1" t="n">
        <f aca="false">IF(E207=E206,F207/F206-1,"")</f>
        <v>0</v>
      </c>
    </row>
    <row r="208" customFormat="false" ht="14.25" hidden="false" customHeight="true" outlineLevel="0" collapsed="false">
      <c r="A208" s="26" t="n">
        <v>23071</v>
      </c>
      <c r="B208" s="1" t="n">
        <v>1963</v>
      </c>
      <c r="C208" s="1" t="n">
        <v>3</v>
      </c>
      <c r="D208" s="1" t="s">
        <v>44</v>
      </c>
      <c r="E208" s="1" t="s">
        <v>13</v>
      </c>
      <c r="F208" s="1" t="n">
        <v>32.16</v>
      </c>
      <c r="G208" s="1" t="n">
        <f aca="false">IF(E208=E207,F208/F207-1,"")</f>
        <v>-0.00309981401115933</v>
      </c>
    </row>
    <row r="209" customFormat="false" ht="14.25" hidden="false" customHeight="true" outlineLevel="0" collapsed="false">
      <c r="A209" s="26" t="n">
        <v>23102</v>
      </c>
      <c r="B209" s="1" t="n">
        <v>1963</v>
      </c>
      <c r="C209" s="1" t="n">
        <v>4</v>
      </c>
      <c r="D209" s="1" t="s">
        <v>45</v>
      </c>
      <c r="E209" s="1" t="s">
        <v>13</v>
      </c>
      <c r="F209" s="1" t="n">
        <v>32.16</v>
      </c>
      <c r="G209" s="1" t="n">
        <f aca="false">IF(E209=E208,F209/F208-1,"")</f>
        <v>0</v>
      </c>
    </row>
    <row r="210" customFormat="false" ht="14.25" hidden="false" customHeight="true" outlineLevel="0" collapsed="false">
      <c r="A210" s="26" t="n">
        <v>23132</v>
      </c>
      <c r="B210" s="1" t="n">
        <v>1963</v>
      </c>
      <c r="C210" s="1" t="n">
        <v>5</v>
      </c>
      <c r="D210" s="1" t="s">
        <v>46</v>
      </c>
      <c r="E210" s="1" t="s">
        <v>13</v>
      </c>
      <c r="F210" s="1" t="n">
        <v>32.16</v>
      </c>
      <c r="G210" s="1" t="n">
        <f aca="false">IF(E210=E209,F210/F209-1,"")</f>
        <v>0</v>
      </c>
    </row>
    <row r="211" customFormat="false" ht="14.25" hidden="false" customHeight="true" outlineLevel="0" collapsed="false">
      <c r="A211" s="26" t="n">
        <v>23163</v>
      </c>
      <c r="B211" s="1" t="n">
        <v>1963</v>
      </c>
      <c r="C211" s="1" t="n">
        <v>6</v>
      </c>
      <c r="D211" s="1" t="s">
        <v>47</v>
      </c>
      <c r="E211" s="1" t="s">
        <v>13</v>
      </c>
      <c r="F211" s="1" t="n">
        <v>32.05</v>
      </c>
      <c r="G211" s="1" t="n">
        <f aca="false">IF(E211=E210,F211/F210-1,"")</f>
        <v>-0.0034203980099502</v>
      </c>
    </row>
    <row r="212" customFormat="false" ht="14.25" hidden="false" customHeight="true" outlineLevel="0" collapsed="false">
      <c r="A212" s="26" t="n">
        <v>23193</v>
      </c>
      <c r="B212" s="1" t="n">
        <v>1963</v>
      </c>
      <c r="C212" s="1" t="n">
        <v>7</v>
      </c>
      <c r="D212" s="1" t="s">
        <v>48</v>
      </c>
      <c r="E212" s="1" t="s">
        <v>13</v>
      </c>
      <c r="F212" s="1" t="n">
        <v>31.95</v>
      </c>
      <c r="G212" s="1" t="n">
        <f aca="false">IF(E212=E211,F212/F211-1,"")</f>
        <v>-0.00312012480499213</v>
      </c>
    </row>
    <row r="213" customFormat="false" ht="14.25" hidden="false" customHeight="true" outlineLevel="0" collapsed="false">
      <c r="A213" s="26" t="n">
        <v>23224</v>
      </c>
      <c r="B213" s="1" t="n">
        <v>1963</v>
      </c>
      <c r="C213" s="1" t="n">
        <v>8</v>
      </c>
      <c r="D213" s="1" t="s">
        <v>49</v>
      </c>
      <c r="E213" s="1" t="s">
        <v>13</v>
      </c>
      <c r="F213" s="1" t="n">
        <v>31.95</v>
      </c>
      <c r="G213" s="1" t="n">
        <f aca="false">IF(E213=E212,F213/F212-1,"")</f>
        <v>0</v>
      </c>
    </row>
    <row r="214" customFormat="false" ht="14.25" hidden="false" customHeight="true" outlineLevel="0" collapsed="false">
      <c r="A214" s="26" t="n">
        <v>23255</v>
      </c>
      <c r="B214" s="1" t="n">
        <v>1963</v>
      </c>
      <c r="C214" s="1" t="n">
        <v>9</v>
      </c>
      <c r="D214" s="1" t="s">
        <v>50</v>
      </c>
      <c r="E214" s="1" t="s">
        <v>13</v>
      </c>
      <c r="F214" s="1" t="n">
        <v>31.95</v>
      </c>
      <c r="G214" s="1" t="n">
        <f aca="false">IF(E214=E213,F214/F213-1,"")</f>
        <v>0</v>
      </c>
    </row>
    <row r="215" customFormat="false" ht="14.25" hidden="false" customHeight="true" outlineLevel="0" collapsed="false">
      <c r="A215" s="26" t="n">
        <v>23285</v>
      </c>
      <c r="B215" s="1" t="n">
        <v>1963</v>
      </c>
      <c r="C215" s="1" t="n">
        <v>10</v>
      </c>
      <c r="D215" s="1" t="s">
        <v>51</v>
      </c>
      <c r="E215" s="1" t="s">
        <v>13</v>
      </c>
      <c r="F215" s="1" t="n">
        <v>31.84</v>
      </c>
      <c r="G215" s="1" t="n">
        <f aca="false">IF(E215=E214,F215/F214-1,"")</f>
        <v>-0.00344287949921751</v>
      </c>
    </row>
    <row r="216" customFormat="false" ht="14.25" hidden="false" customHeight="true" outlineLevel="0" collapsed="false">
      <c r="A216" s="26" t="n">
        <v>23316</v>
      </c>
      <c r="B216" s="1" t="n">
        <v>1963</v>
      </c>
      <c r="C216" s="1" t="n">
        <v>11</v>
      </c>
      <c r="D216" s="1" t="s">
        <v>52</v>
      </c>
      <c r="E216" s="1" t="s">
        <v>13</v>
      </c>
      <c r="F216" s="1" t="n">
        <v>31.84</v>
      </c>
      <c r="G216" s="1" t="n">
        <f aca="false">IF(E216=E215,F216/F215-1,"")</f>
        <v>0</v>
      </c>
    </row>
    <row r="217" customFormat="false" ht="14.25" hidden="false" customHeight="true" outlineLevel="0" collapsed="false">
      <c r="A217" s="26" t="n">
        <v>23346</v>
      </c>
      <c r="B217" s="1" t="n">
        <v>1963</v>
      </c>
      <c r="C217" s="1" t="n">
        <v>12</v>
      </c>
      <c r="D217" s="1" t="s">
        <v>53</v>
      </c>
      <c r="E217" s="1" t="s">
        <v>13</v>
      </c>
      <c r="F217" s="1" t="n">
        <v>31.74</v>
      </c>
      <c r="G217" s="1" t="n">
        <f aca="false">IF(E217=E216,F217/F216-1,"")</f>
        <v>-0.003140703517588</v>
      </c>
    </row>
    <row r="218" customFormat="false" ht="14.25" hidden="false" customHeight="true" outlineLevel="0" collapsed="false">
      <c r="A218" s="26" t="n">
        <v>23377</v>
      </c>
      <c r="B218" s="1" t="n">
        <v>1964</v>
      </c>
      <c r="C218" s="1" t="n">
        <v>1</v>
      </c>
      <c r="D218" s="1" t="s">
        <v>42</v>
      </c>
      <c r="E218" s="1" t="s">
        <v>13</v>
      </c>
      <c r="F218" s="1" t="n">
        <v>31.74</v>
      </c>
      <c r="G218" s="1" t="n">
        <f aca="false">IF(E218=E217,F218/F217-1,"")</f>
        <v>0</v>
      </c>
    </row>
    <row r="219" customFormat="false" ht="14.25" hidden="false" customHeight="true" outlineLevel="0" collapsed="false">
      <c r="A219" s="26" t="n">
        <v>23408</v>
      </c>
      <c r="B219" s="1" t="n">
        <v>1964</v>
      </c>
      <c r="C219" s="1" t="n">
        <v>2</v>
      </c>
      <c r="D219" s="1" t="s">
        <v>43</v>
      </c>
      <c r="E219" s="1" t="s">
        <v>13</v>
      </c>
      <c r="F219" s="1" t="n">
        <v>31.74</v>
      </c>
      <c r="G219" s="1" t="n">
        <f aca="false">IF(E219=E218,F219/F218-1,"")</f>
        <v>0</v>
      </c>
    </row>
    <row r="220" customFormat="false" ht="14.25" hidden="false" customHeight="true" outlineLevel="0" collapsed="false">
      <c r="A220" s="26" t="n">
        <v>23437</v>
      </c>
      <c r="B220" s="1" t="n">
        <v>1964</v>
      </c>
      <c r="C220" s="1" t="n">
        <v>3</v>
      </c>
      <c r="D220" s="1" t="s">
        <v>44</v>
      </c>
      <c r="E220" s="1" t="s">
        <v>13</v>
      </c>
      <c r="F220" s="1" t="n">
        <v>31.74</v>
      </c>
      <c r="G220" s="1" t="n">
        <f aca="false">IF(E220=E219,F220/F219-1,"")</f>
        <v>0</v>
      </c>
    </row>
    <row r="221" customFormat="false" ht="14.25" hidden="false" customHeight="true" outlineLevel="0" collapsed="false">
      <c r="A221" s="26" t="n">
        <v>23468</v>
      </c>
      <c r="B221" s="1" t="n">
        <v>1964</v>
      </c>
      <c r="C221" s="1" t="n">
        <v>4</v>
      </c>
      <c r="D221" s="1" t="s">
        <v>45</v>
      </c>
      <c r="E221" s="1" t="s">
        <v>13</v>
      </c>
      <c r="F221" s="1" t="n">
        <v>31.74</v>
      </c>
      <c r="G221" s="1" t="n">
        <f aca="false">IF(E221=E220,F221/F220-1,"")</f>
        <v>0</v>
      </c>
    </row>
    <row r="222" customFormat="false" ht="14.25" hidden="false" customHeight="true" outlineLevel="0" collapsed="false">
      <c r="A222" s="26" t="n">
        <v>23498</v>
      </c>
      <c r="B222" s="1" t="n">
        <v>1964</v>
      </c>
      <c r="C222" s="1" t="n">
        <v>5</v>
      </c>
      <c r="D222" s="1" t="s">
        <v>46</v>
      </c>
      <c r="E222" s="1" t="s">
        <v>13</v>
      </c>
      <c r="F222" s="1" t="n">
        <v>31.74</v>
      </c>
      <c r="G222" s="1" t="n">
        <f aca="false">IF(E222=E221,F222/F221-1,"")</f>
        <v>0</v>
      </c>
    </row>
    <row r="223" customFormat="false" ht="14.25" hidden="false" customHeight="true" outlineLevel="0" collapsed="false">
      <c r="A223" s="26" t="n">
        <v>23529</v>
      </c>
      <c r="B223" s="1" t="n">
        <v>1964</v>
      </c>
      <c r="C223" s="1" t="n">
        <v>6</v>
      </c>
      <c r="D223" s="1" t="s">
        <v>47</v>
      </c>
      <c r="E223" s="1" t="s">
        <v>13</v>
      </c>
      <c r="F223" s="1" t="n">
        <v>31.64</v>
      </c>
      <c r="G223" s="1" t="n">
        <f aca="false">IF(E223=E222,F223/F222-1,"")</f>
        <v>-0.00315059861373657</v>
      </c>
    </row>
    <row r="224" customFormat="false" ht="14.25" hidden="false" customHeight="true" outlineLevel="0" collapsed="false">
      <c r="A224" s="26" t="n">
        <v>23559</v>
      </c>
      <c r="B224" s="1" t="n">
        <v>1964</v>
      </c>
      <c r="C224" s="1" t="n">
        <v>7</v>
      </c>
      <c r="D224" s="1" t="s">
        <v>48</v>
      </c>
      <c r="E224" s="1" t="s">
        <v>13</v>
      </c>
      <c r="F224" s="1" t="n">
        <v>31</v>
      </c>
      <c r="G224" s="1" t="n">
        <f aca="false">IF(E224=E223,F224/F223-1,"")</f>
        <v>-0.0202275600505689</v>
      </c>
    </row>
    <row r="225" customFormat="false" ht="14.25" hidden="false" customHeight="true" outlineLevel="0" collapsed="false">
      <c r="A225" s="26" t="n">
        <v>23590</v>
      </c>
      <c r="B225" s="1" t="n">
        <v>1964</v>
      </c>
      <c r="C225" s="1" t="n">
        <v>8</v>
      </c>
      <c r="D225" s="1" t="s">
        <v>49</v>
      </c>
      <c r="E225" s="1" t="s">
        <v>13</v>
      </c>
      <c r="F225" s="1" t="n">
        <v>31.1</v>
      </c>
      <c r="G225" s="1" t="n">
        <f aca="false">IF(E225=E224,F225/F224-1,"")</f>
        <v>0.00322580645161286</v>
      </c>
    </row>
    <row r="226" customFormat="false" ht="14.25" hidden="false" customHeight="true" outlineLevel="0" collapsed="false">
      <c r="A226" s="26" t="n">
        <v>23621</v>
      </c>
      <c r="B226" s="1" t="n">
        <v>1964</v>
      </c>
      <c r="C226" s="1" t="n">
        <v>9</v>
      </c>
      <c r="D226" s="1" t="s">
        <v>50</v>
      </c>
      <c r="E226" s="1" t="s">
        <v>13</v>
      </c>
      <c r="F226" s="1" t="n">
        <v>31</v>
      </c>
      <c r="G226" s="1" t="n">
        <f aca="false">IF(E226=E225,F226/F225-1,"")</f>
        <v>-0.00321543408360137</v>
      </c>
    </row>
    <row r="227" customFormat="false" ht="14.25" hidden="false" customHeight="true" outlineLevel="0" collapsed="false">
      <c r="A227" s="26" t="n">
        <v>23651</v>
      </c>
      <c r="B227" s="1" t="n">
        <v>1964</v>
      </c>
      <c r="C227" s="1" t="n">
        <v>10</v>
      </c>
      <c r="D227" s="1" t="s">
        <v>51</v>
      </c>
      <c r="E227" s="1" t="s">
        <v>13</v>
      </c>
      <c r="F227" s="1" t="n">
        <v>31</v>
      </c>
      <c r="G227" s="1" t="n">
        <f aca="false">IF(E227=E226,F227/F226-1,"")</f>
        <v>0</v>
      </c>
    </row>
    <row r="228" customFormat="false" ht="14.25" hidden="false" customHeight="true" outlineLevel="0" collapsed="false">
      <c r="A228" s="26" t="n">
        <v>23682</v>
      </c>
      <c r="B228" s="1" t="n">
        <v>1964</v>
      </c>
      <c r="C228" s="1" t="n">
        <v>11</v>
      </c>
      <c r="D228" s="1" t="s">
        <v>52</v>
      </c>
      <c r="E228" s="1" t="s">
        <v>13</v>
      </c>
      <c r="F228" s="1" t="n">
        <v>30.9</v>
      </c>
      <c r="G228" s="1" t="n">
        <f aca="false">IF(E228=E227,F228/F227-1,"")</f>
        <v>-0.00322580645161297</v>
      </c>
    </row>
    <row r="229" customFormat="false" ht="14.25" hidden="false" customHeight="true" outlineLevel="0" collapsed="false">
      <c r="A229" s="26" t="n">
        <v>23712</v>
      </c>
      <c r="B229" s="1" t="n">
        <v>1964</v>
      </c>
      <c r="C229" s="1" t="n">
        <v>12</v>
      </c>
      <c r="D229" s="1" t="s">
        <v>53</v>
      </c>
      <c r="E229" s="1" t="s">
        <v>13</v>
      </c>
      <c r="F229" s="1" t="n">
        <v>30.9</v>
      </c>
      <c r="G229" s="1" t="n">
        <f aca="false">IF(E229=E228,F229/F228-1,"")</f>
        <v>0</v>
      </c>
    </row>
    <row r="230" customFormat="false" ht="14.25" hidden="false" customHeight="true" outlineLevel="0" collapsed="false">
      <c r="A230" s="26" t="n">
        <v>23743</v>
      </c>
      <c r="B230" s="1" t="n">
        <v>1965</v>
      </c>
      <c r="C230" s="1" t="n">
        <v>1</v>
      </c>
      <c r="D230" s="1" t="s">
        <v>42</v>
      </c>
      <c r="E230" s="1" t="s">
        <v>13</v>
      </c>
      <c r="F230" s="1" t="n">
        <v>30.9</v>
      </c>
      <c r="G230" s="1" t="n">
        <f aca="false">IF(E230=E229,F230/F229-1,"")</f>
        <v>0</v>
      </c>
    </row>
    <row r="231" customFormat="false" ht="14.25" hidden="false" customHeight="true" outlineLevel="0" collapsed="false">
      <c r="A231" s="26" t="n">
        <v>23774</v>
      </c>
      <c r="B231" s="1" t="n">
        <v>1965</v>
      </c>
      <c r="C231" s="1" t="n">
        <v>2</v>
      </c>
      <c r="D231" s="1" t="s">
        <v>43</v>
      </c>
      <c r="E231" s="1" t="s">
        <v>13</v>
      </c>
      <c r="F231" s="1" t="n">
        <v>30.9</v>
      </c>
      <c r="G231" s="1" t="n">
        <f aca="false">IF(E231=E230,F231/F230-1,"")</f>
        <v>0</v>
      </c>
    </row>
    <row r="232" customFormat="false" ht="14.25" hidden="false" customHeight="true" outlineLevel="0" collapsed="false">
      <c r="A232" s="26" t="n">
        <v>23802</v>
      </c>
      <c r="B232" s="1" t="n">
        <v>1965</v>
      </c>
      <c r="C232" s="1" t="n">
        <v>3</v>
      </c>
      <c r="D232" s="1" t="s">
        <v>44</v>
      </c>
      <c r="E232" s="1" t="s">
        <v>13</v>
      </c>
      <c r="F232" s="1" t="n">
        <v>30.81</v>
      </c>
      <c r="G232" s="1" t="n">
        <f aca="false">IF(E232=E231,F232/F231-1,"")</f>
        <v>-0.00291262135922332</v>
      </c>
    </row>
    <row r="233" customFormat="false" ht="14.25" hidden="false" customHeight="true" outlineLevel="0" collapsed="false">
      <c r="A233" s="26" t="n">
        <v>23833</v>
      </c>
      <c r="B233" s="1" t="n">
        <v>1965</v>
      </c>
      <c r="C233" s="1" t="n">
        <v>4</v>
      </c>
      <c r="D233" s="1" t="s">
        <v>45</v>
      </c>
      <c r="E233" s="1" t="s">
        <v>13</v>
      </c>
      <c r="F233" s="1" t="n">
        <v>30.71</v>
      </c>
      <c r="G233" s="1" t="n">
        <f aca="false">IF(E233=E232,F233/F232-1,"")</f>
        <v>-0.00324569944823105</v>
      </c>
    </row>
    <row r="234" customFormat="false" ht="14.25" hidden="false" customHeight="true" outlineLevel="0" collapsed="false">
      <c r="A234" s="26" t="n">
        <v>23863</v>
      </c>
      <c r="B234" s="1" t="n">
        <v>1965</v>
      </c>
      <c r="C234" s="1" t="n">
        <v>5</v>
      </c>
      <c r="D234" s="1" t="s">
        <v>46</v>
      </c>
      <c r="E234" s="1" t="s">
        <v>13</v>
      </c>
      <c r="F234" s="1" t="n">
        <v>30.71</v>
      </c>
      <c r="G234" s="1" t="n">
        <f aca="false">IF(E234=E233,F234/F233-1,"")</f>
        <v>0</v>
      </c>
    </row>
    <row r="235" customFormat="false" ht="14.25" hidden="false" customHeight="true" outlineLevel="0" collapsed="false">
      <c r="A235" s="26" t="n">
        <v>23894</v>
      </c>
      <c r="B235" s="1" t="n">
        <v>1965</v>
      </c>
      <c r="C235" s="1" t="n">
        <v>6</v>
      </c>
      <c r="D235" s="1" t="s">
        <v>47</v>
      </c>
      <c r="E235" s="1" t="s">
        <v>13</v>
      </c>
      <c r="F235" s="1" t="n">
        <v>30.51</v>
      </c>
      <c r="G235" s="1" t="n">
        <f aca="false">IF(E235=E234,F235/F234-1,"")</f>
        <v>-0.00651253663301854</v>
      </c>
    </row>
    <row r="236" customFormat="false" ht="14.25" hidden="false" customHeight="true" outlineLevel="0" collapsed="false">
      <c r="A236" s="26" t="n">
        <v>23924</v>
      </c>
      <c r="B236" s="1" t="n">
        <v>1965</v>
      </c>
      <c r="C236" s="1" t="n">
        <v>7</v>
      </c>
      <c r="D236" s="1" t="s">
        <v>48</v>
      </c>
      <c r="E236" s="1" t="s">
        <v>13</v>
      </c>
      <c r="F236" s="1" t="n">
        <v>30.51</v>
      </c>
      <c r="G236" s="1" t="n">
        <f aca="false">IF(E236=E235,F236/F235-1,"")</f>
        <v>0</v>
      </c>
    </row>
    <row r="237" customFormat="false" ht="14.25" hidden="false" customHeight="true" outlineLevel="0" collapsed="false">
      <c r="A237" s="26" t="n">
        <v>23955</v>
      </c>
      <c r="B237" s="1" t="n">
        <v>1965</v>
      </c>
      <c r="C237" s="1" t="n">
        <v>8</v>
      </c>
      <c r="D237" s="1" t="s">
        <v>49</v>
      </c>
      <c r="E237" s="1" t="s">
        <v>13</v>
      </c>
      <c r="F237" s="1" t="n">
        <v>30.51</v>
      </c>
      <c r="G237" s="1" t="n">
        <f aca="false">IF(E237=E236,F237/F236-1,"")</f>
        <v>0</v>
      </c>
    </row>
    <row r="238" customFormat="false" ht="14.25" hidden="false" customHeight="true" outlineLevel="0" collapsed="false">
      <c r="A238" s="26" t="n">
        <v>23986</v>
      </c>
      <c r="B238" s="1" t="n">
        <v>1965</v>
      </c>
      <c r="C238" s="1" t="n">
        <v>9</v>
      </c>
      <c r="D238" s="1" t="s">
        <v>50</v>
      </c>
      <c r="E238" s="1" t="s">
        <v>13</v>
      </c>
      <c r="F238" s="1" t="n">
        <v>30.51</v>
      </c>
      <c r="G238" s="1" t="n">
        <f aca="false">IF(E238=E237,F238/F237-1,"")</f>
        <v>0</v>
      </c>
    </row>
    <row r="239" customFormat="false" ht="14.25" hidden="false" customHeight="true" outlineLevel="0" collapsed="false">
      <c r="A239" s="26" t="n">
        <v>24016</v>
      </c>
      <c r="B239" s="1" t="n">
        <v>1965</v>
      </c>
      <c r="C239" s="1" t="n">
        <v>10</v>
      </c>
      <c r="D239" s="1" t="s">
        <v>51</v>
      </c>
      <c r="E239" s="1" t="s">
        <v>13</v>
      </c>
      <c r="F239" s="1" t="n">
        <v>30.42</v>
      </c>
      <c r="G239" s="1" t="n">
        <f aca="false">IF(E239=E238,F239/F238-1,"")</f>
        <v>-0.00294985250737467</v>
      </c>
    </row>
    <row r="240" customFormat="false" ht="14.25" hidden="false" customHeight="true" outlineLevel="0" collapsed="false">
      <c r="A240" s="26" t="n">
        <v>24047</v>
      </c>
      <c r="B240" s="1" t="n">
        <v>1965</v>
      </c>
      <c r="C240" s="1" t="n">
        <v>11</v>
      </c>
      <c r="D240" s="1" t="s">
        <v>52</v>
      </c>
      <c r="E240" s="1" t="s">
        <v>13</v>
      </c>
      <c r="F240" s="1" t="n">
        <v>30.42</v>
      </c>
      <c r="G240" s="1" t="n">
        <f aca="false">IF(E240=E239,F240/F239-1,"")</f>
        <v>0</v>
      </c>
    </row>
    <row r="241" customFormat="false" ht="14.25" hidden="false" customHeight="true" outlineLevel="0" collapsed="false">
      <c r="A241" s="26" t="n">
        <v>24077</v>
      </c>
      <c r="B241" s="1" t="n">
        <v>1965</v>
      </c>
      <c r="C241" s="1" t="n">
        <v>12</v>
      </c>
      <c r="D241" s="1" t="s">
        <v>53</v>
      </c>
      <c r="E241" s="1" t="s">
        <v>13</v>
      </c>
      <c r="F241" s="1" t="n">
        <v>30.32</v>
      </c>
      <c r="G241" s="1" t="n">
        <f aca="false">IF(E241=E240,F241/F240-1,"")</f>
        <v>-0.00328731097961876</v>
      </c>
    </row>
    <row r="242" customFormat="false" ht="14.25" hidden="false" customHeight="true" outlineLevel="0" collapsed="false">
      <c r="A242" s="26" t="n">
        <v>24108</v>
      </c>
      <c r="B242" s="1" t="n">
        <v>1966</v>
      </c>
      <c r="C242" s="1" t="n">
        <v>1</v>
      </c>
      <c r="D242" s="1" t="s">
        <v>42</v>
      </c>
      <c r="E242" s="1" t="s">
        <v>13</v>
      </c>
      <c r="F242" s="1" t="n">
        <v>30.32</v>
      </c>
      <c r="G242" s="1" t="n">
        <f aca="false">IF(E242=E241,F242/F241-1,"")</f>
        <v>0</v>
      </c>
    </row>
    <row r="243" customFormat="false" ht="14.25" hidden="false" customHeight="true" outlineLevel="0" collapsed="false">
      <c r="A243" s="26" t="n">
        <v>24139</v>
      </c>
      <c r="B243" s="1" t="n">
        <v>1966</v>
      </c>
      <c r="C243" s="1" t="n">
        <v>2</v>
      </c>
      <c r="D243" s="1" t="s">
        <v>43</v>
      </c>
      <c r="E243" s="1" t="s">
        <v>13</v>
      </c>
      <c r="F243" s="1" t="n">
        <v>30.13</v>
      </c>
      <c r="G243" s="1" t="n">
        <f aca="false">IF(E243=E242,F243/F242-1,"")</f>
        <v>-0.0062664907651715</v>
      </c>
    </row>
    <row r="244" customFormat="false" ht="14.25" hidden="false" customHeight="true" outlineLevel="0" collapsed="false">
      <c r="A244" s="26" t="n">
        <v>24167</v>
      </c>
      <c r="B244" s="1" t="n">
        <v>1966</v>
      </c>
      <c r="C244" s="1" t="n">
        <v>3</v>
      </c>
      <c r="D244" s="1" t="s">
        <v>44</v>
      </c>
      <c r="E244" s="1" t="s">
        <v>13</v>
      </c>
      <c r="F244" s="1" t="n">
        <v>30.04</v>
      </c>
      <c r="G244" s="1" t="n">
        <f aca="false">IF(E244=E243,F244/F243-1,"")</f>
        <v>-0.0029870560902755</v>
      </c>
    </row>
    <row r="245" customFormat="false" ht="14.25" hidden="false" customHeight="true" outlineLevel="0" collapsed="false">
      <c r="A245" s="26" t="n">
        <v>24198</v>
      </c>
      <c r="B245" s="1" t="n">
        <v>1966</v>
      </c>
      <c r="C245" s="1" t="n">
        <v>4</v>
      </c>
      <c r="D245" s="1" t="s">
        <v>45</v>
      </c>
      <c r="E245" s="1" t="s">
        <v>13</v>
      </c>
      <c r="F245" s="1" t="n">
        <v>29.85</v>
      </c>
      <c r="G245" s="1" t="n">
        <f aca="false">IF(E245=E244,F245/F244-1,"")</f>
        <v>-0.00632490013315568</v>
      </c>
    </row>
    <row r="246" customFormat="false" ht="14.25" hidden="false" customHeight="true" outlineLevel="0" collapsed="false">
      <c r="A246" s="26" t="n">
        <v>24228</v>
      </c>
      <c r="B246" s="1" t="n">
        <v>1966</v>
      </c>
      <c r="C246" s="1" t="n">
        <v>5</v>
      </c>
      <c r="D246" s="1" t="s">
        <v>46</v>
      </c>
      <c r="E246" s="1" t="s">
        <v>13</v>
      </c>
      <c r="F246" s="1" t="n">
        <v>29.85</v>
      </c>
      <c r="G246" s="1" t="n">
        <f aca="false">IF(E246=E245,F246/F245-1,"")</f>
        <v>0</v>
      </c>
    </row>
    <row r="247" customFormat="false" ht="14.25" hidden="false" customHeight="true" outlineLevel="0" collapsed="false">
      <c r="A247" s="26" t="n">
        <v>24259</v>
      </c>
      <c r="B247" s="1" t="n">
        <v>1966</v>
      </c>
      <c r="C247" s="1" t="n">
        <v>6</v>
      </c>
      <c r="D247" s="1" t="s">
        <v>47</v>
      </c>
      <c r="E247" s="1" t="s">
        <v>13</v>
      </c>
      <c r="F247" s="1" t="n">
        <v>29.76</v>
      </c>
      <c r="G247" s="1" t="n">
        <f aca="false">IF(E247=E246,F247/F246-1,"")</f>
        <v>-0.00301507537688439</v>
      </c>
    </row>
    <row r="248" customFormat="false" ht="14.25" hidden="false" customHeight="true" outlineLevel="0" collapsed="false">
      <c r="A248" s="26" t="n">
        <v>24289</v>
      </c>
      <c r="B248" s="1" t="n">
        <v>1966</v>
      </c>
      <c r="C248" s="1" t="n">
        <v>7</v>
      </c>
      <c r="D248" s="1" t="s">
        <v>48</v>
      </c>
      <c r="E248" s="1" t="s">
        <v>13</v>
      </c>
      <c r="F248" s="1" t="n">
        <v>29.67</v>
      </c>
      <c r="G248" s="1" t="n">
        <f aca="false">IF(E248=E247,F248/F247-1,"")</f>
        <v>-0.00302419354838712</v>
      </c>
    </row>
    <row r="249" customFormat="false" ht="14.25" hidden="false" customHeight="true" outlineLevel="0" collapsed="false">
      <c r="A249" s="26" t="n">
        <v>24320</v>
      </c>
      <c r="B249" s="1" t="n">
        <v>1966</v>
      </c>
      <c r="C249" s="1" t="n">
        <v>8</v>
      </c>
      <c r="D249" s="1" t="s">
        <v>49</v>
      </c>
      <c r="E249" s="1" t="s">
        <v>13</v>
      </c>
      <c r="F249" s="1" t="n">
        <v>29.49</v>
      </c>
      <c r="G249" s="1" t="n">
        <f aca="false">IF(E249=E248,F249/F248-1,"")</f>
        <v>-0.00606673407482317</v>
      </c>
    </row>
    <row r="250" customFormat="false" ht="14.25" hidden="false" customHeight="true" outlineLevel="0" collapsed="false">
      <c r="A250" s="26" t="n">
        <v>24351</v>
      </c>
      <c r="B250" s="1" t="n">
        <v>1966</v>
      </c>
      <c r="C250" s="1" t="n">
        <v>9</v>
      </c>
      <c r="D250" s="1" t="s">
        <v>50</v>
      </c>
      <c r="E250" s="1" t="s">
        <v>13</v>
      </c>
      <c r="F250" s="1" t="n">
        <v>29.99</v>
      </c>
      <c r="G250" s="1" t="n">
        <f aca="false">IF(E250=E249,F250/F249-1,"")</f>
        <v>0.0169548999660902</v>
      </c>
    </row>
    <row r="251" customFormat="false" ht="14.25" hidden="false" customHeight="true" outlineLevel="0" collapsed="false">
      <c r="A251" s="26" t="n">
        <v>24381</v>
      </c>
      <c r="B251" s="1" t="n">
        <v>1966</v>
      </c>
      <c r="C251" s="1" t="n">
        <v>10</v>
      </c>
      <c r="D251" s="1" t="s">
        <v>51</v>
      </c>
      <c r="E251" s="1" t="s">
        <v>13</v>
      </c>
      <c r="F251" s="1" t="n">
        <v>29.81</v>
      </c>
      <c r="G251" s="1" t="n">
        <f aca="false">IF(E251=E250,F251/F250-1,"")</f>
        <v>-0.00600200066688894</v>
      </c>
    </row>
    <row r="252" customFormat="false" ht="14.25" hidden="false" customHeight="true" outlineLevel="0" collapsed="false">
      <c r="A252" s="26" t="n">
        <v>24412</v>
      </c>
      <c r="B252" s="1" t="n">
        <v>1966</v>
      </c>
      <c r="C252" s="1" t="n">
        <v>11</v>
      </c>
      <c r="D252" s="1" t="s">
        <v>52</v>
      </c>
      <c r="E252" s="1" t="s">
        <v>13</v>
      </c>
      <c r="F252" s="1" t="n">
        <v>29.81</v>
      </c>
      <c r="G252" s="1" t="n">
        <f aca="false">IF(E252=E251,F252/F251-1,"")</f>
        <v>0</v>
      </c>
    </row>
    <row r="253" customFormat="false" ht="14.25" hidden="false" customHeight="true" outlineLevel="0" collapsed="false">
      <c r="A253" s="26" t="n">
        <v>24442</v>
      </c>
      <c r="B253" s="1" t="n">
        <v>1966</v>
      </c>
      <c r="C253" s="1" t="n">
        <v>12</v>
      </c>
      <c r="D253" s="1" t="s">
        <v>53</v>
      </c>
      <c r="E253" s="1" t="s">
        <v>13</v>
      </c>
      <c r="F253" s="1" t="n">
        <v>29.81</v>
      </c>
      <c r="G253" s="1" t="n">
        <f aca="false">IF(E253=E252,F253/F252-1,"")</f>
        <v>0</v>
      </c>
    </row>
    <row r="254" customFormat="false" ht="14.25" hidden="false" customHeight="true" outlineLevel="0" collapsed="false">
      <c r="A254" s="26" t="n">
        <v>24473</v>
      </c>
      <c r="B254" s="1" t="n">
        <v>1967</v>
      </c>
      <c r="C254" s="1" t="n">
        <v>1</v>
      </c>
      <c r="D254" s="1" t="s">
        <v>42</v>
      </c>
      <c r="E254" s="1" t="s">
        <v>13</v>
      </c>
      <c r="F254" s="1" t="n">
        <v>29.81</v>
      </c>
      <c r="G254" s="1" t="n">
        <f aca="false">IF(E254=E253,F254/F253-1,"")</f>
        <v>0</v>
      </c>
    </row>
    <row r="255" customFormat="false" ht="14.25" hidden="false" customHeight="true" outlineLevel="0" collapsed="false">
      <c r="A255" s="26" t="n">
        <v>24504</v>
      </c>
      <c r="B255" s="1" t="n">
        <v>1967</v>
      </c>
      <c r="C255" s="1" t="n">
        <v>2</v>
      </c>
      <c r="D255" s="1" t="s">
        <v>43</v>
      </c>
      <c r="E255" s="1" t="s">
        <v>13</v>
      </c>
      <c r="F255" s="1" t="n">
        <v>30.11</v>
      </c>
      <c r="G255" s="1" t="n">
        <f aca="false">IF(E255=E254,F255/F254-1,"")</f>
        <v>0.0100637370010064</v>
      </c>
    </row>
    <row r="256" customFormat="false" ht="14.25" hidden="false" customHeight="true" outlineLevel="0" collapsed="false">
      <c r="A256" s="26" t="n">
        <v>24532</v>
      </c>
      <c r="B256" s="1" t="n">
        <v>1967</v>
      </c>
      <c r="C256" s="1" t="n">
        <v>3</v>
      </c>
      <c r="D256" s="1" t="s">
        <v>44</v>
      </c>
      <c r="E256" s="1" t="s">
        <v>13</v>
      </c>
      <c r="F256" s="1" t="n">
        <v>30.02</v>
      </c>
      <c r="G256" s="1" t="n">
        <f aca="false">IF(E256=E255,F256/F255-1,"")</f>
        <v>-0.00298904018598467</v>
      </c>
    </row>
    <row r="257" customFormat="false" ht="14.25" hidden="false" customHeight="true" outlineLevel="0" collapsed="false">
      <c r="A257" s="26" t="n">
        <v>24563</v>
      </c>
      <c r="B257" s="1" t="n">
        <v>1967</v>
      </c>
      <c r="C257" s="1" t="n">
        <v>4</v>
      </c>
      <c r="D257" s="1" t="s">
        <v>45</v>
      </c>
      <c r="E257" s="1" t="s">
        <v>13</v>
      </c>
      <c r="F257" s="1" t="n">
        <v>29.93</v>
      </c>
      <c r="G257" s="1" t="n">
        <f aca="false">IF(E257=E256,F257/F256-1,"")</f>
        <v>-0.00299800133244499</v>
      </c>
    </row>
    <row r="258" customFormat="false" ht="14.25" hidden="false" customHeight="true" outlineLevel="0" collapsed="false">
      <c r="A258" s="26" t="n">
        <v>24593</v>
      </c>
      <c r="B258" s="1" t="n">
        <v>1967</v>
      </c>
      <c r="C258" s="1" t="n">
        <v>5</v>
      </c>
      <c r="D258" s="1" t="s">
        <v>46</v>
      </c>
      <c r="E258" s="1" t="s">
        <v>13</v>
      </c>
      <c r="F258" s="1" t="n">
        <v>29.84</v>
      </c>
      <c r="G258" s="1" t="n">
        <f aca="false">IF(E258=E257,F258/F257-1,"")</f>
        <v>-0.00300701637153356</v>
      </c>
    </row>
    <row r="259" customFormat="false" ht="14.25" hidden="false" customHeight="true" outlineLevel="0" collapsed="false">
      <c r="A259" s="26" t="n">
        <v>24624</v>
      </c>
      <c r="B259" s="1" t="n">
        <v>1967</v>
      </c>
      <c r="C259" s="1" t="n">
        <v>6</v>
      </c>
      <c r="D259" s="1" t="s">
        <v>47</v>
      </c>
      <c r="E259" s="1" t="s">
        <v>13</v>
      </c>
      <c r="F259" s="1" t="n">
        <v>29.75</v>
      </c>
      <c r="G259" s="1" t="n">
        <f aca="false">IF(E259=E258,F259/F258-1,"")</f>
        <v>-0.00301608579088475</v>
      </c>
    </row>
    <row r="260" customFormat="false" ht="14.25" hidden="false" customHeight="true" outlineLevel="0" collapsed="false">
      <c r="A260" s="26" t="n">
        <v>24654</v>
      </c>
      <c r="B260" s="1" t="n">
        <v>1967</v>
      </c>
      <c r="C260" s="1" t="n">
        <v>7</v>
      </c>
      <c r="D260" s="1" t="s">
        <v>48</v>
      </c>
      <c r="E260" s="1" t="s">
        <v>13</v>
      </c>
      <c r="F260" s="1" t="n">
        <v>29.66</v>
      </c>
      <c r="G260" s="1" t="n">
        <f aca="false">IF(E260=E259,F260/F259-1,"")</f>
        <v>-0.00302521008403356</v>
      </c>
    </row>
    <row r="261" customFormat="false" ht="14.25" hidden="false" customHeight="true" outlineLevel="0" collapsed="false">
      <c r="A261" s="26" t="n">
        <v>24685</v>
      </c>
      <c r="B261" s="1" t="n">
        <v>1967</v>
      </c>
      <c r="C261" s="1" t="n">
        <v>8</v>
      </c>
      <c r="D261" s="1" t="s">
        <v>49</v>
      </c>
      <c r="E261" s="1" t="s">
        <v>13</v>
      </c>
      <c r="F261" s="1" t="n">
        <v>30.26</v>
      </c>
      <c r="G261" s="1" t="n">
        <f aca="false">IF(E261=E260,F261/F260-1,"")</f>
        <v>0.0202292650033715</v>
      </c>
    </row>
    <row r="262" customFormat="false" ht="14.25" hidden="false" customHeight="true" outlineLevel="0" collapsed="false">
      <c r="A262" s="26" t="n">
        <v>24716</v>
      </c>
      <c r="B262" s="1" t="n">
        <v>1967</v>
      </c>
      <c r="C262" s="1" t="n">
        <v>9</v>
      </c>
      <c r="D262" s="1" t="s">
        <v>50</v>
      </c>
      <c r="E262" s="1" t="s">
        <v>13</v>
      </c>
      <c r="F262" s="1" t="n">
        <v>30.17</v>
      </c>
      <c r="G262" s="1" t="n">
        <f aca="false">IF(E262=E261,F262/F261-1,"")</f>
        <v>-0.00297422339722409</v>
      </c>
    </row>
    <row r="263" customFormat="false" ht="14.25" hidden="false" customHeight="true" outlineLevel="0" collapsed="false">
      <c r="A263" s="26" t="n">
        <v>24746</v>
      </c>
      <c r="B263" s="1" t="n">
        <v>1967</v>
      </c>
      <c r="C263" s="1" t="n">
        <v>10</v>
      </c>
      <c r="D263" s="1" t="s">
        <v>51</v>
      </c>
      <c r="E263" s="1" t="s">
        <v>13</v>
      </c>
      <c r="F263" s="1" t="n">
        <v>30.08</v>
      </c>
      <c r="G263" s="1" t="n">
        <f aca="false">IF(E263=E262,F263/F262-1,"")</f>
        <v>-0.00298309579052047</v>
      </c>
    </row>
    <row r="264" customFormat="false" ht="14.25" hidden="false" customHeight="true" outlineLevel="0" collapsed="false">
      <c r="A264" s="26" t="n">
        <v>24777</v>
      </c>
      <c r="B264" s="1" t="n">
        <v>1967</v>
      </c>
      <c r="C264" s="1" t="n">
        <v>11</v>
      </c>
      <c r="D264" s="1" t="s">
        <v>52</v>
      </c>
      <c r="E264" s="1" t="s">
        <v>13</v>
      </c>
      <c r="F264" s="1" t="n">
        <v>29.99</v>
      </c>
      <c r="G264" s="1" t="n">
        <f aca="false">IF(E264=E263,F264/F263-1,"")</f>
        <v>-0.0029920212765957</v>
      </c>
    </row>
    <row r="265" customFormat="false" ht="14.25" hidden="false" customHeight="true" outlineLevel="0" collapsed="false">
      <c r="A265" s="26" t="n">
        <v>24807</v>
      </c>
      <c r="B265" s="1" t="n">
        <v>1967</v>
      </c>
      <c r="C265" s="1" t="n">
        <v>12</v>
      </c>
      <c r="D265" s="1" t="s">
        <v>53</v>
      </c>
      <c r="E265" s="1" t="s">
        <v>13</v>
      </c>
      <c r="F265" s="1" t="n">
        <v>29.9</v>
      </c>
      <c r="G265" s="1" t="n">
        <f aca="false">IF(E265=E264,F265/F264-1,"")</f>
        <v>-0.00300100033344453</v>
      </c>
    </row>
    <row r="266" customFormat="false" ht="14.25" hidden="false" customHeight="true" outlineLevel="0" collapsed="false">
      <c r="A266" s="26" t="n">
        <v>24838</v>
      </c>
      <c r="B266" s="1" t="n">
        <v>1968</v>
      </c>
      <c r="C266" s="1" t="n">
        <v>1</v>
      </c>
      <c r="D266" s="1" t="s">
        <v>42</v>
      </c>
      <c r="E266" s="1" t="s">
        <v>13</v>
      </c>
      <c r="F266" s="1" t="n">
        <v>29.73</v>
      </c>
      <c r="G266" s="1" t="n">
        <f aca="false">IF(E266=E265,F266/F265-1,"")</f>
        <v>-0.0056856187290969</v>
      </c>
    </row>
    <row r="267" customFormat="false" ht="14.25" hidden="false" customHeight="true" outlineLevel="0" collapsed="false">
      <c r="A267" s="26" t="n">
        <v>24869</v>
      </c>
      <c r="B267" s="1" t="n">
        <v>1968</v>
      </c>
      <c r="C267" s="1" t="n">
        <v>2</v>
      </c>
      <c r="D267" s="1" t="s">
        <v>43</v>
      </c>
      <c r="E267" s="1" t="s">
        <v>13</v>
      </c>
      <c r="F267" s="1" t="n">
        <v>29.64</v>
      </c>
      <c r="G267" s="1" t="n">
        <f aca="false">IF(E267=E266,F267/F266-1,"")</f>
        <v>-0.00302724520686171</v>
      </c>
    </row>
    <row r="268" customFormat="false" ht="14.25" hidden="false" customHeight="true" outlineLevel="0" collapsed="false">
      <c r="A268" s="26" t="n">
        <v>24898</v>
      </c>
      <c r="B268" s="1" t="n">
        <v>1968</v>
      </c>
      <c r="C268" s="1" t="n">
        <v>3</v>
      </c>
      <c r="D268" s="1" t="s">
        <v>44</v>
      </c>
      <c r="E268" s="1" t="s">
        <v>13</v>
      </c>
      <c r="F268" s="1" t="n">
        <v>29.56</v>
      </c>
      <c r="G268" s="1" t="n">
        <f aca="false">IF(E268=E267,F268/F267-1,"")</f>
        <v>-0.0026990553306343</v>
      </c>
    </row>
    <row r="269" customFormat="false" ht="14.25" hidden="false" customHeight="true" outlineLevel="0" collapsed="false">
      <c r="A269" s="26" t="n">
        <v>24929</v>
      </c>
      <c r="B269" s="1" t="n">
        <v>1968</v>
      </c>
      <c r="C269" s="1" t="n">
        <v>4</v>
      </c>
      <c r="D269" s="1" t="s">
        <v>45</v>
      </c>
      <c r="E269" s="1" t="s">
        <v>13</v>
      </c>
      <c r="F269" s="1" t="n">
        <v>29.47</v>
      </c>
      <c r="G269" s="1" t="n">
        <f aca="false">IF(E269=E268,F269/F268-1,"")</f>
        <v>-0.00304465493910688</v>
      </c>
    </row>
    <row r="270" customFormat="false" ht="14.25" hidden="false" customHeight="true" outlineLevel="0" collapsed="false">
      <c r="A270" s="26" t="n">
        <v>24959</v>
      </c>
      <c r="B270" s="1" t="n">
        <v>1968</v>
      </c>
      <c r="C270" s="1" t="n">
        <v>5</v>
      </c>
      <c r="D270" s="1" t="s">
        <v>46</v>
      </c>
      <c r="E270" s="1" t="s">
        <v>13</v>
      </c>
      <c r="F270" s="1" t="n">
        <v>29.38</v>
      </c>
      <c r="G270" s="1" t="n">
        <f aca="false">IF(E270=E269,F270/F269-1,"")</f>
        <v>-0.00305395317271806</v>
      </c>
    </row>
    <row r="271" customFormat="false" ht="14.25" hidden="false" customHeight="true" outlineLevel="0" collapsed="false">
      <c r="A271" s="26" t="n">
        <v>24990</v>
      </c>
      <c r="B271" s="1" t="n">
        <v>1968</v>
      </c>
      <c r="C271" s="1" t="n">
        <v>6</v>
      </c>
      <c r="D271" s="1" t="s">
        <v>47</v>
      </c>
      <c r="E271" s="1" t="s">
        <v>13</v>
      </c>
      <c r="F271" s="1" t="n">
        <v>29.21</v>
      </c>
      <c r="G271" s="1" t="n">
        <f aca="false">IF(E271=E270,F271/F270-1,"")</f>
        <v>-0.00578624914908099</v>
      </c>
    </row>
    <row r="272" customFormat="false" ht="14.25" hidden="false" customHeight="true" outlineLevel="0" collapsed="false">
      <c r="A272" s="26" t="n">
        <v>25020</v>
      </c>
      <c r="B272" s="1" t="n">
        <v>1968</v>
      </c>
      <c r="C272" s="1" t="n">
        <v>7</v>
      </c>
      <c r="D272" s="1" t="s">
        <v>48</v>
      </c>
      <c r="E272" s="1" t="s">
        <v>13</v>
      </c>
      <c r="F272" s="1" t="n">
        <v>29.05</v>
      </c>
      <c r="G272" s="1" t="n">
        <f aca="false">IF(E272=E271,F272/F271-1,"")</f>
        <v>-0.00547757617254363</v>
      </c>
    </row>
    <row r="273" customFormat="false" ht="14.25" hidden="false" customHeight="true" outlineLevel="0" collapsed="false">
      <c r="A273" s="26" t="n">
        <v>25051</v>
      </c>
      <c r="B273" s="1" t="n">
        <v>1968</v>
      </c>
      <c r="C273" s="1" t="n">
        <v>8</v>
      </c>
      <c r="D273" s="1" t="s">
        <v>49</v>
      </c>
      <c r="E273" s="1" t="s">
        <v>13</v>
      </c>
      <c r="F273" s="1" t="n">
        <v>28.96</v>
      </c>
      <c r="G273" s="1" t="n">
        <f aca="false">IF(E273=E272,F273/F272-1,"")</f>
        <v>-0.0030981067125645</v>
      </c>
    </row>
    <row r="274" customFormat="false" ht="14.25" hidden="false" customHeight="true" outlineLevel="0" collapsed="false">
      <c r="A274" s="26" t="n">
        <v>25082</v>
      </c>
      <c r="B274" s="1" t="n">
        <v>1968</v>
      </c>
      <c r="C274" s="1" t="n">
        <v>9</v>
      </c>
      <c r="D274" s="1" t="s">
        <v>50</v>
      </c>
      <c r="E274" s="1" t="s">
        <v>13</v>
      </c>
      <c r="F274" s="1" t="n">
        <v>28.88</v>
      </c>
      <c r="G274" s="1" t="n">
        <f aca="false">IF(E274=E273,F274/F273-1,"")</f>
        <v>-0.00276243093922657</v>
      </c>
    </row>
    <row r="275" customFormat="false" ht="14.25" hidden="false" customHeight="true" outlineLevel="0" collapsed="false">
      <c r="A275" s="26" t="n">
        <v>25112</v>
      </c>
      <c r="B275" s="1" t="n">
        <v>1968</v>
      </c>
      <c r="C275" s="1" t="n">
        <v>10</v>
      </c>
      <c r="D275" s="1" t="s">
        <v>51</v>
      </c>
      <c r="E275" s="1" t="s">
        <v>13</v>
      </c>
      <c r="F275" s="1" t="n">
        <v>28.72</v>
      </c>
      <c r="G275" s="1" t="n">
        <f aca="false">IF(E275=E274,F275/F274-1,"")</f>
        <v>-0.00554016620498621</v>
      </c>
    </row>
    <row r="276" customFormat="false" ht="14.25" hidden="false" customHeight="true" outlineLevel="0" collapsed="false">
      <c r="A276" s="26" t="n">
        <v>25143</v>
      </c>
      <c r="B276" s="1" t="n">
        <v>1968</v>
      </c>
      <c r="C276" s="1" t="n">
        <v>11</v>
      </c>
      <c r="D276" s="1" t="s">
        <v>52</v>
      </c>
      <c r="E276" s="1" t="s">
        <v>13</v>
      </c>
      <c r="F276" s="1" t="n">
        <v>28.64</v>
      </c>
      <c r="G276" s="1" t="n">
        <f aca="false">IF(E276=E275,F276/F275-1,"")</f>
        <v>-0.00278551532033422</v>
      </c>
    </row>
    <row r="277" customFormat="false" ht="14.25" hidden="false" customHeight="true" outlineLevel="0" collapsed="false">
      <c r="A277" s="26" t="n">
        <v>25173</v>
      </c>
      <c r="B277" s="1" t="n">
        <v>1968</v>
      </c>
      <c r="C277" s="1" t="n">
        <v>12</v>
      </c>
      <c r="D277" s="1" t="s">
        <v>53</v>
      </c>
      <c r="E277" s="1" t="s">
        <v>13</v>
      </c>
      <c r="F277" s="1" t="n">
        <v>28.56</v>
      </c>
      <c r="G277" s="1" t="n">
        <f aca="false">IF(E277=E276,F277/F276-1,"")</f>
        <v>-0.0027932960893855</v>
      </c>
    </row>
    <row r="278" customFormat="false" ht="14.25" hidden="false" customHeight="true" outlineLevel="0" collapsed="false">
      <c r="A278" s="26" t="n">
        <v>25204</v>
      </c>
      <c r="B278" s="1" t="n">
        <v>1969</v>
      </c>
      <c r="C278" s="1" t="n">
        <v>1</v>
      </c>
      <c r="D278" s="1" t="s">
        <v>42</v>
      </c>
      <c r="E278" s="1" t="s">
        <v>13</v>
      </c>
      <c r="F278" s="1" t="n">
        <v>28.48</v>
      </c>
      <c r="G278" s="1" t="n">
        <f aca="false">IF(E278=E277,F278/F277-1,"")</f>
        <v>-0.00280112044817926</v>
      </c>
    </row>
    <row r="279" customFormat="false" ht="14.25" hidden="false" customHeight="true" outlineLevel="0" collapsed="false">
      <c r="A279" s="26" t="n">
        <v>25235</v>
      </c>
      <c r="B279" s="1" t="n">
        <v>1969</v>
      </c>
      <c r="C279" s="1" t="n">
        <v>2</v>
      </c>
      <c r="D279" s="1" t="s">
        <v>43</v>
      </c>
      <c r="E279" s="1" t="s">
        <v>13</v>
      </c>
      <c r="F279" s="1" t="n">
        <v>28.32</v>
      </c>
      <c r="G279" s="1" t="n">
        <f aca="false">IF(E279=E278,F279/F278-1,"")</f>
        <v>-0.0056179775280899</v>
      </c>
    </row>
    <row r="280" customFormat="false" ht="14.25" hidden="false" customHeight="true" outlineLevel="0" collapsed="false">
      <c r="A280" s="26" t="n">
        <v>25263</v>
      </c>
      <c r="B280" s="1" t="n">
        <v>1969</v>
      </c>
      <c r="C280" s="1" t="n">
        <v>3</v>
      </c>
      <c r="D280" s="1" t="s">
        <v>44</v>
      </c>
      <c r="E280" s="1" t="s">
        <v>13</v>
      </c>
      <c r="F280" s="1" t="n">
        <v>29.73</v>
      </c>
      <c r="G280" s="1" t="n">
        <f aca="false">IF(E280=E279,F280/F279-1,"")</f>
        <v>0.0497881355932204</v>
      </c>
    </row>
    <row r="281" customFormat="false" ht="14.25" hidden="false" customHeight="true" outlineLevel="0" collapsed="false">
      <c r="A281" s="26" t="n">
        <v>25294</v>
      </c>
      <c r="B281" s="1" t="n">
        <v>1969</v>
      </c>
      <c r="C281" s="1" t="n">
        <v>4</v>
      </c>
      <c r="D281" s="1" t="s">
        <v>45</v>
      </c>
      <c r="E281" s="1" t="s">
        <v>13</v>
      </c>
      <c r="F281" s="1" t="n">
        <v>30.47</v>
      </c>
      <c r="G281" s="1" t="n">
        <f aca="false">IF(E281=E280,F281/F280-1,"")</f>
        <v>0.0248906828119744</v>
      </c>
    </row>
    <row r="282" customFormat="false" ht="14.25" hidden="false" customHeight="true" outlineLevel="0" collapsed="false">
      <c r="A282" s="26" t="n">
        <v>25324</v>
      </c>
      <c r="B282" s="1" t="n">
        <v>1969</v>
      </c>
      <c r="C282" s="1" t="n">
        <v>5</v>
      </c>
      <c r="D282" s="1" t="s">
        <v>46</v>
      </c>
      <c r="E282" s="1" t="s">
        <v>13</v>
      </c>
      <c r="F282" s="1" t="n">
        <v>30.39</v>
      </c>
      <c r="G282" s="1" t="n">
        <f aca="false">IF(E282=E281,F282/F281-1,"")</f>
        <v>-0.00262553331145388</v>
      </c>
    </row>
    <row r="283" customFormat="false" ht="14.25" hidden="false" customHeight="true" outlineLevel="0" collapsed="false">
      <c r="A283" s="26" t="n">
        <v>25355</v>
      </c>
      <c r="B283" s="1" t="n">
        <v>1969</v>
      </c>
      <c r="C283" s="1" t="n">
        <v>6</v>
      </c>
      <c r="D283" s="1" t="s">
        <v>47</v>
      </c>
      <c r="E283" s="1" t="s">
        <v>13</v>
      </c>
      <c r="F283" s="1" t="n">
        <v>30.22</v>
      </c>
      <c r="G283" s="1" t="n">
        <f aca="false">IF(E283=E282,F283/F282-1,"")</f>
        <v>-0.00559394537676872</v>
      </c>
    </row>
    <row r="284" customFormat="false" ht="14.25" hidden="false" customHeight="true" outlineLevel="0" collapsed="false">
      <c r="A284" s="26" t="n">
        <v>25385</v>
      </c>
      <c r="B284" s="1" t="n">
        <v>1969</v>
      </c>
      <c r="C284" s="1" t="n">
        <v>7</v>
      </c>
      <c r="D284" s="1" t="s">
        <v>48</v>
      </c>
      <c r="E284" s="1" t="s">
        <v>13</v>
      </c>
      <c r="F284" s="1" t="n">
        <v>30.06</v>
      </c>
      <c r="G284" s="1" t="n">
        <f aca="false">IF(E284=E283,F284/F283-1,"")</f>
        <v>-0.00529450694904032</v>
      </c>
    </row>
    <row r="285" customFormat="false" ht="14.25" hidden="false" customHeight="true" outlineLevel="0" collapsed="false">
      <c r="A285" s="26" t="n">
        <v>25416</v>
      </c>
      <c r="B285" s="1" t="n">
        <v>1969</v>
      </c>
      <c r="C285" s="1" t="n">
        <v>8</v>
      </c>
      <c r="D285" s="1" t="s">
        <v>49</v>
      </c>
      <c r="E285" s="1" t="s">
        <v>13</v>
      </c>
      <c r="F285" s="1" t="n">
        <v>29.9</v>
      </c>
      <c r="G285" s="1" t="n">
        <f aca="false">IF(E285=E284,F285/F284-1,"")</f>
        <v>-0.00532268795741853</v>
      </c>
    </row>
    <row r="286" customFormat="false" ht="14.25" hidden="false" customHeight="true" outlineLevel="0" collapsed="false">
      <c r="A286" s="26" t="n">
        <v>25447</v>
      </c>
      <c r="B286" s="1" t="n">
        <v>1969</v>
      </c>
      <c r="C286" s="1" t="n">
        <v>9</v>
      </c>
      <c r="D286" s="1" t="s">
        <v>50</v>
      </c>
      <c r="E286" s="1" t="s">
        <v>13</v>
      </c>
      <c r="F286" s="1" t="n">
        <v>29.82</v>
      </c>
      <c r="G286" s="1" t="n">
        <f aca="false">IF(E286=E285,F286/F285-1,"")</f>
        <v>-0.00267558528428091</v>
      </c>
    </row>
    <row r="287" customFormat="false" ht="14.25" hidden="false" customHeight="true" outlineLevel="0" collapsed="false">
      <c r="A287" s="26" t="n">
        <v>25477</v>
      </c>
      <c r="B287" s="1" t="n">
        <v>1969</v>
      </c>
      <c r="C287" s="1" t="n">
        <v>10</v>
      </c>
      <c r="D287" s="1" t="s">
        <v>51</v>
      </c>
      <c r="E287" s="1" t="s">
        <v>13</v>
      </c>
      <c r="F287" s="1" t="n">
        <v>29.66</v>
      </c>
      <c r="G287" s="1" t="n">
        <f aca="false">IF(E287=E286,F287/F286-1,"")</f>
        <v>-0.00536552649228705</v>
      </c>
    </row>
    <row r="288" customFormat="false" ht="14.25" hidden="false" customHeight="true" outlineLevel="0" collapsed="false">
      <c r="A288" s="26" t="n">
        <v>25508</v>
      </c>
      <c r="B288" s="1" t="n">
        <v>1969</v>
      </c>
      <c r="C288" s="1" t="n">
        <v>11</v>
      </c>
      <c r="D288" s="1" t="s">
        <v>52</v>
      </c>
      <c r="E288" s="1" t="s">
        <v>13</v>
      </c>
      <c r="F288" s="1" t="n">
        <v>29.5</v>
      </c>
      <c r="G288" s="1" t="n">
        <f aca="false">IF(E288=E287,F288/F287-1,"")</f>
        <v>-0.00539447066756571</v>
      </c>
    </row>
    <row r="289" customFormat="false" ht="14.25" hidden="false" customHeight="true" outlineLevel="0" collapsed="false">
      <c r="A289" s="26" t="n">
        <v>25538</v>
      </c>
      <c r="B289" s="1" t="n">
        <v>1969</v>
      </c>
      <c r="C289" s="1" t="n">
        <v>12</v>
      </c>
      <c r="D289" s="1" t="s">
        <v>53</v>
      </c>
      <c r="E289" s="1" t="s">
        <v>13</v>
      </c>
      <c r="F289" s="1" t="n">
        <v>29.34</v>
      </c>
      <c r="G289" s="1" t="n">
        <f aca="false">IF(E289=E288,F289/F288-1,"")</f>
        <v>-0.00542372881355935</v>
      </c>
    </row>
    <row r="290" customFormat="false" ht="14.25" hidden="false" customHeight="true" outlineLevel="0" collapsed="false">
      <c r="A290" s="26" t="n">
        <v>25569</v>
      </c>
      <c r="B290" s="1" t="n">
        <v>1970</v>
      </c>
      <c r="C290" s="1" t="n">
        <v>1</v>
      </c>
      <c r="D290" s="1" t="s">
        <v>42</v>
      </c>
      <c r="E290" s="1" t="s">
        <v>13</v>
      </c>
      <c r="F290" s="1" t="n">
        <v>29.26</v>
      </c>
      <c r="G290" s="1" t="n">
        <f aca="false">IF(E290=E289,F290/F289-1,"")</f>
        <v>-0.00272665303340147</v>
      </c>
    </row>
    <row r="291" customFormat="false" ht="14.25" hidden="false" customHeight="true" outlineLevel="0" collapsed="false">
      <c r="A291" s="26" t="n">
        <v>25600</v>
      </c>
      <c r="B291" s="1" t="n">
        <v>1970</v>
      </c>
      <c r="C291" s="1" t="n">
        <v>2</v>
      </c>
      <c r="D291" s="1" t="s">
        <v>43</v>
      </c>
      <c r="E291" s="1" t="s">
        <v>13</v>
      </c>
      <c r="F291" s="1" t="n">
        <v>29.11</v>
      </c>
      <c r="G291" s="1" t="n">
        <f aca="false">IF(E291=E290,F291/F290-1,"")</f>
        <v>-0.00512645249487365</v>
      </c>
    </row>
    <row r="292" customFormat="false" ht="14.25" hidden="false" customHeight="true" outlineLevel="0" collapsed="false">
      <c r="A292" s="26" t="n">
        <v>25628</v>
      </c>
      <c r="B292" s="1" t="n">
        <v>1970</v>
      </c>
      <c r="C292" s="1" t="n">
        <v>3</v>
      </c>
      <c r="D292" s="1" t="s">
        <v>44</v>
      </c>
      <c r="E292" s="1" t="s">
        <v>13</v>
      </c>
      <c r="F292" s="1" t="n">
        <v>28.96</v>
      </c>
      <c r="G292" s="1" t="n">
        <f aca="false">IF(E292=E291,F292/F291-1,"")</f>
        <v>-0.00515286843009266</v>
      </c>
    </row>
    <row r="293" customFormat="false" ht="14.25" hidden="false" customHeight="true" outlineLevel="0" collapsed="false">
      <c r="A293" s="26" t="n">
        <v>25659</v>
      </c>
      <c r="B293" s="1" t="n">
        <v>1970</v>
      </c>
      <c r="C293" s="1" t="n">
        <v>4</v>
      </c>
      <c r="D293" s="1" t="s">
        <v>45</v>
      </c>
      <c r="E293" s="1" t="s">
        <v>13</v>
      </c>
      <c r="F293" s="1" t="n">
        <v>28.73</v>
      </c>
      <c r="G293" s="1" t="n">
        <f aca="false">IF(E293=E292,F293/F292-1,"")</f>
        <v>-0.00794198895027631</v>
      </c>
    </row>
    <row r="294" customFormat="false" ht="14.25" hidden="false" customHeight="true" outlineLevel="0" collapsed="false">
      <c r="A294" s="26" t="n">
        <v>25689</v>
      </c>
      <c r="B294" s="1" t="n">
        <v>1970</v>
      </c>
      <c r="C294" s="1" t="n">
        <v>5</v>
      </c>
      <c r="D294" s="1" t="s">
        <v>46</v>
      </c>
      <c r="E294" s="1" t="s">
        <v>13</v>
      </c>
      <c r="F294" s="1" t="n">
        <v>28.66</v>
      </c>
      <c r="G294" s="1" t="n">
        <f aca="false">IF(E294=E293,F294/F293-1,"")</f>
        <v>-0.00243647754959975</v>
      </c>
    </row>
    <row r="295" customFormat="false" ht="14.25" hidden="false" customHeight="true" outlineLevel="0" collapsed="false">
      <c r="A295" s="26" t="n">
        <v>25720</v>
      </c>
      <c r="B295" s="1" t="n">
        <v>1970</v>
      </c>
      <c r="C295" s="1" t="n">
        <v>6</v>
      </c>
      <c r="D295" s="1" t="s">
        <v>47</v>
      </c>
      <c r="E295" s="1" t="s">
        <v>13</v>
      </c>
      <c r="F295" s="1" t="n">
        <v>28.51</v>
      </c>
      <c r="G295" s="1" t="n">
        <f aca="false">IF(E295=E294,F295/F294-1,"")</f>
        <v>-0.00523377529658053</v>
      </c>
    </row>
    <row r="296" customFormat="false" ht="14.25" hidden="false" customHeight="true" outlineLevel="0" collapsed="false">
      <c r="A296" s="26" t="n">
        <v>25750</v>
      </c>
      <c r="B296" s="1" t="n">
        <v>1970</v>
      </c>
      <c r="C296" s="1" t="n">
        <v>7</v>
      </c>
      <c r="D296" s="1" t="s">
        <v>48</v>
      </c>
      <c r="E296" s="1" t="s">
        <v>13</v>
      </c>
      <c r="F296" s="1" t="n">
        <v>28.03</v>
      </c>
      <c r="G296" s="1" t="n">
        <f aca="false">IF(E296=E295,F296/F295-1,"")</f>
        <v>-0.0168361978253244</v>
      </c>
    </row>
    <row r="297" customFormat="false" ht="14.25" hidden="false" customHeight="true" outlineLevel="0" collapsed="false">
      <c r="A297" s="26" t="n">
        <v>25781</v>
      </c>
      <c r="B297" s="1" t="n">
        <v>1970</v>
      </c>
      <c r="C297" s="1" t="n">
        <v>8</v>
      </c>
      <c r="D297" s="1" t="s">
        <v>49</v>
      </c>
      <c r="E297" s="1" t="s">
        <v>13</v>
      </c>
      <c r="F297" s="1" t="n">
        <v>28.03</v>
      </c>
      <c r="G297" s="1" t="n">
        <f aca="false">IF(E297=E296,F297/F296-1,"")</f>
        <v>0</v>
      </c>
    </row>
    <row r="298" customFormat="false" ht="14.25" hidden="false" customHeight="true" outlineLevel="0" collapsed="false">
      <c r="A298" s="26" t="n">
        <v>25812</v>
      </c>
      <c r="B298" s="1" t="n">
        <v>1970</v>
      </c>
      <c r="C298" s="1" t="n">
        <v>9</v>
      </c>
      <c r="D298" s="1" t="s">
        <v>50</v>
      </c>
      <c r="E298" s="1" t="s">
        <v>13</v>
      </c>
      <c r="F298" s="1" t="n">
        <v>27.88</v>
      </c>
      <c r="G298" s="1" t="n">
        <f aca="false">IF(E298=E297,F298/F297-1,"")</f>
        <v>-0.0053514092044239</v>
      </c>
    </row>
    <row r="299" customFormat="false" ht="14.25" hidden="false" customHeight="true" outlineLevel="0" collapsed="false">
      <c r="A299" s="26" t="n">
        <v>25842</v>
      </c>
      <c r="B299" s="1" t="n">
        <v>1970</v>
      </c>
      <c r="C299" s="1" t="n">
        <v>10</v>
      </c>
      <c r="D299" s="1" t="s">
        <v>51</v>
      </c>
      <c r="E299" s="1" t="s">
        <v>13</v>
      </c>
      <c r="F299" s="1" t="n">
        <v>27.74</v>
      </c>
      <c r="G299" s="1" t="n">
        <f aca="false">IF(E299=E298,F299/F298-1,"")</f>
        <v>-0.00502152080344331</v>
      </c>
    </row>
    <row r="300" customFormat="false" ht="14.25" hidden="false" customHeight="true" outlineLevel="0" collapsed="false">
      <c r="A300" s="26" t="n">
        <v>25873</v>
      </c>
      <c r="B300" s="1" t="n">
        <v>1970</v>
      </c>
      <c r="C300" s="1" t="n">
        <v>11</v>
      </c>
      <c r="D300" s="1" t="s">
        <v>52</v>
      </c>
      <c r="E300" s="1" t="s">
        <v>13</v>
      </c>
      <c r="F300" s="1" t="n">
        <v>27.6</v>
      </c>
      <c r="G300" s="1" t="n">
        <f aca="false">IF(E300=E299,F300/F299-1,"")</f>
        <v>-0.00504686373467911</v>
      </c>
    </row>
    <row r="301" customFormat="false" ht="14.25" hidden="false" customHeight="true" outlineLevel="0" collapsed="false">
      <c r="A301" s="26" t="n">
        <v>25903</v>
      </c>
      <c r="B301" s="1" t="n">
        <v>1970</v>
      </c>
      <c r="C301" s="1" t="n">
        <v>12</v>
      </c>
      <c r="D301" s="1" t="s">
        <v>53</v>
      </c>
      <c r="E301" s="1" t="s">
        <v>13</v>
      </c>
      <c r="F301" s="1" t="n">
        <v>29.54</v>
      </c>
      <c r="G301" s="1" t="n">
        <f aca="false">IF(E301=E300,F301/F300-1,"")</f>
        <v>0.0702898550724638</v>
      </c>
    </row>
    <row r="302" customFormat="false" ht="14.25" hidden="false" customHeight="true" outlineLevel="0" collapsed="false">
      <c r="A302" s="26" t="n">
        <v>25934</v>
      </c>
      <c r="B302" s="1" t="n">
        <v>1971</v>
      </c>
      <c r="C302" s="1" t="n">
        <v>1</v>
      </c>
      <c r="D302" s="1" t="s">
        <v>42</v>
      </c>
      <c r="E302" s="1" t="s">
        <v>13</v>
      </c>
      <c r="F302" s="1" t="n">
        <v>29.54</v>
      </c>
      <c r="G302" s="1" t="n">
        <f aca="false">IF(E302=E301,F302/F301-1,"")</f>
        <v>0</v>
      </c>
    </row>
    <row r="303" customFormat="false" ht="14.25" hidden="false" customHeight="true" outlineLevel="0" collapsed="false">
      <c r="A303" s="26" t="n">
        <v>25965</v>
      </c>
      <c r="B303" s="1" t="n">
        <v>1971</v>
      </c>
      <c r="C303" s="1" t="n">
        <v>2</v>
      </c>
      <c r="D303" s="1" t="s">
        <v>43</v>
      </c>
      <c r="E303" s="1" t="s">
        <v>13</v>
      </c>
      <c r="F303" s="1" t="n">
        <v>29.46</v>
      </c>
      <c r="G303" s="1" t="n">
        <f aca="false">IF(E303=E302,F303/F302-1,"")</f>
        <v>-0.00270819228165198</v>
      </c>
    </row>
    <row r="304" customFormat="false" ht="14.25" hidden="false" customHeight="true" outlineLevel="0" collapsed="false">
      <c r="A304" s="26" t="n">
        <v>25993</v>
      </c>
      <c r="B304" s="1" t="n">
        <v>1971</v>
      </c>
      <c r="C304" s="1" t="n">
        <v>3</v>
      </c>
      <c r="D304" s="1" t="s">
        <v>44</v>
      </c>
      <c r="E304" s="1" t="s">
        <v>13</v>
      </c>
      <c r="F304" s="1" t="n">
        <v>29.39</v>
      </c>
      <c r="G304" s="1" t="n">
        <f aca="false">IF(E304=E303,F304/F303-1,"")</f>
        <v>-0.0023761031907672</v>
      </c>
    </row>
    <row r="305" customFormat="false" ht="14.25" hidden="false" customHeight="true" outlineLevel="0" collapsed="false">
      <c r="A305" s="26" t="n">
        <v>26024</v>
      </c>
      <c r="B305" s="1" t="n">
        <v>1971</v>
      </c>
      <c r="C305" s="1" t="n">
        <v>4</v>
      </c>
      <c r="D305" s="1" t="s">
        <v>45</v>
      </c>
      <c r="E305" s="1" t="s">
        <v>13</v>
      </c>
      <c r="F305" s="1" t="n">
        <v>29.32</v>
      </c>
      <c r="G305" s="1" t="n">
        <f aca="false">IF(E305=E304,F305/F304-1,"")</f>
        <v>-0.00238176250425315</v>
      </c>
    </row>
    <row r="306" customFormat="false" ht="14.25" hidden="false" customHeight="true" outlineLevel="0" collapsed="false">
      <c r="A306" s="26" t="n">
        <v>26054</v>
      </c>
      <c r="B306" s="1" t="n">
        <v>1971</v>
      </c>
      <c r="C306" s="1" t="n">
        <v>5</v>
      </c>
      <c r="D306" s="1" t="s">
        <v>46</v>
      </c>
      <c r="E306" s="1" t="s">
        <v>13</v>
      </c>
      <c r="F306" s="1" t="n">
        <v>29.17</v>
      </c>
      <c r="G306" s="1" t="n">
        <f aca="false">IF(E306=E305,F306/F305-1,"")</f>
        <v>-0.00511596180081853</v>
      </c>
    </row>
    <row r="307" customFormat="false" ht="14.25" hidden="false" customHeight="true" outlineLevel="0" collapsed="false">
      <c r="A307" s="26" t="n">
        <v>26085</v>
      </c>
      <c r="B307" s="1" t="n">
        <v>1971</v>
      </c>
      <c r="C307" s="1" t="n">
        <v>6</v>
      </c>
      <c r="D307" s="1" t="s">
        <v>47</v>
      </c>
      <c r="E307" s="1" t="s">
        <v>13</v>
      </c>
      <c r="F307" s="1" t="n">
        <v>28.95</v>
      </c>
      <c r="G307" s="1" t="n">
        <f aca="false">IF(E307=E306,F307/F306-1,"")</f>
        <v>-0.00754199520054855</v>
      </c>
    </row>
    <row r="308" customFormat="false" ht="14.25" hidden="false" customHeight="true" outlineLevel="0" collapsed="false">
      <c r="A308" s="26" t="n">
        <v>26115</v>
      </c>
      <c r="B308" s="1" t="n">
        <v>1971</v>
      </c>
      <c r="C308" s="1" t="n">
        <v>7</v>
      </c>
      <c r="D308" s="1" t="s">
        <v>48</v>
      </c>
      <c r="E308" s="1" t="s">
        <v>13</v>
      </c>
      <c r="F308" s="1" t="n">
        <v>28.88</v>
      </c>
      <c r="G308" s="1" t="n">
        <f aca="false">IF(E308=E307,F308/F307-1,"")</f>
        <v>-0.00241796200345423</v>
      </c>
    </row>
    <row r="309" customFormat="false" ht="14.25" hidden="false" customHeight="true" outlineLevel="0" collapsed="false">
      <c r="A309" s="26" t="n">
        <v>26146</v>
      </c>
      <c r="B309" s="1" t="n">
        <v>1971</v>
      </c>
      <c r="C309" s="1" t="n">
        <v>8</v>
      </c>
      <c r="D309" s="1" t="s">
        <v>49</v>
      </c>
      <c r="E309" s="1" t="s">
        <v>13</v>
      </c>
      <c r="F309" s="1" t="n">
        <v>28.81</v>
      </c>
      <c r="G309" s="1" t="n">
        <f aca="false">IF(E309=E308,F309/F308-1,"")</f>
        <v>-0.00242382271468145</v>
      </c>
    </row>
    <row r="310" customFormat="false" ht="14.25" hidden="false" customHeight="true" outlineLevel="0" collapsed="false">
      <c r="A310" s="26" t="n">
        <v>26177</v>
      </c>
      <c r="B310" s="1" t="n">
        <v>1971</v>
      </c>
      <c r="C310" s="1" t="n">
        <v>9</v>
      </c>
      <c r="D310" s="1" t="s">
        <v>50</v>
      </c>
      <c r="E310" s="1" t="s">
        <v>13</v>
      </c>
      <c r="F310" s="1" t="n">
        <v>28.81</v>
      </c>
      <c r="G310" s="1" t="n">
        <f aca="false">IF(E310=E309,F310/F309-1,"")</f>
        <v>0</v>
      </c>
    </row>
    <row r="311" customFormat="false" ht="14.25" hidden="false" customHeight="true" outlineLevel="0" collapsed="false">
      <c r="A311" s="26" t="n">
        <v>26207</v>
      </c>
      <c r="B311" s="1" t="n">
        <v>1971</v>
      </c>
      <c r="C311" s="1" t="n">
        <v>10</v>
      </c>
      <c r="D311" s="1" t="s">
        <v>51</v>
      </c>
      <c r="E311" s="1" t="s">
        <v>13</v>
      </c>
      <c r="F311" s="1" t="n">
        <v>28.74</v>
      </c>
      <c r="G311" s="1" t="n">
        <f aca="false">IF(E311=E310,F311/F310-1,"")</f>
        <v>-0.00242971190558838</v>
      </c>
    </row>
    <row r="312" customFormat="false" ht="14.25" hidden="false" customHeight="true" outlineLevel="0" collapsed="false">
      <c r="A312" s="26" t="n">
        <v>26238</v>
      </c>
      <c r="B312" s="1" t="n">
        <v>1971</v>
      </c>
      <c r="C312" s="1" t="n">
        <v>11</v>
      </c>
      <c r="D312" s="1" t="s">
        <v>52</v>
      </c>
      <c r="E312" s="1" t="s">
        <v>13</v>
      </c>
      <c r="F312" s="1" t="n">
        <v>28.74</v>
      </c>
      <c r="G312" s="1" t="n">
        <f aca="false">IF(E312=E311,F312/F311-1,"")</f>
        <v>0</v>
      </c>
    </row>
    <row r="313" customFormat="false" ht="14.25" hidden="false" customHeight="true" outlineLevel="0" collapsed="false">
      <c r="A313" s="26" t="n">
        <v>26268</v>
      </c>
      <c r="B313" s="1" t="n">
        <v>1971</v>
      </c>
      <c r="C313" s="1" t="n">
        <v>12</v>
      </c>
      <c r="D313" s="1" t="s">
        <v>53</v>
      </c>
      <c r="E313" s="1" t="s">
        <v>13</v>
      </c>
      <c r="F313" s="1" t="n">
        <v>28.6</v>
      </c>
      <c r="G313" s="1" t="n">
        <f aca="false">IF(E313=E312,F313/F312-1,"")</f>
        <v>-0.00487125956854551</v>
      </c>
    </row>
    <row r="314" customFormat="false" ht="14.25" hidden="false" customHeight="true" outlineLevel="0" collapsed="false">
      <c r="A314" s="26" t="n">
        <v>26299</v>
      </c>
      <c r="B314" s="1" t="n">
        <v>1972</v>
      </c>
      <c r="C314" s="1" t="n">
        <v>1</v>
      </c>
      <c r="D314" s="1" t="s">
        <v>42</v>
      </c>
      <c r="E314" s="1" t="s">
        <v>13</v>
      </c>
      <c r="F314" s="1" t="n">
        <v>28.6</v>
      </c>
      <c r="G314" s="1" t="n">
        <f aca="false">IF(E314=E313,F314/F313-1,"")</f>
        <v>0</v>
      </c>
    </row>
    <row r="315" customFormat="false" ht="14.25" hidden="false" customHeight="true" outlineLevel="0" collapsed="false">
      <c r="A315" s="26" t="n">
        <v>26330</v>
      </c>
      <c r="B315" s="1" t="n">
        <v>1972</v>
      </c>
      <c r="C315" s="1" t="n">
        <v>2</v>
      </c>
      <c r="D315" s="1" t="s">
        <v>43</v>
      </c>
      <c r="E315" s="1" t="s">
        <v>13</v>
      </c>
      <c r="F315" s="1" t="n">
        <v>28.46</v>
      </c>
      <c r="G315" s="1" t="n">
        <f aca="false">IF(E315=E314,F315/F314-1,"")</f>
        <v>-0.00489510489510492</v>
      </c>
    </row>
    <row r="316" customFormat="false" ht="14.25" hidden="false" customHeight="true" outlineLevel="0" collapsed="false">
      <c r="A316" s="26" t="n">
        <v>26359</v>
      </c>
      <c r="B316" s="1" t="n">
        <v>1972</v>
      </c>
      <c r="C316" s="1" t="n">
        <v>3</v>
      </c>
      <c r="D316" s="1" t="s">
        <v>44</v>
      </c>
      <c r="E316" s="1" t="s">
        <v>13</v>
      </c>
      <c r="F316" s="1" t="n">
        <v>28.4</v>
      </c>
      <c r="G316" s="1" t="n">
        <f aca="false">IF(E316=E315,F316/F315-1,"")</f>
        <v>-0.00210822206605765</v>
      </c>
    </row>
    <row r="317" customFormat="false" ht="14.25" hidden="false" customHeight="true" outlineLevel="0" collapsed="false">
      <c r="A317" s="26" t="n">
        <v>26390</v>
      </c>
      <c r="B317" s="1" t="n">
        <v>1972</v>
      </c>
      <c r="C317" s="1" t="n">
        <v>4</v>
      </c>
      <c r="D317" s="1" t="s">
        <v>45</v>
      </c>
      <c r="E317" s="1" t="s">
        <v>13</v>
      </c>
      <c r="F317" s="1" t="n">
        <v>28.33</v>
      </c>
      <c r="G317" s="1" t="n">
        <f aca="false">IF(E317=E316,F317/F316-1,"")</f>
        <v>-0.00246478873239442</v>
      </c>
    </row>
    <row r="318" customFormat="false" ht="14.25" hidden="false" customHeight="true" outlineLevel="0" collapsed="false">
      <c r="A318" s="26" t="n">
        <v>26420</v>
      </c>
      <c r="B318" s="1" t="n">
        <v>1972</v>
      </c>
      <c r="C318" s="1" t="n">
        <v>5</v>
      </c>
      <c r="D318" s="1" t="s">
        <v>46</v>
      </c>
      <c r="E318" s="1" t="s">
        <v>13</v>
      </c>
      <c r="F318" s="1" t="n">
        <v>28.26</v>
      </c>
      <c r="G318" s="1" t="n">
        <f aca="false">IF(E318=E317,F318/F317-1,"")</f>
        <v>-0.00247087892693243</v>
      </c>
    </row>
    <row r="319" customFormat="false" ht="14.25" hidden="false" customHeight="true" outlineLevel="0" collapsed="false">
      <c r="A319" s="26" t="n">
        <v>26451</v>
      </c>
      <c r="B319" s="1" t="n">
        <v>1972</v>
      </c>
      <c r="C319" s="1" t="n">
        <v>6</v>
      </c>
      <c r="D319" s="1" t="s">
        <v>47</v>
      </c>
      <c r="E319" s="1" t="s">
        <v>13</v>
      </c>
      <c r="F319" s="1" t="n">
        <v>28.19</v>
      </c>
      <c r="G319" s="1" t="n">
        <f aca="false">IF(E319=E318,F319/F318-1,"")</f>
        <v>-0.00247699929228595</v>
      </c>
    </row>
    <row r="320" customFormat="false" ht="14.25" hidden="false" customHeight="true" outlineLevel="0" collapsed="false">
      <c r="A320" s="26" t="n">
        <v>26481</v>
      </c>
      <c r="B320" s="1" t="n">
        <v>1972</v>
      </c>
      <c r="C320" s="1" t="n">
        <v>7</v>
      </c>
      <c r="D320" s="1" t="s">
        <v>48</v>
      </c>
      <c r="E320" s="1" t="s">
        <v>13</v>
      </c>
      <c r="F320" s="1" t="n">
        <v>28.06</v>
      </c>
      <c r="G320" s="1" t="n">
        <f aca="false">IF(E320=E319,F320/F319-1,"")</f>
        <v>-0.00461156438453358</v>
      </c>
    </row>
    <row r="321" customFormat="false" ht="14.25" hidden="false" customHeight="true" outlineLevel="0" collapsed="false">
      <c r="A321" s="26" t="n">
        <v>26512</v>
      </c>
      <c r="B321" s="1" t="n">
        <v>1972</v>
      </c>
      <c r="C321" s="1" t="n">
        <v>8</v>
      </c>
      <c r="D321" s="1" t="s">
        <v>49</v>
      </c>
      <c r="E321" s="1" t="s">
        <v>13</v>
      </c>
      <c r="F321" s="1" t="n">
        <v>27.99</v>
      </c>
      <c r="G321" s="1" t="n">
        <f aca="false">IF(E321=E320,F321/F320-1,"")</f>
        <v>-0.0024946543121882</v>
      </c>
    </row>
    <row r="322" customFormat="false" ht="14.25" hidden="false" customHeight="true" outlineLevel="0" collapsed="false">
      <c r="A322" s="26" t="n">
        <v>26543</v>
      </c>
      <c r="B322" s="1" t="n">
        <v>1972</v>
      </c>
      <c r="C322" s="1" t="n">
        <v>9</v>
      </c>
      <c r="D322" s="1" t="s">
        <v>50</v>
      </c>
      <c r="E322" s="1" t="s">
        <v>13</v>
      </c>
      <c r="F322" s="1" t="n">
        <v>27.92</v>
      </c>
      <c r="G322" s="1" t="n">
        <f aca="false">IF(E322=E321,F322/F321-1,"")</f>
        <v>-0.00250089317613422</v>
      </c>
    </row>
    <row r="323" customFormat="false" ht="14.25" hidden="false" customHeight="true" outlineLevel="0" collapsed="false">
      <c r="A323" s="26" t="n">
        <v>26573</v>
      </c>
      <c r="B323" s="1" t="n">
        <v>1972</v>
      </c>
      <c r="C323" s="1" t="n">
        <v>10</v>
      </c>
      <c r="D323" s="1" t="s">
        <v>51</v>
      </c>
      <c r="E323" s="1" t="s">
        <v>13</v>
      </c>
      <c r="F323" s="1" t="n">
        <v>27.79</v>
      </c>
      <c r="G323" s="1" t="n">
        <f aca="false">IF(E323=E322,F323/F322-1,"")</f>
        <v>-0.00465616045845285</v>
      </c>
    </row>
    <row r="324" customFormat="false" ht="14.25" hidden="false" customHeight="true" outlineLevel="0" collapsed="false">
      <c r="A324" s="26" t="n">
        <v>26604</v>
      </c>
      <c r="B324" s="1" t="n">
        <v>1972</v>
      </c>
      <c r="C324" s="1" t="n">
        <v>11</v>
      </c>
      <c r="D324" s="1" t="s">
        <v>52</v>
      </c>
      <c r="E324" s="1" t="s">
        <v>13</v>
      </c>
      <c r="F324" s="1" t="n">
        <v>27.73</v>
      </c>
      <c r="G324" s="1" t="n">
        <f aca="false">IF(E324=E323,F324/F323-1,"")</f>
        <v>-0.00215905001799199</v>
      </c>
    </row>
    <row r="325" customFormat="false" ht="14.25" hidden="false" customHeight="true" outlineLevel="0" collapsed="false">
      <c r="A325" s="26" t="n">
        <v>26634</v>
      </c>
      <c r="B325" s="1" t="n">
        <v>1972</v>
      </c>
      <c r="C325" s="1" t="n">
        <v>12</v>
      </c>
      <c r="D325" s="1" t="s">
        <v>53</v>
      </c>
      <c r="E325" s="1" t="s">
        <v>13</v>
      </c>
      <c r="F325" s="1" t="n">
        <v>27.66</v>
      </c>
      <c r="G325" s="1" t="n">
        <f aca="false">IF(E325=E324,F325/F324-1,"")</f>
        <v>-0.00252434186801298</v>
      </c>
    </row>
    <row r="326" customFormat="false" ht="14.25" hidden="false" customHeight="true" outlineLevel="0" collapsed="false">
      <c r="A326" s="26" t="n">
        <v>26665</v>
      </c>
      <c r="B326" s="1" t="n">
        <v>1973</v>
      </c>
      <c r="C326" s="1" t="n">
        <v>1</v>
      </c>
      <c r="D326" s="1" t="s">
        <v>42</v>
      </c>
      <c r="E326" s="1" t="s">
        <v>13</v>
      </c>
      <c r="F326" s="1" t="n">
        <v>27.6</v>
      </c>
      <c r="G326" s="1" t="n">
        <f aca="false">IF(E326=E325,F326/F325-1,"")</f>
        <v>-0.00216919739696309</v>
      </c>
    </row>
    <row r="327" customFormat="false" ht="14.25" hidden="false" customHeight="true" outlineLevel="0" collapsed="false">
      <c r="A327" s="26" t="n">
        <v>26696</v>
      </c>
      <c r="B327" s="1" t="n">
        <v>1973</v>
      </c>
      <c r="C327" s="1" t="n">
        <v>2</v>
      </c>
      <c r="D327" s="1" t="s">
        <v>43</v>
      </c>
      <c r="E327" s="1" t="s">
        <v>13</v>
      </c>
      <c r="F327" s="1" t="n">
        <v>27.4</v>
      </c>
      <c r="G327" s="1" t="n">
        <f aca="false">IF(E327=E326,F327/F326-1,"")</f>
        <v>-0.00724637681159435</v>
      </c>
    </row>
    <row r="328" customFormat="false" ht="14.25" hidden="false" customHeight="true" outlineLevel="0" collapsed="false">
      <c r="A328" s="26" t="n">
        <v>26724</v>
      </c>
      <c r="B328" s="1" t="n">
        <v>1973</v>
      </c>
      <c r="C328" s="1" t="n">
        <v>3</v>
      </c>
      <c r="D328" s="1" t="s">
        <v>44</v>
      </c>
      <c r="E328" s="1" t="s">
        <v>13</v>
      </c>
      <c r="F328" s="1" t="n">
        <v>27.15</v>
      </c>
      <c r="G328" s="1" t="n">
        <f aca="false">IF(E328=E327,F328/F327-1,"")</f>
        <v>-0.00912408759124084</v>
      </c>
    </row>
    <row r="329" customFormat="false" ht="14.25" hidden="false" customHeight="true" outlineLevel="0" collapsed="false">
      <c r="A329" s="26" t="n">
        <v>26755</v>
      </c>
      <c r="B329" s="1" t="n">
        <v>1973</v>
      </c>
      <c r="C329" s="1" t="n">
        <v>4</v>
      </c>
      <c r="D329" s="1" t="s">
        <v>45</v>
      </c>
      <c r="E329" s="1" t="s">
        <v>13</v>
      </c>
      <c r="F329" s="1" t="n">
        <v>26.96</v>
      </c>
      <c r="G329" s="1" t="n">
        <f aca="false">IF(E329=E328,F329/F328-1,"")</f>
        <v>-0.00699815837937379</v>
      </c>
    </row>
    <row r="330" customFormat="false" ht="14.25" hidden="false" customHeight="true" outlineLevel="0" collapsed="false">
      <c r="A330" s="26" t="n">
        <v>26785</v>
      </c>
      <c r="B330" s="1" t="n">
        <v>1973</v>
      </c>
      <c r="C330" s="1" t="n">
        <v>5</v>
      </c>
      <c r="D330" s="1" t="s">
        <v>46</v>
      </c>
      <c r="E330" s="1" t="s">
        <v>13</v>
      </c>
      <c r="F330" s="1" t="n">
        <v>26.78</v>
      </c>
      <c r="G330" s="1" t="n">
        <f aca="false">IF(E330=E329,F330/F329-1,"")</f>
        <v>-0.00667655786350152</v>
      </c>
    </row>
    <row r="331" customFormat="false" ht="14.25" hidden="false" customHeight="true" outlineLevel="0" collapsed="false">
      <c r="A331" s="26" t="n">
        <v>26816</v>
      </c>
      <c r="B331" s="1" t="n">
        <v>1973</v>
      </c>
      <c r="C331" s="1" t="n">
        <v>6</v>
      </c>
      <c r="D331" s="1" t="s">
        <v>47</v>
      </c>
      <c r="E331" s="1" t="s">
        <v>13</v>
      </c>
      <c r="F331" s="1" t="n">
        <v>26.6</v>
      </c>
      <c r="G331" s="1" t="n">
        <f aca="false">IF(E331=E330,F331/F330-1,"")</f>
        <v>-0.00672143390589997</v>
      </c>
    </row>
    <row r="332" customFormat="false" ht="14.25" hidden="false" customHeight="true" outlineLevel="0" collapsed="false">
      <c r="A332" s="26" t="n">
        <v>26846</v>
      </c>
      <c r="B332" s="1" t="n">
        <v>1973</v>
      </c>
      <c r="C332" s="1" t="n">
        <v>7</v>
      </c>
      <c r="D332" s="1" t="s">
        <v>48</v>
      </c>
      <c r="E332" s="1" t="s">
        <v>13</v>
      </c>
      <c r="F332" s="1" t="n">
        <v>26.54</v>
      </c>
      <c r="G332" s="1" t="n">
        <f aca="false">IF(E332=E331,F332/F331-1,"")</f>
        <v>-0.0022556390977444</v>
      </c>
    </row>
    <row r="333" customFormat="false" ht="14.25" hidden="false" customHeight="true" outlineLevel="0" collapsed="false">
      <c r="A333" s="26" t="n">
        <v>26877</v>
      </c>
      <c r="B333" s="1" t="n">
        <v>1973</v>
      </c>
      <c r="C333" s="1" t="n">
        <v>8</v>
      </c>
      <c r="D333" s="1" t="s">
        <v>49</v>
      </c>
      <c r="E333" s="1" t="s">
        <v>13</v>
      </c>
      <c r="F333" s="1" t="n">
        <v>31.56</v>
      </c>
      <c r="G333" s="1" t="n">
        <f aca="false">IF(E333=E332,F333/F332-1,"")</f>
        <v>0.18914845516202</v>
      </c>
    </row>
    <row r="334" customFormat="false" ht="14.25" hidden="false" customHeight="true" outlineLevel="0" collapsed="false">
      <c r="A334" s="26" t="n">
        <v>26908</v>
      </c>
      <c r="B334" s="1" t="n">
        <v>1973</v>
      </c>
      <c r="C334" s="1" t="n">
        <v>9</v>
      </c>
      <c r="D334" s="1" t="s">
        <v>50</v>
      </c>
      <c r="E334" s="1" t="s">
        <v>13</v>
      </c>
      <c r="F334" s="1" t="n">
        <v>31.49</v>
      </c>
      <c r="G334" s="1" t="n">
        <f aca="false">IF(E334=E333,F334/F333-1,"")</f>
        <v>-0.00221799746514573</v>
      </c>
    </row>
    <row r="335" customFormat="false" ht="14.25" hidden="false" customHeight="true" outlineLevel="0" collapsed="false">
      <c r="A335" s="26" t="n">
        <v>26938</v>
      </c>
      <c r="B335" s="1" t="n">
        <v>1973</v>
      </c>
      <c r="C335" s="1" t="n">
        <v>10</v>
      </c>
      <c r="D335" s="1" t="s">
        <v>51</v>
      </c>
      <c r="E335" s="1" t="s">
        <v>13</v>
      </c>
      <c r="F335" s="1" t="n">
        <v>31.21</v>
      </c>
      <c r="G335" s="1" t="n">
        <f aca="false">IF(E335=E334,F335/F334-1,"")</f>
        <v>-0.00889171165449343</v>
      </c>
    </row>
    <row r="336" customFormat="false" ht="14.25" hidden="false" customHeight="true" outlineLevel="0" collapsed="false">
      <c r="A336" s="26" t="n">
        <v>26969</v>
      </c>
      <c r="B336" s="1" t="n">
        <v>1973</v>
      </c>
      <c r="C336" s="1" t="n">
        <v>11</v>
      </c>
      <c r="D336" s="1" t="s">
        <v>52</v>
      </c>
      <c r="E336" s="1" t="s">
        <v>13</v>
      </c>
      <c r="F336" s="1" t="n">
        <v>31.01</v>
      </c>
      <c r="G336" s="1" t="n">
        <f aca="false">IF(E336=E335,F336/F335-1,"")</f>
        <v>-0.00640820249919893</v>
      </c>
    </row>
    <row r="337" customFormat="false" ht="14.25" hidden="false" customHeight="true" outlineLevel="0" collapsed="false">
      <c r="A337" s="26" t="n">
        <v>26999</v>
      </c>
      <c r="B337" s="1" t="n">
        <v>1973</v>
      </c>
      <c r="C337" s="1" t="n">
        <v>12</v>
      </c>
      <c r="D337" s="1" t="s">
        <v>53</v>
      </c>
      <c r="E337" s="1" t="s">
        <v>13</v>
      </c>
      <c r="F337" s="1" t="n">
        <v>30.81</v>
      </c>
      <c r="G337" s="1" t="n">
        <f aca="false">IF(E337=E336,F337/F336-1,"")</f>
        <v>-0.00644953240890045</v>
      </c>
    </row>
    <row r="338" customFormat="false" ht="14.25" hidden="false" customHeight="true" outlineLevel="0" collapsed="false">
      <c r="A338" s="26" t="n">
        <v>27030</v>
      </c>
      <c r="B338" s="1" t="n">
        <v>1974</v>
      </c>
      <c r="C338" s="1" t="n">
        <v>1</v>
      </c>
      <c r="D338" s="1" t="s">
        <v>42</v>
      </c>
      <c r="E338" s="1" t="s">
        <v>13</v>
      </c>
      <c r="F338" s="1" t="n">
        <v>71.64</v>
      </c>
      <c r="G338" s="1" t="n">
        <f aca="false">IF(E338=E337,F338/F337-1,"")</f>
        <v>1.32521908471276</v>
      </c>
    </row>
    <row r="339" customFormat="false" ht="14.25" hidden="false" customHeight="true" outlineLevel="0" collapsed="false">
      <c r="A339" s="26" t="n">
        <v>27061</v>
      </c>
      <c r="B339" s="1" t="n">
        <v>1974</v>
      </c>
      <c r="C339" s="1" t="n">
        <v>2</v>
      </c>
      <c r="D339" s="1" t="s">
        <v>43</v>
      </c>
      <c r="E339" s="1" t="s">
        <v>13</v>
      </c>
      <c r="F339" s="1" t="n">
        <v>70.73</v>
      </c>
      <c r="G339" s="1" t="n">
        <f aca="false">IF(E339=E338,F339/F338-1,"")</f>
        <v>-0.0127024008933556</v>
      </c>
    </row>
    <row r="340" customFormat="false" ht="14.25" hidden="false" customHeight="true" outlineLevel="0" collapsed="false">
      <c r="A340" s="26" t="n">
        <v>27089</v>
      </c>
      <c r="B340" s="1" t="n">
        <v>1974</v>
      </c>
      <c r="C340" s="1" t="n">
        <v>3</v>
      </c>
      <c r="D340" s="1" t="s">
        <v>44</v>
      </c>
      <c r="E340" s="1" t="s">
        <v>13</v>
      </c>
      <c r="F340" s="1" t="n">
        <v>69.84</v>
      </c>
      <c r="G340" s="1" t="n">
        <f aca="false">IF(E340=E339,F340/F339-1,"")</f>
        <v>-0.0125830623497809</v>
      </c>
    </row>
    <row r="341" customFormat="false" ht="14.25" hidden="false" customHeight="true" outlineLevel="0" collapsed="false">
      <c r="A341" s="26" t="n">
        <v>27120</v>
      </c>
      <c r="B341" s="1" t="n">
        <v>1974</v>
      </c>
      <c r="C341" s="1" t="n">
        <v>4</v>
      </c>
      <c r="D341" s="1" t="s">
        <v>45</v>
      </c>
      <c r="E341" s="1" t="s">
        <v>13</v>
      </c>
      <c r="F341" s="1" t="n">
        <v>69.55</v>
      </c>
      <c r="G341" s="1" t="n">
        <f aca="false">IF(E341=E340,F341/F340-1,"")</f>
        <v>-0.00415234822451327</v>
      </c>
    </row>
    <row r="342" customFormat="false" ht="14.25" hidden="false" customHeight="true" outlineLevel="0" collapsed="false">
      <c r="A342" s="26" t="n">
        <v>27150</v>
      </c>
      <c r="B342" s="1" t="n">
        <v>1974</v>
      </c>
      <c r="C342" s="1" t="n">
        <v>5</v>
      </c>
      <c r="D342" s="1" t="s">
        <v>46</v>
      </c>
      <c r="E342" s="1" t="s">
        <v>13</v>
      </c>
      <c r="F342" s="1" t="n">
        <v>68.69</v>
      </c>
      <c r="G342" s="1" t="n">
        <f aca="false">IF(E342=E341,F342/F341-1,"")</f>
        <v>-0.0123652048885694</v>
      </c>
    </row>
    <row r="343" customFormat="false" ht="14.25" hidden="false" customHeight="true" outlineLevel="0" collapsed="false">
      <c r="A343" s="26" t="n">
        <v>27181</v>
      </c>
      <c r="B343" s="1" t="n">
        <v>1974</v>
      </c>
      <c r="C343" s="1" t="n">
        <v>6</v>
      </c>
      <c r="D343" s="1" t="s">
        <v>47</v>
      </c>
      <c r="E343" s="1" t="s">
        <v>13</v>
      </c>
      <c r="F343" s="1" t="n">
        <v>68.13</v>
      </c>
      <c r="G343" s="1" t="n">
        <f aca="false">IF(E343=E342,F343/F342-1,"")</f>
        <v>-0.00815256951521326</v>
      </c>
    </row>
    <row r="344" customFormat="false" ht="14.25" hidden="false" customHeight="true" outlineLevel="0" collapsed="false">
      <c r="A344" s="26" t="n">
        <v>27211</v>
      </c>
      <c r="B344" s="1" t="n">
        <v>1974</v>
      </c>
      <c r="C344" s="1" t="n">
        <v>7</v>
      </c>
      <c r="D344" s="1" t="s">
        <v>48</v>
      </c>
      <c r="E344" s="1" t="s">
        <v>13</v>
      </c>
      <c r="F344" s="1" t="n">
        <v>67.58</v>
      </c>
      <c r="G344" s="1" t="n">
        <f aca="false">IF(E344=E343,F344/F343-1,"")</f>
        <v>-0.00807280199618377</v>
      </c>
    </row>
    <row r="345" customFormat="false" ht="14.25" hidden="false" customHeight="true" outlineLevel="0" collapsed="false">
      <c r="A345" s="26" t="n">
        <v>27242</v>
      </c>
      <c r="B345" s="1" t="n">
        <v>1974</v>
      </c>
      <c r="C345" s="1" t="n">
        <v>8</v>
      </c>
      <c r="D345" s="1" t="s">
        <v>49</v>
      </c>
      <c r="E345" s="1" t="s">
        <v>13</v>
      </c>
      <c r="F345" s="1" t="n">
        <v>66.77</v>
      </c>
      <c r="G345" s="1" t="n">
        <f aca="false">IF(E345=E344,F345/F344-1,"")</f>
        <v>-0.0119857946137911</v>
      </c>
    </row>
    <row r="346" customFormat="false" ht="14.25" hidden="false" customHeight="true" outlineLevel="0" collapsed="false">
      <c r="A346" s="26" t="n">
        <v>27273</v>
      </c>
      <c r="B346" s="1" t="n">
        <v>1974</v>
      </c>
      <c r="C346" s="1" t="n">
        <v>9</v>
      </c>
      <c r="D346" s="1" t="s">
        <v>50</v>
      </c>
      <c r="E346" s="1" t="s">
        <v>13</v>
      </c>
      <c r="F346" s="1" t="n">
        <v>65.98</v>
      </c>
      <c r="G346" s="1" t="n">
        <f aca="false">IF(E346=E345,F346/F345-1,"")</f>
        <v>-0.0118316609255652</v>
      </c>
    </row>
    <row r="347" customFormat="false" ht="14.25" hidden="false" customHeight="true" outlineLevel="0" collapsed="false">
      <c r="A347" s="26" t="n">
        <v>27303</v>
      </c>
      <c r="B347" s="1" t="n">
        <v>1974</v>
      </c>
      <c r="C347" s="1" t="n">
        <v>10</v>
      </c>
      <c r="D347" s="1" t="s">
        <v>51</v>
      </c>
      <c r="E347" s="1" t="s">
        <v>13</v>
      </c>
      <c r="F347" s="1" t="n">
        <v>72.12</v>
      </c>
      <c r="G347" s="1" t="n">
        <f aca="false">IF(E347=E346,F347/F346-1,"")</f>
        <v>0.0930585025765383</v>
      </c>
    </row>
    <row r="348" customFormat="false" ht="14.25" hidden="false" customHeight="true" outlineLevel="0" collapsed="false">
      <c r="A348" s="26" t="n">
        <v>27334</v>
      </c>
      <c r="B348" s="1" t="n">
        <v>1974</v>
      </c>
      <c r="C348" s="1" t="n">
        <v>11</v>
      </c>
      <c r="D348" s="1" t="s">
        <v>52</v>
      </c>
      <c r="E348" s="1" t="s">
        <v>13</v>
      </c>
      <c r="F348" s="1" t="n">
        <v>71.56</v>
      </c>
      <c r="G348" s="1" t="n">
        <f aca="false">IF(E348=E347,F348/F347-1,"")</f>
        <v>-0.00776483638380476</v>
      </c>
    </row>
    <row r="349" customFormat="false" ht="14.25" hidden="false" customHeight="true" outlineLevel="0" collapsed="false">
      <c r="A349" s="26" t="n">
        <v>27364</v>
      </c>
      <c r="B349" s="1" t="n">
        <v>1974</v>
      </c>
      <c r="C349" s="1" t="n">
        <v>12</v>
      </c>
      <c r="D349" s="1" t="s">
        <v>53</v>
      </c>
      <c r="E349" s="1" t="s">
        <v>13</v>
      </c>
      <c r="F349" s="1" t="n">
        <v>71.01</v>
      </c>
      <c r="G349" s="1" t="n">
        <f aca="false">IF(E349=E348,F349/F348-1,"")</f>
        <v>-0.00768585802124089</v>
      </c>
    </row>
    <row r="350" customFormat="false" ht="14.25" hidden="false" customHeight="true" outlineLevel="0" collapsed="false">
      <c r="A350" s="26" t="n">
        <v>27395</v>
      </c>
      <c r="B350" s="1" t="n">
        <v>1975</v>
      </c>
      <c r="C350" s="1" t="n">
        <v>1</v>
      </c>
      <c r="D350" s="1" t="s">
        <v>42</v>
      </c>
      <c r="E350" s="1" t="s">
        <v>13</v>
      </c>
      <c r="F350" s="1" t="n">
        <v>70.73</v>
      </c>
      <c r="G350" s="1" t="n">
        <f aca="false">IF(E350=E349,F350/F349-1,"")</f>
        <v>-0.00394310660470354</v>
      </c>
    </row>
    <row r="351" customFormat="false" ht="14.25" hidden="false" customHeight="true" outlineLevel="0" collapsed="false">
      <c r="A351" s="26" t="n">
        <v>27426</v>
      </c>
      <c r="B351" s="1" t="n">
        <v>1975</v>
      </c>
      <c r="C351" s="1" t="n">
        <v>2</v>
      </c>
      <c r="D351" s="1" t="s">
        <v>43</v>
      </c>
      <c r="E351" s="1" t="s">
        <v>13</v>
      </c>
      <c r="F351" s="1" t="n">
        <v>70.19</v>
      </c>
      <c r="G351" s="1" t="n">
        <f aca="false">IF(E351=E350,F351/F350-1,"")</f>
        <v>-0.00763466704368732</v>
      </c>
    </row>
    <row r="352" customFormat="false" ht="14.25" hidden="false" customHeight="true" outlineLevel="0" collapsed="false">
      <c r="A352" s="26" t="n">
        <v>27454</v>
      </c>
      <c r="B352" s="1" t="n">
        <v>1975</v>
      </c>
      <c r="C352" s="1" t="n">
        <v>3</v>
      </c>
      <c r="D352" s="1" t="s">
        <v>44</v>
      </c>
      <c r="E352" s="1" t="s">
        <v>13</v>
      </c>
      <c r="F352" s="1" t="n">
        <v>69.93</v>
      </c>
      <c r="G352" s="1" t="n">
        <f aca="false">IF(E352=E351,F352/F351-1,"")</f>
        <v>-0.00370423137199016</v>
      </c>
    </row>
    <row r="353" customFormat="false" ht="14.25" hidden="false" customHeight="true" outlineLevel="0" collapsed="false">
      <c r="A353" s="26" t="n">
        <v>27485</v>
      </c>
      <c r="B353" s="1" t="n">
        <v>1975</v>
      </c>
      <c r="C353" s="1" t="n">
        <v>4</v>
      </c>
      <c r="D353" s="1" t="s">
        <v>45</v>
      </c>
      <c r="E353" s="1" t="s">
        <v>13</v>
      </c>
      <c r="F353" s="1" t="n">
        <v>69.66</v>
      </c>
      <c r="G353" s="1" t="n">
        <f aca="false">IF(E353=E352,F353/F352-1,"")</f>
        <v>-0.00386100386100396</v>
      </c>
    </row>
    <row r="354" customFormat="false" ht="14.25" hidden="false" customHeight="true" outlineLevel="0" collapsed="false">
      <c r="A354" s="26" t="n">
        <v>27515</v>
      </c>
      <c r="B354" s="1" t="n">
        <v>1975</v>
      </c>
      <c r="C354" s="1" t="n">
        <v>5</v>
      </c>
      <c r="D354" s="1" t="s">
        <v>46</v>
      </c>
      <c r="E354" s="1" t="s">
        <v>13</v>
      </c>
      <c r="F354" s="1" t="n">
        <v>69.27</v>
      </c>
      <c r="G354" s="1" t="n">
        <f aca="false">IF(E354=E353,F354/F353-1,"")</f>
        <v>-0.00559862187769167</v>
      </c>
    </row>
    <row r="355" customFormat="false" ht="14.25" hidden="false" customHeight="true" outlineLevel="0" collapsed="false">
      <c r="A355" s="26" t="n">
        <v>27546</v>
      </c>
      <c r="B355" s="1" t="n">
        <v>1975</v>
      </c>
      <c r="C355" s="1" t="n">
        <v>6</v>
      </c>
      <c r="D355" s="1" t="s">
        <v>47</v>
      </c>
      <c r="E355" s="1" t="s">
        <v>13</v>
      </c>
      <c r="F355" s="1" t="n">
        <v>68.75</v>
      </c>
      <c r="G355" s="1" t="n">
        <f aca="false">IF(E355=E354,F355/F354-1,"")</f>
        <v>-0.00750685722535005</v>
      </c>
    </row>
    <row r="356" customFormat="false" ht="14.25" hidden="false" customHeight="true" outlineLevel="0" collapsed="false">
      <c r="A356" s="26" t="n">
        <v>27576</v>
      </c>
      <c r="B356" s="1" t="n">
        <v>1975</v>
      </c>
      <c r="C356" s="1" t="n">
        <v>7</v>
      </c>
      <c r="D356" s="1" t="s">
        <v>48</v>
      </c>
      <c r="E356" s="1" t="s">
        <v>13</v>
      </c>
      <c r="F356" s="1" t="n">
        <v>67.99</v>
      </c>
      <c r="G356" s="1" t="n">
        <f aca="false">IF(E356=E355,F356/F355-1,"")</f>
        <v>-0.0110545454545455</v>
      </c>
    </row>
    <row r="357" customFormat="false" ht="14.25" hidden="false" customHeight="true" outlineLevel="0" collapsed="false">
      <c r="A357" s="26" t="n">
        <v>27607</v>
      </c>
      <c r="B357" s="1" t="n">
        <v>1975</v>
      </c>
      <c r="C357" s="1" t="n">
        <v>8</v>
      </c>
      <c r="D357" s="1" t="s">
        <v>49</v>
      </c>
      <c r="E357" s="1" t="s">
        <v>13</v>
      </c>
      <c r="F357" s="1" t="n">
        <v>67.87</v>
      </c>
      <c r="G357" s="1" t="n">
        <f aca="false">IF(E357=E356,F357/F356-1,"")</f>
        <v>-0.00176496543609339</v>
      </c>
    </row>
    <row r="358" customFormat="false" ht="14.25" hidden="false" customHeight="true" outlineLevel="0" collapsed="false">
      <c r="A358" s="26" t="n">
        <v>27638</v>
      </c>
      <c r="B358" s="1" t="n">
        <v>1975</v>
      </c>
      <c r="C358" s="1" t="n">
        <v>9</v>
      </c>
      <c r="D358" s="1" t="s">
        <v>50</v>
      </c>
      <c r="E358" s="1" t="s">
        <v>13</v>
      </c>
      <c r="F358" s="1" t="n">
        <v>67.49</v>
      </c>
      <c r="G358" s="1" t="n">
        <f aca="false">IF(E358=E357,F358/F357-1,"")</f>
        <v>-0.00559893914837206</v>
      </c>
    </row>
    <row r="359" customFormat="false" ht="14.25" hidden="false" customHeight="true" outlineLevel="0" collapsed="false">
      <c r="A359" s="26" t="n">
        <v>27668</v>
      </c>
      <c r="B359" s="1" t="n">
        <v>1975</v>
      </c>
      <c r="C359" s="1" t="n">
        <v>10</v>
      </c>
      <c r="D359" s="1" t="s">
        <v>51</v>
      </c>
      <c r="E359" s="1" t="s">
        <v>13</v>
      </c>
      <c r="F359" s="1" t="n">
        <v>67.13</v>
      </c>
      <c r="G359" s="1" t="n">
        <f aca="false">IF(E359=E358,F359/F358-1,"")</f>
        <v>-0.00533412357386276</v>
      </c>
    </row>
    <row r="360" customFormat="false" ht="14.25" hidden="false" customHeight="true" outlineLevel="0" collapsed="false">
      <c r="A360" s="26" t="n">
        <v>27699</v>
      </c>
      <c r="B360" s="1" t="n">
        <v>1975</v>
      </c>
      <c r="C360" s="1" t="n">
        <v>11</v>
      </c>
      <c r="D360" s="1" t="s">
        <v>52</v>
      </c>
      <c r="E360" s="1" t="s">
        <v>13</v>
      </c>
      <c r="F360" s="1" t="n">
        <v>66.64</v>
      </c>
      <c r="G360" s="1" t="n">
        <f aca="false">IF(E360=E359,F360/F359-1,"")</f>
        <v>-0.00729927007299258</v>
      </c>
    </row>
    <row r="361" customFormat="false" ht="14.25" hidden="false" customHeight="true" outlineLevel="0" collapsed="false">
      <c r="A361" s="26" t="n">
        <v>27729</v>
      </c>
      <c r="B361" s="1" t="n">
        <v>1975</v>
      </c>
      <c r="C361" s="1" t="n">
        <v>12</v>
      </c>
      <c r="D361" s="1" t="s">
        <v>53</v>
      </c>
      <c r="E361" s="1" t="s">
        <v>13</v>
      </c>
      <c r="F361" s="1" t="n">
        <v>66.4</v>
      </c>
      <c r="G361" s="1" t="n">
        <f aca="false">IF(E361=E360,F361/F360-1,"")</f>
        <v>-0.00360144057623046</v>
      </c>
    </row>
    <row r="362" customFormat="false" ht="14.25" hidden="false" customHeight="true" outlineLevel="0" collapsed="false">
      <c r="A362" s="26" t="n">
        <v>27760</v>
      </c>
      <c r="B362" s="1" t="n">
        <v>1976</v>
      </c>
      <c r="C362" s="1" t="n">
        <v>1</v>
      </c>
      <c r="D362" s="1" t="s">
        <v>42</v>
      </c>
      <c r="E362" s="1" t="s">
        <v>13</v>
      </c>
      <c r="F362" s="1" t="n">
        <v>66.28</v>
      </c>
      <c r="G362" s="1" t="n">
        <f aca="false">IF(E362=E361,F362/F361-1,"")</f>
        <v>-0.00180722891566276</v>
      </c>
    </row>
    <row r="363" customFormat="false" ht="14.25" hidden="false" customHeight="true" outlineLevel="0" collapsed="false">
      <c r="A363" s="26" t="n">
        <v>27791</v>
      </c>
      <c r="B363" s="1" t="n">
        <v>1976</v>
      </c>
      <c r="C363" s="1" t="n">
        <v>2</v>
      </c>
      <c r="D363" s="1" t="s">
        <v>43</v>
      </c>
      <c r="E363" s="1" t="s">
        <v>13</v>
      </c>
      <c r="F363" s="1" t="n">
        <v>71.19</v>
      </c>
      <c r="G363" s="1" t="n">
        <f aca="false">IF(E363=E362,F363/F362-1,"")</f>
        <v>0.074079662039831</v>
      </c>
    </row>
    <row r="364" customFormat="false" ht="14.25" hidden="false" customHeight="true" outlineLevel="0" collapsed="false">
      <c r="A364" s="26" t="n">
        <v>27820</v>
      </c>
      <c r="B364" s="1" t="n">
        <v>1976</v>
      </c>
      <c r="C364" s="1" t="n">
        <v>3</v>
      </c>
      <c r="D364" s="1" t="s">
        <v>44</v>
      </c>
      <c r="E364" s="1" t="s">
        <v>13</v>
      </c>
      <c r="F364" s="1" t="n">
        <v>71.48</v>
      </c>
      <c r="G364" s="1" t="n">
        <f aca="false">IF(E364=E363,F364/F363-1,"")</f>
        <v>0.00407360584351735</v>
      </c>
    </row>
    <row r="365" customFormat="false" ht="14.25" hidden="false" customHeight="true" outlineLevel="0" collapsed="false">
      <c r="A365" s="26" t="n">
        <v>27851</v>
      </c>
      <c r="B365" s="1" t="n">
        <v>1976</v>
      </c>
      <c r="C365" s="1" t="n">
        <v>4</v>
      </c>
      <c r="D365" s="1" t="s">
        <v>45</v>
      </c>
      <c r="E365" s="1" t="s">
        <v>13</v>
      </c>
      <c r="F365" s="1" t="n">
        <v>71.63</v>
      </c>
      <c r="G365" s="1" t="n">
        <f aca="false">IF(E365=E364,F365/F364-1,"")</f>
        <v>0.00209848908785659</v>
      </c>
    </row>
    <row r="366" customFormat="false" ht="14.25" hidden="false" customHeight="true" outlineLevel="0" collapsed="false">
      <c r="A366" s="26" t="n">
        <v>27881</v>
      </c>
      <c r="B366" s="1" t="n">
        <v>1976</v>
      </c>
      <c r="C366" s="1" t="n">
        <v>5</v>
      </c>
      <c r="D366" s="1" t="s">
        <v>46</v>
      </c>
      <c r="E366" s="1" t="s">
        <v>13</v>
      </c>
      <c r="F366" s="1" t="n">
        <v>71.13</v>
      </c>
      <c r="G366" s="1" t="n">
        <f aca="false">IF(E366=E365,F366/F365-1,"")</f>
        <v>-0.00698031551026102</v>
      </c>
    </row>
    <row r="367" customFormat="false" ht="14.25" hidden="false" customHeight="true" outlineLevel="0" collapsed="false">
      <c r="A367" s="26" t="n">
        <v>27912</v>
      </c>
      <c r="B367" s="1" t="n">
        <v>1976</v>
      </c>
      <c r="C367" s="1" t="n">
        <v>6</v>
      </c>
      <c r="D367" s="1" t="s">
        <v>47</v>
      </c>
      <c r="E367" s="1" t="s">
        <v>13</v>
      </c>
      <c r="F367" s="1" t="n">
        <v>70.75</v>
      </c>
      <c r="G367" s="1" t="n">
        <f aca="false">IF(E367=E366,F367/F366-1,"")</f>
        <v>-0.00534233094334313</v>
      </c>
    </row>
    <row r="368" customFormat="false" ht="14.25" hidden="false" customHeight="true" outlineLevel="0" collapsed="false">
      <c r="A368" s="26" t="n">
        <v>27942</v>
      </c>
      <c r="B368" s="1" t="n">
        <v>1976</v>
      </c>
      <c r="C368" s="1" t="n">
        <v>7</v>
      </c>
      <c r="D368" s="1" t="s">
        <v>48</v>
      </c>
      <c r="E368" s="1" t="s">
        <v>13</v>
      </c>
      <c r="F368" s="1" t="n">
        <v>70.38</v>
      </c>
      <c r="G368" s="1" t="n">
        <f aca="false">IF(E368=E367,F368/F367-1,"")</f>
        <v>-0.0052296819787987</v>
      </c>
    </row>
    <row r="369" customFormat="false" ht="14.25" hidden="false" customHeight="true" outlineLevel="0" collapsed="false">
      <c r="A369" s="26" t="n">
        <v>27973</v>
      </c>
      <c r="B369" s="1" t="n">
        <v>1976</v>
      </c>
      <c r="C369" s="1" t="n">
        <v>8</v>
      </c>
      <c r="D369" s="1" t="s">
        <v>49</v>
      </c>
      <c r="E369" s="1" t="s">
        <v>13</v>
      </c>
      <c r="F369" s="1" t="n">
        <v>70.01</v>
      </c>
      <c r="G369" s="1" t="n">
        <f aca="false">IF(E369=E368,F369/F368-1,"")</f>
        <v>-0.00525717533390158</v>
      </c>
    </row>
    <row r="370" customFormat="false" ht="14.25" hidden="false" customHeight="true" outlineLevel="0" collapsed="false">
      <c r="A370" s="26" t="n">
        <v>28004</v>
      </c>
      <c r="B370" s="1" t="n">
        <v>1976</v>
      </c>
      <c r="C370" s="1" t="n">
        <v>9</v>
      </c>
      <c r="D370" s="1" t="s">
        <v>50</v>
      </c>
      <c r="E370" s="1" t="s">
        <v>13</v>
      </c>
      <c r="F370" s="1" t="n">
        <v>79.69</v>
      </c>
      <c r="G370" s="1" t="n">
        <f aca="false">IF(E370=E369,F370/F369-1,"")</f>
        <v>0.138265962005428</v>
      </c>
    </row>
    <row r="371" customFormat="false" ht="14.25" hidden="false" customHeight="true" outlineLevel="0" collapsed="false">
      <c r="A371" s="26" t="n">
        <v>28034</v>
      </c>
      <c r="B371" s="1" t="n">
        <v>1976</v>
      </c>
      <c r="C371" s="1" t="n">
        <v>10</v>
      </c>
      <c r="D371" s="1" t="s">
        <v>51</v>
      </c>
      <c r="E371" s="1" t="s">
        <v>13</v>
      </c>
      <c r="F371" s="1" t="n">
        <v>79.27</v>
      </c>
      <c r="G371" s="1" t="n">
        <f aca="false">IF(E371=E370,F371/F370-1,"")</f>
        <v>-0.00527042288869373</v>
      </c>
    </row>
    <row r="372" customFormat="false" ht="14.25" hidden="false" customHeight="true" outlineLevel="0" collapsed="false">
      <c r="A372" s="26" t="n">
        <v>28065</v>
      </c>
      <c r="B372" s="1" t="n">
        <v>1976</v>
      </c>
      <c r="C372" s="1" t="n">
        <v>11</v>
      </c>
      <c r="D372" s="1" t="s">
        <v>52</v>
      </c>
      <c r="E372" s="1" t="s">
        <v>13</v>
      </c>
      <c r="F372" s="1" t="n">
        <v>79.14</v>
      </c>
      <c r="G372" s="1" t="n">
        <f aca="false">IF(E372=E371,F372/F371-1,"")</f>
        <v>-0.00163996467768379</v>
      </c>
    </row>
    <row r="373" customFormat="false" ht="14.25" hidden="false" customHeight="true" outlineLevel="0" collapsed="false">
      <c r="A373" s="26" t="n">
        <v>28095</v>
      </c>
      <c r="B373" s="1" t="n">
        <v>1976</v>
      </c>
      <c r="C373" s="1" t="n">
        <v>12</v>
      </c>
      <c r="D373" s="1" t="s">
        <v>53</v>
      </c>
      <c r="E373" s="1" t="s">
        <v>13</v>
      </c>
      <c r="F373" s="1" t="n">
        <v>78.87</v>
      </c>
      <c r="G373" s="1" t="n">
        <f aca="false">IF(E373=E372,F373/F372-1,"")</f>
        <v>-0.00341167551175126</v>
      </c>
    </row>
    <row r="374" customFormat="false" ht="14.25" hidden="false" customHeight="true" outlineLevel="0" collapsed="false">
      <c r="A374" s="26" t="n">
        <v>28126</v>
      </c>
      <c r="B374" s="1" t="n">
        <v>1977</v>
      </c>
      <c r="C374" s="1" t="n">
        <v>1</v>
      </c>
      <c r="D374" s="1" t="s">
        <v>42</v>
      </c>
      <c r="E374" s="1" t="s">
        <v>13</v>
      </c>
      <c r="F374" s="1" t="n">
        <v>78.46</v>
      </c>
      <c r="G374" s="1" t="n">
        <f aca="false">IF(E374=E373,F374/F373-1,"")</f>
        <v>-0.00519842779257018</v>
      </c>
    </row>
    <row r="375" customFormat="false" ht="14.25" hidden="false" customHeight="true" outlineLevel="0" collapsed="false">
      <c r="A375" s="26" t="n">
        <v>28157</v>
      </c>
      <c r="B375" s="1" t="n">
        <v>1977</v>
      </c>
      <c r="C375" s="1" t="n">
        <v>2</v>
      </c>
      <c r="D375" s="1" t="s">
        <v>43</v>
      </c>
      <c r="E375" s="1" t="s">
        <v>13</v>
      </c>
      <c r="F375" s="1" t="n">
        <v>77.66</v>
      </c>
      <c r="G375" s="1" t="n">
        <f aca="false">IF(E375=E374,F375/F374-1,"")</f>
        <v>-0.0101962783583992</v>
      </c>
    </row>
    <row r="376" customFormat="false" ht="14.25" hidden="false" customHeight="true" outlineLevel="0" collapsed="false">
      <c r="A376" s="26" t="n">
        <v>28185</v>
      </c>
      <c r="B376" s="1" t="n">
        <v>1977</v>
      </c>
      <c r="C376" s="1" t="n">
        <v>3</v>
      </c>
      <c r="D376" s="1" t="s">
        <v>44</v>
      </c>
      <c r="E376" s="1" t="s">
        <v>13</v>
      </c>
      <c r="F376" s="1" t="n">
        <v>77.14</v>
      </c>
      <c r="G376" s="1" t="n">
        <f aca="false">IF(E376=E375,F376/F375-1,"")</f>
        <v>-0.0066958537213494</v>
      </c>
    </row>
    <row r="377" customFormat="false" ht="14.25" hidden="false" customHeight="true" outlineLevel="0" collapsed="false">
      <c r="A377" s="26" t="n">
        <v>28216</v>
      </c>
      <c r="B377" s="1" t="n">
        <v>1977</v>
      </c>
      <c r="C377" s="1" t="n">
        <v>4</v>
      </c>
      <c r="D377" s="1" t="s">
        <v>45</v>
      </c>
      <c r="E377" s="1" t="s">
        <v>13</v>
      </c>
      <c r="F377" s="1" t="n">
        <v>76.5</v>
      </c>
      <c r="G377" s="1" t="n">
        <f aca="false">IF(E377=E376,F377/F376-1,"")</f>
        <v>-0.00829660357791029</v>
      </c>
    </row>
    <row r="378" customFormat="false" ht="14.25" hidden="false" customHeight="true" outlineLevel="0" collapsed="false">
      <c r="A378" s="26" t="n">
        <v>28246</v>
      </c>
      <c r="B378" s="1" t="n">
        <v>1977</v>
      </c>
      <c r="C378" s="1" t="n">
        <v>5</v>
      </c>
      <c r="D378" s="1" t="s">
        <v>46</v>
      </c>
      <c r="E378" s="1" t="s">
        <v>13</v>
      </c>
      <c r="F378" s="1" t="n">
        <v>76.12</v>
      </c>
      <c r="G378" s="1" t="n">
        <f aca="false">IF(E378=E377,F378/F377-1,"")</f>
        <v>-0.00496732026143787</v>
      </c>
    </row>
    <row r="379" customFormat="false" ht="14.25" hidden="false" customHeight="true" outlineLevel="0" collapsed="false">
      <c r="A379" s="26" t="n">
        <v>28277</v>
      </c>
      <c r="B379" s="1" t="n">
        <v>1977</v>
      </c>
      <c r="C379" s="1" t="n">
        <v>6</v>
      </c>
      <c r="D379" s="1" t="s">
        <v>47</v>
      </c>
      <c r="E379" s="1" t="s">
        <v>13</v>
      </c>
      <c r="F379" s="1" t="n">
        <v>75.62</v>
      </c>
      <c r="G379" s="1" t="n">
        <f aca="false">IF(E379=E378,F379/F378-1,"")</f>
        <v>-0.00656857593273774</v>
      </c>
    </row>
    <row r="380" customFormat="false" ht="14.25" hidden="false" customHeight="true" outlineLevel="0" collapsed="false">
      <c r="A380" s="26" t="n">
        <v>28307</v>
      </c>
      <c r="B380" s="1" t="n">
        <v>1977</v>
      </c>
      <c r="C380" s="1" t="n">
        <v>7</v>
      </c>
      <c r="D380" s="1" t="s">
        <v>48</v>
      </c>
      <c r="E380" s="1" t="s">
        <v>13</v>
      </c>
      <c r="F380" s="1" t="n">
        <v>75.25</v>
      </c>
      <c r="G380" s="1" t="n">
        <f aca="false">IF(E380=E379,F380/F379-1,"")</f>
        <v>-0.00489288548003175</v>
      </c>
    </row>
    <row r="381" customFormat="false" ht="14.25" hidden="false" customHeight="true" outlineLevel="0" collapsed="false">
      <c r="A381" s="26" t="n">
        <v>28338</v>
      </c>
      <c r="B381" s="1" t="n">
        <v>1977</v>
      </c>
      <c r="C381" s="1" t="n">
        <v>8</v>
      </c>
      <c r="D381" s="1" t="s">
        <v>49</v>
      </c>
      <c r="E381" s="1" t="s">
        <v>13</v>
      </c>
      <c r="F381" s="1" t="n">
        <v>80.13</v>
      </c>
      <c r="G381" s="1" t="n">
        <f aca="false">IF(E381=E380,F381/F380-1,"")</f>
        <v>0.0648504983388705</v>
      </c>
    </row>
    <row r="382" customFormat="false" ht="14.25" hidden="false" customHeight="true" outlineLevel="0" collapsed="false">
      <c r="A382" s="26" t="n">
        <v>28369</v>
      </c>
      <c r="B382" s="1" t="n">
        <v>1977</v>
      </c>
      <c r="C382" s="1" t="n">
        <v>9</v>
      </c>
      <c r="D382" s="1" t="s">
        <v>50</v>
      </c>
      <c r="E382" s="1" t="s">
        <v>13</v>
      </c>
      <c r="F382" s="1" t="n">
        <v>79.86</v>
      </c>
      <c r="G382" s="1" t="n">
        <f aca="false">IF(E382=E381,F382/F381-1,"")</f>
        <v>-0.0033695245226506</v>
      </c>
    </row>
    <row r="383" customFormat="false" ht="14.25" hidden="false" customHeight="true" outlineLevel="0" collapsed="false">
      <c r="A383" s="26" t="n">
        <v>28399</v>
      </c>
      <c r="B383" s="1" t="n">
        <v>1977</v>
      </c>
      <c r="C383" s="1" t="n">
        <v>10</v>
      </c>
      <c r="D383" s="1" t="s">
        <v>51</v>
      </c>
      <c r="E383" s="1" t="s">
        <v>13</v>
      </c>
      <c r="F383" s="1" t="n">
        <v>79.6</v>
      </c>
      <c r="G383" s="1" t="n">
        <f aca="false">IF(E383=E382,F383/F382-1,"")</f>
        <v>-0.00325569747057353</v>
      </c>
    </row>
    <row r="384" customFormat="false" ht="14.25" hidden="false" customHeight="true" outlineLevel="0" collapsed="false">
      <c r="A384" s="26" t="n">
        <v>28430</v>
      </c>
      <c r="B384" s="1" t="n">
        <v>1977</v>
      </c>
      <c r="C384" s="1" t="n">
        <v>11</v>
      </c>
      <c r="D384" s="1" t="s">
        <v>52</v>
      </c>
      <c r="E384" s="1" t="s">
        <v>13</v>
      </c>
      <c r="F384" s="1" t="n">
        <v>79.22</v>
      </c>
      <c r="G384" s="1" t="n">
        <f aca="false">IF(E384=E383,F384/F383-1,"")</f>
        <v>-0.00477386934673363</v>
      </c>
    </row>
    <row r="385" customFormat="false" ht="14.25" hidden="false" customHeight="true" outlineLevel="0" collapsed="false">
      <c r="A385" s="26" t="n">
        <v>28460</v>
      </c>
      <c r="B385" s="1" t="n">
        <v>1977</v>
      </c>
      <c r="C385" s="1" t="n">
        <v>12</v>
      </c>
      <c r="D385" s="1" t="s">
        <v>53</v>
      </c>
      <c r="E385" s="1" t="s">
        <v>13</v>
      </c>
      <c r="F385" s="1" t="n">
        <v>78.96</v>
      </c>
      <c r="G385" s="1" t="n">
        <f aca="false">IF(E385=E384,F385/F384-1,"")</f>
        <v>-0.00328199949507702</v>
      </c>
    </row>
    <row r="386" customFormat="false" ht="14.25" hidden="false" customHeight="true" outlineLevel="0" collapsed="false">
      <c r="A386" s="26" t="n">
        <v>28491</v>
      </c>
      <c r="B386" s="1" t="n">
        <v>1978</v>
      </c>
      <c r="C386" s="1" t="n">
        <v>1</v>
      </c>
      <c r="D386" s="1" t="s">
        <v>42</v>
      </c>
      <c r="E386" s="1" t="s">
        <v>13</v>
      </c>
      <c r="F386" s="1" t="n">
        <v>78.46</v>
      </c>
      <c r="G386" s="1" t="n">
        <f aca="false">IF(E386=E385,F386/F385-1,"")</f>
        <v>-0.00633232016210739</v>
      </c>
    </row>
    <row r="387" customFormat="false" ht="14.25" hidden="false" customHeight="true" outlineLevel="0" collapsed="false">
      <c r="A387" s="26" t="n">
        <v>28522</v>
      </c>
      <c r="B387" s="1" t="n">
        <v>1978</v>
      </c>
      <c r="C387" s="1" t="n">
        <v>2</v>
      </c>
      <c r="D387" s="1" t="s">
        <v>43</v>
      </c>
      <c r="E387" s="1" t="s">
        <v>13</v>
      </c>
      <c r="F387" s="1" t="n">
        <v>77.96</v>
      </c>
      <c r="G387" s="1" t="n">
        <f aca="false">IF(E387=E386,F387/F386-1,"")</f>
        <v>-0.00637267397399954</v>
      </c>
    </row>
    <row r="388" customFormat="false" ht="14.25" hidden="false" customHeight="true" outlineLevel="0" collapsed="false">
      <c r="A388" s="26" t="n">
        <v>28550</v>
      </c>
      <c r="B388" s="1" t="n">
        <v>1978</v>
      </c>
      <c r="C388" s="1" t="n">
        <v>3</v>
      </c>
      <c r="D388" s="1" t="s">
        <v>44</v>
      </c>
      <c r="E388" s="1" t="s">
        <v>13</v>
      </c>
      <c r="F388" s="1" t="n">
        <v>77.34</v>
      </c>
      <c r="G388" s="1" t="n">
        <f aca="false">IF(E388=E387,F388/F387-1,"")</f>
        <v>-0.00795279630579771</v>
      </c>
    </row>
    <row r="389" customFormat="false" ht="14.25" hidden="false" customHeight="true" outlineLevel="0" collapsed="false">
      <c r="A389" s="26" t="n">
        <v>28581</v>
      </c>
      <c r="B389" s="1" t="n">
        <v>1978</v>
      </c>
      <c r="C389" s="1" t="n">
        <v>4</v>
      </c>
      <c r="D389" s="1" t="s">
        <v>45</v>
      </c>
      <c r="E389" s="1" t="s">
        <v>13</v>
      </c>
      <c r="F389" s="1" t="n">
        <v>76.74</v>
      </c>
      <c r="G389" s="1" t="n">
        <f aca="false">IF(E389=E388,F389/F388-1,"")</f>
        <v>-0.00775795190069828</v>
      </c>
    </row>
    <row r="390" customFormat="false" ht="14.25" hidden="false" customHeight="true" outlineLevel="0" collapsed="false">
      <c r="A390" s="26" t="n">
        <v>28611</v>
      </c>
      <c r="B390" s="1" t="n">
        <v>1978</v>
      </c>
      <c r="C390" s="1" t="n">
        <v>5</v>
      </c>
      <c r="D390" s="1" t="s">
        <v>46</v>
      </c>
      <c r="E390" s="1" t="s">
        <v>13</v>
      </c>
      <c r="F390" s="1" t="n">
        <v>76.03</v>
      </c>
      <c r="G390" s="1" t="n">
        <f aca="false">IF(E390=E389,F390/F389-1,"")</f>
        <v>-0.00925201980714097</v>
      </c>
    </row>
    <row r="391" customFormat="false" ht="14.25" hidden="false" customHeight="true" outlineLevel="0" collapsed="false">
      <c r="A391" s="26" t="n">
        <v>28642</v>
      </c>
      <c r="B391" s="1" t="n">
        <v>1978</v>
      </c>
      <c r="C391" s="1" t="n">
        <v>6</v>
      </c>
      <c r="D391" s="1" t="s">
        <v>47</v>
      </c>
      <c r="E391" s="1" t="s">
        <v>13</v>
      </c>
      <c r="F391" s="1" t="n">
        <v>75.21</v>
      </c>
      <c r="G391" s="1" t="n">
        <f aca="false">IF(E391=E390,F391/F390-1,"")</f>
        <v>-0.0107852163619625</v>
      </c>
    </row>
    <row r="392" customFormat="false" ht="14.25" hidden="false" customHeight="true" outlineLevel="0" collapsed="false">
      <c r="A392" s="26" t="n">
        <v>28672</v>
      </c>
      <c r="B392" s="1" t="n">
        <v>1978</v>
      </c>
      <c r="C392" s="1" t="n">
        <v>7</v>
      </c>
      <c r="D392" s="1" t="s">
        <v>48</v>
      </c>
      <c r="E392" s="1" t="s">
        <v>13</v>
      </c>
      <c r="F392" s="1" t="n">
        <v>74.64</v>
      </c>
      <c r="G392" s="1" t="n">
        <f aca="false">IF(E392=E391,F392/F391-1,"")</f>
        <v>-0.00757877941763052</v>
      </c>
    </row>
    <row r="393" customFormat="false" ht="14.25" hidden="false" customHeight="true" outlineLevel="0" collapsed="false">
      <c r="A393" s="26" t="n">
        <v>28703</v>
      </c>
      <c r="B393" s="1" t="n">
        <v>1978</v>
      </c>
      <c r="C393" s="1" t="n">
        <v>8</v>
      </c>
      <c r="D393" s="1" t="s">
        <v>49</v>
      </c>
      <c r="E393" s="1" t="s">
        <v>13</v>
      </c>
      <c r="F393" s="1" t="n">
        <v>74.3</v>
      </c>
      <c r="G393" s="1" t="n">
        <f aca="false">IF(E393=E392,F393/F392-1,"")</f>
        <v>-0.00455519828510187</v>
      </c>
    </row>
    <row r="394" customFormat="false" ht="14.25" hidden="false" customHeight="true" outlineLevel="0" collapsed="false">
      <c r="A394" s="26" t="n">
        <v>28734</v>
      </c>
      <c r="B394" s="1" t="n">
        <v>1978</v>
      </c>
      <c r="C394" s="1" t="n">
        <v>9</v>
      </c>
      <c r="D394" s="1" t="s">
        <v>50</v>
      </c>
      <c r="E394" s="1" t="s">
        <v>13</v>
      </c>
      <c r="F394" s="1" t="n">
        <v>73.74</v>
      </c>
      <c r="G394" s="1" t="n">
        <f aca="false">IF(E394=E393,F394/F393-1,"")</f>
        <v>-0.00753701211305524</v>
      </c>
    </row>
    <row r="395" customFormat="false" ht="14.25" hidden="false" customHeight="true" outlineLevel="0" collapsed="false">
      <c r="A395" s="26" t="n">
        <v>28764</v>
      </c>
      <c r="B395" s="1" t="n">
        <v>1978</v>
      </c>
      <c r="C395" s="1" t="n">
        <v>10</v>
      </c>
      <c r="D395" s="1" t="s">
        <v>51</v>
      </c>
      <c r="E395" s="1" t="s">
        <v>13</v>
      </c>
      <c r="F395" s="1" t="n">
        <v>73.08</v>
      </c>
      <c r="G395" s="1" t="n">
        <f aca="false">IF(E395=E394,F395/F394-1,"")</f>
        <v>-0.00895036615134248</v>
      </c>
    </row>
    <row r="396" customFormat="false" ht="14.25" hidden="false" customHeight="true" outlineLevel="0" collapsed="false">
      <c r="A396" s="26" t="n">
        <v>28795</v>
      </c>
      <c r="B396" s="1" t="n">
        <v>1978</v>
      </c>
      <c r="C396" s="1" t="n">
        <v>11</v>
      </c>
      <c r="D396" s="1" t="s">
        <v>52</v>
      </c>
      <c r="E396" s="1" t="s">
        <v>13</v>
      </c>
      <c r="F396" s="1" t="n">
        <v>72.75</v>
      </c>
      <c r="G396" s="1" t="n">
        <f aca="false">IF(E396=E395,F396/F395-1,"")</f>
        <v>-0.00451559934318557</v>
      </c>
    </row>
    <row r="397" customFormat="false" ht="14.25" hidden="false" customHeight="true" outlineLevel="0" collapsed="false">
      <c r="A397" s="26" t="n">
        <v>28825</v>
      </c>
      <c r="B397" s="1" t="n">
        <v>1978</v>
      </c>
      <c r="C397" s="1" t="n">
        <v>12</v>
      </c>
      <c r="D397" s="1" t="s">
        <v>53</v>
      </c>
      <c r="E397" s="1" t="s">
        <v>13</v>
      </c>
      <c r="F397" s="1" t="n">
        <v>72.43</v>
      </c>
      <c r="G397" s="1" t="n">
        <f aca="false">IF(E397=E396,F397/F396-1,"")</f>
        <v>-0.00439862542955316</v>
      </c>
    </row>
    <row r="398" customFormat="false" ht="14.25" hidden="false" customHeight="true" outlineLevel="0" collapsed="false">
      <c r="A398" s="26" t="n">
        <v>28856</v>
      </c>
      <c r="B398" s="1" t="n">
        <v>1979</v>
      </c>
      <c r="C398" s="1" t="n">
        <v>1</v>
      </c>
      <c r="D398" s="1" t="s">
        <v>42</v>
      </c>
      <c r="E398" s="1" t="s">
        <v>13</v>
      </c>
      <c r="F398" s="1" t="n">
        <v>71.8</v>
      </c>
      <c r="G398" s="1" t="n">
        <f aca="false">IF(E398=E397,F398/F397-1,"")</f>
        <v>-0.00869805329283457</v>
      </c>
    </row>
    <row r="399" customFormat="false" ht="14.25" hidden="false" customHeight="true" outlineLevel="0" collapsed="false">
      <c r="A399" s="26" t="n">
        <v>28887</v>
      </c>
      <c r="B399" s="1" t="n">
        <v>1979</v>
      </c>
      <c r="C399" s="1" t="n">
        <v>2</v>
      </c>
      <c r="D399" s="1" t="s">
        <v>43</v>
      </c>
      <c r="E399" s="1" t="s">
        <v>13</v>
      </c>
      <c r="F399" s="1" t="n">
        <v>75.74</v>
      </c>
      <c r="G399" s="1" t="n">
        <f aca="false">IF(E399=E398,F399/F398-1,"")</f>
        <v>0.0548746518105849</v>
      </c>
    </row>
    <row r="400" customFormat="false" ht="14.25" hidden="false" customHeight="true" outlineLevel="0" collapsed="false">
      <c r="A400" s="26" t="n">
        <v>28915</v>
      </c>
      <c r="B400" s="1" t="n">
        <v>1979</v>
      </c>
      <c r="C400" s="1" t="n">
        <v>3</v>
      </c>
      <c r="D400" s="1" t="s">
        <v>44</v>
      </c>
      <c r="E400" s="1" t="s">
        <v>13</v>
      </c>
      <c r="F400" s="1" t="n">
        <v>74.98</v>
      </c>
      <c r="G400" s="1" t="n">
        <f aca="false">IF(E400=E399,F400/F399-1,"")</f>
        <v>-0.0100343279640875</v>
      </c>
    </row>
    <row r="401" customFormat="false" ht="14.25" hidden="false" customHeight="true" outlineLevel="0" collapsed="false">
      <c r="A401" s="26" t="n">
        <v>28946</v>
      </c>
      <c r="B401" s="1" t="n">
        <v>1979</v>
      </c>
      <c r="C401" s="1" t="n">
        <v>4</v>
      </c>
      <c r="D401" s="1" t="s">
        <v>45</v>
      </c>
      <c r="E401" s="1" t="s">
        <v>13</v>
      </c>
      <c r="F401" s="1" t="n">
        <v>74.13</v>
      </c>
      <c r="G401" s="1" t="n">
        <f aca="false">IF(E401=E400,F401/F400-1,"")</f>
        <v>-0.0113363563616966</v>
      </c>
    </row>
    <row r="402" customFormat="false" ht="14.25" hidden="false" customHeight="true" outlineLevel="0" collapsed="false">
      <c r="A402" s="26" t="n">
        <v>28976</v>
      </c>
      <c r="B402" s="1" t="n">
        <v>1979</v>
      </c>
      <c r="C402" s="1" t="n">
        <v>5</v>
      </c>
      <c r="D402" s="1" t="s">
        <v>46</v>
      </c>
      <c r="E402" s="1" t="s">
        <v>13</v>
      </c>
      <c r="F402" s="1" t="n">
        <v>83.59</v>
      </c>
      <c r="G402" s="1" t="n">
        <f aca="false">IF(E402=E401,F402/F401-1,"")</f>
        <v>0.127613651692972</v>
      </c>
    </row>
    <row r="403" customFormat="false" ht="14.25" hidden="false" customHeight="true" outlineLevel="0" collapsed="false">
      <c r="A403" s="26" t="n">
        <v>29007</v>
      </c>
      <c r="B403" s="1" t="n">
        <v>1979</v>
      </c>
      <c r="C403" s="1" t="n">
        <v>6</v>
      </c>
      <c r="D403" s="1" t="s">
        <v>47</v>
      </c>
      <c r="E403" s="1" t="s">
        <v>13</v>
      </c>
      <c r="F403" s="1" t="n">
        <v>87.23</v>
      </c>
      <c r="G403" s="1" t="n">
        <f aca="false">IF(E403=E402,F403/F402-1,"")</f>
        <v>0.0435458786936236</v>
      </c>
    </row>
    <row r="404" customFormat="false" ht="14.25" hidden="false" customHeight="true" outlineLevel="0" collapsed="false">
      <c r="A404" s="26" t="n">
        <v>29037</v>
      </c>
      <c r="B404" s="1" t="n">
        <v>1979</v>
      </c>
      <c r="C404" s="1" t="n">
        <v>7</v>
      </c>
      <c r="D404" s="1" t="s">
        <v>48</v>
      </c>
      <c r="E404" s="1" t="s">
        <v>13</v>
      </c>
      <c r="F404" s="1" t="n">
        <v>98.25</v>
      </c>
      <c r="G404" s="1" t="n">
        <f aca="false">IF(E404=E403,F404/F403-1,"")</f>
        <v>0.126332683709733</v>
      </c>
    </row>
    <row r="405" customFormat="false" ht="14.25" hidden="false" customHeight="true" outlineLevel="0" collapsed="false">
      <c r="A405" s="26" t="n">
        <v>29068</v>
      </c>
      <c r="B405" s="1" t="n">
        <v>1979</v>
      </c>
      <c r="C405" s="1" t="n">
        <v>8</v>
      </c>
      <c r="D405" s="1" t="s">
        <v>49</v>
      </c>
      <c r="E405" s="1" t="s">
        <v>13</v>
      </c>
      <c r="F405" s="1" t="n">
        <v>118.57</v>
      </c>
      <c r="G405" s="1" t="n">
        <f aca="false">IF(E405=E404,F405/F404-1,"")</f>
        <v>0.206819338422392</v>
      </c>
    </row>
    <row r="406" customFormat="false" ht="14.25" hidden="false" customHeight="true" outlineLevel="0" collapsed="false">
      <c r="A406" s="26" t="n">
        <v>29099</v>
      </c>
      <c r="B406" s="1" t="n">
        <v>1979</v>
      </c>
      <c r="C406" s="1" t="n">
        <v>9</v>
      </c>
      <c r="D406" s="1" t="s">
        <v>50</v>
      </c>
      <c r="E406" s="1" t="s">
        <v>13</v>
      </c>
      <c r="F406" s="1" t="n">
        <v>126.15</v>
      </c>
      <c r="G406" s="1" t="n">
        <f aca="false">IF(E406=E405,F406/F405-1,"")</f>
        <v>0.063928481066037</v>
      </c>
    </row>
    <row r="407" customFormat="false" ht="14.25" hidden="false" customHeight="true" outlineLevel="0" collapsed="false">
      <c r="A407" s="26" t="n">
        <v>29129</v>
      </c>
      <c r="B407" s="1" t="n">
        <v>1979</v>
      </c>
      <c r="C407" s="1" t="n">
        <v>10</v>
      </c>
      <c r="D407" s="1" t="s">
        <v>51</v>
      </c>
      <c r="E407" s="1" t="s">
        <v>13</v>
      </c>
      <c r="F407" s="1" t="n">
        <v>127.34</v>
      </c>
      <c r="G407" s="1" t="n">
        <f aca="false">IF(E407=E406,F407/F406-1,"")</f>
        <v>0.00943321442726908</v>
      </c>
    </row>
    <row r="408" customFormat="false" ht="14.25" hidden="false" customHeight="true" outlineLevel="0" collapsed="false">
      <c r="A408" s="26" t="n">
        <v>29160</v>
      </c>
      <c r="B408" s="1" t="n">
        <v>1979</v>
      </c>
      <c r="C408" s="1" t="n">
        <v>11</v>
      </c>
      <c r="D408" s="1" t="s">
        <v>52</v>
      </c>
      <c r="E408" s="1" t="s">
        <v>13</v>
      </c>
      <c r="F408" s="1" t="n">
        <v>134.87</v>
      </c>
      <c r="G408" s="1" t="n">
        <f aca="false">IF(E408=E407,F408/F407-1,"")</f>
        <v>0.0591330296843098</v>
      </c>
    </row>
    <row r="409" customFormat="false" ht="14.25" hidden="false" customHeight="true" outlineLevel="0" collapsed="false">
      <c r="A409" s="26" t="n">
        <v>29190</v>
      </c>
      <c r="B409" s="1" t="n">
        <v>1979</v>
      </c>
      <c r="C409" s="1" t="n">
        <v>12</v>
      </c>
      <c r="D409" s="1" t="s">
        <v>53</v>
      </c>
      <c r="E409" s="1" t="s">
        <v>13</v>
      </c>
      <c r="F409" s="1" t="n">
        <v>139.92</v>
      </c>
      <c r="G409" s="1" t="n">
        <f aca="false">IF(E409=E408,F409/F408-1,"")</f>
        <v>0.037443464076518</v>
      </c>
    </row>
    <row r="410" customFormat="false" ht="14.25" hidden="false" customHeight="true" outlineLevel="0" collapsed="false">
      <c r="A410" s="26" t="n">
        <v>29221</v>
      </c>
      <c r="B410" s="1" t="n">
        <v>1980</v>
      </c>
      <c r="C410" s="1" t="n">
        <v>1</v>
      </c>
      <c r="D410" s="1" t="s">
        <v>42</v>
      </c>
      <c r="E410" s="1" t="s">
        <v>13</v>
      </c>
      <c r="F410" s="1" t="n">
        <v>137.94</v>
      </c>
      <c r="G410" s="1" t="n">
        <f aca="false">IF(E410=E409,F410/F409-1,"")</f>
        <v>-0.0141509433962264</v>
      </c>
    </row>
    <row r="411" customFormat="false" ht="14.25" hidden="false" customHeight="true" outlineLevel="0" collapsed="false">
      <c r="A411" s="26" t="n">
        <v>29252</v>
      </c>
      <c r="B411" s="1" t="n">
        <v>1980</v>
      </c>
      <c r="C411" s="1" t="n">
        <v>2</v>
      </c>
      <c r="D411" s="1" t="s">
        <v>43</v>
      </c>
      <c r="E411" s="1" t="s">
        <v>13</v>
      </c>
      <c r="F411" s="1" t="n">
        <v>154.85</v>
      </c>
      <c r="G411" s="1" t="n">
        <f aca="false">IF(E411=E410,F411/F410-1,"")</f>
        <v>0.122589531680441</v>
      </c>
    </row>
    <row r="412" customFormat="false" ht="14.25" hidden="false" customHeight="true" outlineLevel="0" collapsed="false">
      <c r="A412" s="26" t="n">
        <v>29281</v>
      </c>
      <c r="B412" s="1" t="n">
        <v>1980</v>
      </c>
      <c r="C412" s="1" t="n">
        <v>3</v>
      </c>
      <c r="D412" s="1" t="s">
        <v>44</v>
      </c>
      <c r="E412" s="1" t="s">
        <v>13</v>
      </c>
      <c r="F412" s="1" t="n">
        <v>156.66</v>
      </c>
      <c r="G412" s="1" t="n">
        <f aca="false">IF(E412=E411,F412/F411-1,"")</f>
        <v>0.0116887310300291</v>
      </c>
    </row>
    <row r="413" customFormat="false" ht="14.25" hidden="false" customHeight="true" outlineLevel="0" collapsed="false">
      <c r="A413" s="26" t="n">
        <v>29312</v>
      </c>
      <c r="B413" s="1" t="n">
        <v>1980</v>
      </c>
      <c r="C413" s="1" t="n">
        <v>4</v>
      </c>
      <c r="D413" s="1" t="s">
        <v>45</v>
      </c>
      <c r="E413" s="1" t="s">
        <v>13</v>
      </c>
      <c r="F413" s="1" t="n">
        <v>161.03</v>
      </c>
      <c r="G413" s="1" t="n">
        <f aca="false">IF(E413=E412,F413/F412-1,"")</f>
        <v>0.0278948040342142</v>
      </c>
    </row>
    <row r="414" customFormat="false" ht="14.25" hidden="false" customHeight="true" outlineLevel="0" collapsed="false">
      <c r="A414" s="26" t="n">
        <v>29342</v>
      </c>
      <c r="B414" s="1" t="n">
        <v>1980</v>
      </c>
      <c r="C414" s="1" t="n">
        <v>5</v>
      </c>
      <c r="D414" s="1" t="s">
        <v>46</v>
      </c>
      <c r="E414" s="1" t="s">
        <v>13</v>
      </c>
      <c r="F414" s="1" t="n">
        <v>159.45</v>
      </c>
      <c r="G414" s="1" t="n">
        <f aca="false">IF(E414=E413,F414/F413-1,"")</f>
        <v>-0.00981183630379445</v>
      </c>
    </row>
    <row r="415" customFormat="false" ht="14.25" hidden="false" customHeight="true" outlineLevel="0" collapsed="false">
      <c r="A415" s="26" t="n">
        <v>29373</v>
      </c>
      <c r="B415" s="1" t="n">
        <v>1980</v>
      </c>
      <c r="C415" s="1" t="n">
        <v>6</v>
      </c>
      <c r="D415" s="1" t="s">
        <v>47</v>
      </c>
      <c r="E415" s="1" t="s">
        <v>13</v>
      </c>
      <c r="F415" s="1" t="n">
        <v>157.72</v>
      </c>
      <c r="G415" s="1" t="n">
        <f aca="false">IF(E415=E414,F415/F414-1,"")</f>
        <v>-0.0108497961743492</v>
      </c>
    </row>
    <row r="416" customFormat="false" ht="14.25" hidden="false" customHeight="true" outlineLevel="0" collapsed="false">
      <c r="A416" s="26" t="n">
        <v>29403</v>
      </c>
      <c r="B416" s="1" t="n">
        <v>1980</v>
      </c>
      <c r="C416" s="1" t="n">
        <v>7</v>
      </c>
      <c r="D416" s="1" t="s">
        <v>48</v>
      </c>
      <c r="E416" s="1" t="s">
        <v>13</v>
      </c>
      <c r="F416" s="1" t="n">
        <v>157.72</v>
      </c>
      <c r="G416" s="1" t="n">
        <f aca="false">IF(E416=E415,F416/F415-1,"")</f>
        <v>0</v>
      </c>
    </row>
    <row r="417" customFormat="false" ht="14.25" hidden="false" customHeight="true" outlineLevel="0" collapsed="false">
      <c r="A417" s="26" t="n">
        <v>29434</v>
      </c>
      <c r="B417" s="1" t="n">
        <v>1980</v>
      </c>
      <c r="C417" s="1" t="n">
        <v>8</v>
      </c>
      <c r="D417" s="1" t="s">
        <v>49</v>
      </c>
      <c r="E417" s="1" t="s">
        <v>13</v>
      </c>
      <c r="F417" s="1" t="n">
        <v>150.64</v>
      </c>
      <c r="G417" s="1" t="n">
        <f aca="false">IF(E417=E416,F417/F416-1,"")</f>
        <v>-0.0448896779102207</v>
      </c>
    </row>
    <row r="418" customFormat="false" ht="14.25" hidden="false" customHeight="true" outlineLevel="0" collapsed="false">
      <c r="A418" s="26" t="n">
        <v>29465</v>
      </c>
      <c r="B418" s="1" t="n">
        <v>1980</v>
      </c>
      <c r="C418" s="1" t="n">
        <v>9</v>
      </c>
      <c r="D418" s="1" t="s">
        <v>50</v>
      </c>
      <c r="E418" s="1" t="s">
        <v>13</v>
      </c>
      <c r="F418" s="1" t="n">
        <v>141.52</v>
      </c>
      <c r="G418" s="1" t="n">
        <f aca="false">IF(E418=E417,F418/F417-1,"")</f>
        <v>-0.0605416887944767</v>
      </c>
    </row>
    <row r="419" customFormat="false" ht="14.25" hidden="false" customHeight="true" outlineLevel="0" collapsed="false">
      <c r="A419" s="26" t="n">
        <v>29495</v>
      </c>
      <c r="B419" s="1" t="n">
        <v>1980</v>
      </c>
      <c r="C419" s="1" t="n">
        <v>10</v>
      </c>
      <c r="D419" s="1" t="s">
        <v>51</v>
      </c>
      <c r="E419" s="1" t="s">
        <v>13</v>
      </c>
      <c r="F419" s="1" t="n">
        <v>140.18</v>
      </c>
      <c r="G419" s="1" t="n">
        <f aca="false">IF(E419=E418,F419/F418-1,"")</f>
        <v>-0.0094686263425664</v>
      </c>
    </row>
    <row r="420" customFormat="false" ht="14.25" hidden="false" customHeight="true" outlineLevel="0" collapsed="false">
      <c r="A420" s="26" t="n">
        <v>29526</v>
      </c>
      <c r="B420" s="1" t="n">
        <v>1980</v>
      </c>
      <c r="C420" s="1" t="n">
        <v>11</v>
      </c>
      <c r="D420" s="1" t="s">
        <v>52</v>
      </c>
      <c r="E420" s="1" t="s">
        <v>13</v>
      </c>
      <c r="F420" s="1" t="n">
        <v>139.04</v>
      </c>
      <c r="G420" s="1" t="n">
        <f aca="false">IF(E420=E419,F420/F419-1,"")</f>
        <v>-0.00813240119845926</v>
      </c>
    </row>
    <row r="421" customFormat="false" ht="14.25" hidden="false" customHeight="true" outlineLevel="0" collapsed="false">
      <c r="A421" s="26" t="n">
        <v>29556</v>
      </c>
      <c r="B421" s="1" t="n">
        <v>1980</v>
      </c>
      <c r="C421" s="1" t="n">
        <v>12</v>
      </c>
      <c r="D421" s="1" t="s">
        <v>53</v>
      </c>
      <c r="E421" s="1" t="s">
        <v>13</v>
      </c>
      <c r="F421" s="1" t="n">
        <v>141.57</v>
      </c>
      <c r="G421" s="1" t="n">
        <f aca="false">IF(E421=E420,F421/F420-1,"")</f>
        <v>0.0181962025316456</v>
      </c>
    </row>
    <row r="422" customFormat="false" ht="14.25" hidden="false" customHeight="true" outlineLevel="0" collapsed="false">
      <c r="A422" s="26" t="n">
        <v>29587</v>
      </c>
      <c r="B422" s="1" t="n">
        <v>1981</v>
      </c>
      <c r="C422" s="1" t="n">
        <v>1</v>
      </c>
      <c r="D422" s="1" t="s">
        <v>42</v>
      </c>
      <c r="E422" s="1" t="s">
        <v>13</v>
      </c>
      <c r="F422" s="1" t="n">
        <v>144.23</v>
      </c>
      <c r="G422" s="1" t="n">
        <f aca="false">IF(E422=E421,F422/F421-1,"")</f>
        <v>0.0187892915165642</v>
      </c>
    </row>
    <row r="423" customFormat="false" ht="14.25" hidden="false" customHeight="true" outlineLevel="0" collapsed="false">
      <c r="A423" s="26" t="n">
        <v>29618</v>
      </c>
      <c r="B423" s="1" t="n">
        <v>1981</v>
      </c>
      <c r="C423" s="1" t="n">
        <v>2</v>
      </c>
      <c r="D423" s="1" t="s">
        <v>43</v>
      </c>
      <c r="E423" s="1" t="s">
        <v>13</v>
      </c>
      <c r="F423" s="1" t="n">
        <v>142.75</v>
      </c>
      <c r="G423" s="1" t="n">
        <f aca="false">IF(E423=E422,F423/F422-1,"")</f>
        <v>-0.0102613880607363</v>
      </c>
    </row>
    <row r="424" customFormat="false" ht="14.25" hidden="false" customHeight="true" outlineLevel="0" collapsed="false">
      <c r="A424" s="26" t="n">
        <v>29646</v>
      </c>
      <c r="B424" s="1" t="n">
        <v>1981</v>
      </c>
      <c r="C424" s="1" t="n">
        <v>3</v>
      </c>
      <c r="D424" s="1" t="s">
        <v>44</v>
      </c>
      <c r="E424" s="1" t="s">
        <v>13</v>
      </c>
      <c r="F424" s="1" t="n">
        <v>141.79</v>
      </c>
      <c r="G424" s="1" t="n">
        <f aca="false">IF(E424=E423,F424/F423-1,"")</f>
        <v>-0.00672504378283723</v>
      </c>
    </row>
    <row r="425" customFormat="false" ht="14.25" hidden="false" customHeight="true" outlineLevel="0" collapsed="false">
      <c r="A425" s="26" t="n">
        <v>29677</v>
      </c>
      <c r="B425" s="1" t="n">
        <v>1981</v>
      </c>
      <c r="C425" s="1" t="n">
        <v>4</v>
      </c>
      <c r="D425" s="1" t="s">
        <v>45</v>
      </c>
      <c r="E425" s="1" t="s">
        <v>13</v>
      </c>
      <c r="F425" s="1" t="n">
        <v>140.83</v>
      </c>
      <c r="G425" s="1" t="n">
        <f aca="false">IF(E425=E424,F425/F424-1,"")</f>
        <v>-0.00677057620424559</v>
      </c>
    </row>
    <row r="426" customFormat="false" ht="14.25" hidden="false" customHeight="true" outlineLevel="0" collapsed="false">
      <c r="A426" s="26" t="n">
        <v>29707</v>
      </c>
      <c r="B426" s="1" t="n">
        <v>1981</v>
      </c>
      <c r="C426" s="1" t="n">
        <v>5</v>
      </c>
      <c r="D426" s="1" t="s">
        <v>46</v>
      </c>
      <c r="E426" s="1" t="s">
        <v>13</v>
      </c>
      <c r="F426" s="1" t="n">
        <v>139.73</v>
      </c>
      <c r="G426" s="1" t="n">
        <f aca="false">IF(E426=E425,F426/F425-1,"")</f>
        <v>-0.00781083575942643</v>
      </c>
    </row>
    <row r="427" customFormat="false" ht="14.25" hidden="false" customHeight="true" outlineLevel="0" collapsed="false">
      <c r="A427" s="26" t="n">
        <v>29738</v>
      </c>
      <c r="B427" s="1" t="n">
        <v>1981</v>
      </c>
      <c r="C427" s="1" t="n">
        <v>6</v>
      </c>
      <c r="D427" s="1" t="s">
        <v>47</v>
      </c>
      <c r="E427" s="1" t="s">
        <v>13</v>
      </c>
      <c r="F427" s="1" t="n">
        <v>131.21</v>
      </c>
      <c r="G427" s="1" t="n">
        <f aca="false">IF(E427=E426,F427/F426-1,"")</f>
        <v>-0.0609747369927717</v>
      </c>
    </row>
    <row r="428" customFormat="false" ht="14.25" hidden="false" customHeight="true" outlineLevel="0" collapsed="false">
      <c r="A428" s="26" t="n">
        <v>29768</v>
      </c>
      <c r="B428" s="1" t="n">
        <v>1981</v>
      </c>
      <c r="C428" s="1" t="n">
        <v>7</v>
      </c>
      <c r="D428" s="1" t="s">
        <v>48</v>
      </c>
      <c r="E428" s="1" t="s">
        <v>13</v>
      </c>
      <c r="F428" s="1" t="n">
        <v>129.78</v>
      </c>
      <c r="G428" s="1" t="n">
        <f aca="false">IF(E428=E427,F428/F427-1,"")</f>
        <v>-0.0108985595610092</v>
      </c>
    </row>
    <row r="429" customFormat="false" ht="14.25" hidden="false" customHeight="true" outlineLevel="0" collapsed="false">
      <c r="A429" s="26" t="n">
        <v>29799</v>
      </c>
      <c r="B429" s="1" t="n">
        <v>1981</v>
      </c>
      <c r="C429" s="1" t="n">
        <v>8</v>
      </c>
      <c r="D429" s="1" t="s">
        <v>49</v>
      </c>
      <c r="E429" s="1" t="s">
        <v>13</v>
      </c>
      <c r="F429" s="1" t="n">
        <v>128.79</v>
      </c>
      <c r="G429" s="1" t="n">
        <f aca="false">IF(E429=E428,F429/F428-1,"")</f>
        <v>-0.00762829403606113</v>
      </c>
    </row>
    <row r="430" customFormat="false" ht="14.25" hidden="false" customHeight="true" outlineLevel="0" collapsed="false">
      <c r="A430" s="26" t="n">
        <v>29830</v>
      </c>
      <c r="B430" s="1" t="n">
        <v>1981</v>
      </c>
      <c r="C430" s="1" t="n">
        <v>9</v>
      </c>
      <c r="D430" s="1" t="s">
        <v>50</v>
      </c>
      <c r="E430" s="1" t="s">
        <v>13</v>
      </c>
      <c r="F430" s="1" t="n">
        <v>127.55</v>
      </c>
      <c r="G430" s="1" t="n">
        <f aca="false">IF(E430=E429,F430/F429-1,"")</f>
        <v>-0.00962807671403054</v>
      </c>
    </row>
    <row r="431" customFormat="false" ht="14.25" hidden="false" customHeight="true" outlineLevel="0" collapsed="false">
      <c r="A431" s="26" t="n">
        <v>29860</v>
      </c>
      <c r="B431" s="1" t="n">
        <v>1981</v>
      </c>
      <c r="C431" s="1" t="n">
        <v>10</v>
      </c>
      <c r="D431" s="1" t="s">
        <v>51</v>
      </c>
      <c r="E431" s="1" t="s">
        <v>13</v>
      </c>
      <c r="F431" s="1" t="n">
        <v>123.74</v>
      </c>
      <c r="G431" s="1" t="n">
        <f aca="false">IF(E431=E430,F431/F430-1,"")</f>
        <v>-0.0298706389651118</v>
      </c>
    </row>
    <row r="432" customFormat="false" ht="14.25" hidden="false" customHeight="true" outlineLevel="0" collapsed="false">
      <c r="A432" s="26" t="n">
        <v>29891</v>
      </c>
      <c r="B432" s="1" t="n">
        <v>1981</v>
      </c>
      <c r="C432" s="1" t="n">
        <v>11</v>
      </c>
      <c r="D432" s="1" t="s">
        <v>52</v>
      </c>
      <c r="E432" s="1" t="s">
        <v>13</v>
      </c>
      <c r="F432" s="1" t="n">
        <v>126.87</v>
      </c>
      <c r="G432" s="1" t="n">
        <f aca="false">IF(E432=E431,F432/F431-1,"")</f>
        <v>0.0252949733311783</v>
      </c>
    </row>
    <row r="433" customFormat="false" ht="14.25" hidden="false" customHeight="true" outlineLevel="0" collapsed="false">
      <c r="A433" s="26" t="n">
        <v>29921</v>
      </c>
      <c r="B433" s="1" t="n">
        <v>1981</v>
      </c>
      <c r="C433" s="1" t="n">
        <v>12</v>
      </c>
      <c r="D433" s="1" t="s">
        <v>53</v>
      </c>
      <c r="E433" s="1" t="s">
        <v>13</v>
      </c>
      <c r="F433" s="1" t="n">
        <v>122.95</v>
      </c>
      <c r="G433" s="1" t="n">
        <f aca="false">IF(E433=E432,F433/F432-1,"")</f>
        <v>-0.0308977693702215</v>
      </c>
    </row>
    <row r="434" customFormat="false" ht="14.25" hidden="false" customHeight="true" outlineLevel="0" collapsed="false">
      <c r="A434" s="26" t="n">
        <v>29952</v>
      </c>
      <c r="B434" s="1" t="n">
        <v>1982</v>
      </c>
      <c r="C434" s="1" t="n">
        <v>1</v>
      </c>
      <c r="D434" s="1" t="s">
        <v>42</v>
      </c>
      <c r="E434" s="1" t="s">
        <v>13</v>
      </c>
      <c r="F434" s="1" t="n">
        <v>118.53</v>
      </c>
      <c r="G434" s="1" t="n">
        <f aca="false">IF(E434=E433,F434/F433-1,"")</f>
        <v>-0.0359495729971533</v>
      </c>
    </row>
    <row r="435" customFormat="false" ht="14.25" hidden="false" customHeight="true" outlineLevel="0" collapsed="false">
      <c r="A435" s="26" t="n">
        <v>29983</v>
      </c>
      <c r="B435" s="1" t="n">
        <v>1982</v>
      </c>
      <c r="C435" s="1" t="n">
        <v>2</v>
      </c>
      <c r="D435" s="1" t="s">
        <v>43</v>
      </c>
      <c r="E435" s="1" t="s">
        <v>13</v>
      </c>
      <c r="F435" s="1" t="n">
        <v>110.16</v>
      </c>
      <c r="G435" s="1" t="n">
        <f aca="false">IF(E435=E434,F435/F434-1,"")</f>
        <v>-0.070615034168565</v>
      </c>
    </row>
    <row r="436" customFormat="false" ht="14.25" hidden="false" customHeight="true" outlineLevel="0" collapsed="false">
      <c r="A436" s="26" t="n">
        <v>30011</v>
      </c>
      <c r="B436" s="1" t="n">
        <v>1982</v>
      </c>
      <c r="C436" s="1" t="n">
        <v>3</v>
      </c>
      <c r="D436" s="1" t="s">
        <v>44</v>
      </c>
      <c r="E436" s="1" t="s">
        <v>13</v>
      </c>
      <c r="F436" s="1" t="n">
        <v>99.52</v>
      </c>
      <c r="G436" s="1" t="n">
        <f aca="false">IF(E436=E435,F436/F435-1,"")</f>
        <v>-0.0965867828612926</v>
      </c>
    </row>
    <row r="437" customFormat="false" ht="14.25" hidden="false" customHeight="true" outlineLevel="0" collapsed="false">
      <c r="A437" s="26" t="n">
        <v>30042</v>
      </c>
      <c r="B437" s="1" t="n">
        <v>1982</v>
      </c>
      <c r="C437" s="1" t="n">
        <v>4</v>
      </c>
      <c r="D437" s="1" t="s">
        <v>45</v>
      </c>
      <c r="E437" s="1" t="s">
        <v>13</v>
      </c>
      <c r="F437" s="1" t="n">
        <v>116.39</v>
      </c>
      <c r="G437" s="1" t="n">
        <f aca="false">IF(E437=E436,F437/F436-1,"")</f>
        <v>0.169513665594855</v>
      </c>
    </row>
    <row r="438" customFormat="false" ht="14.25" hidden="false" customHeight="true" outlineLevel="0" collapsed="false">
      <c r="A438" s="26" t="n">
        <v>30072</v>
      </c>
      <c r="B438" s="1" t="n">
        <v>1982</v>
      </c>
      <c r="C438" s="1" t="n">
        <v>5</v>
      </c>
      <c r="D438" s="1" t="s">
        <v>46</v>
      </c>
      <c r="E438" s="1" t="s">
        <v>13</v>
      </c>
      <c r="F438" s="1" t="n">
        <v>123.85</v>
      </c>
      <c r="G438" s="1" t="n">
        <f aca="false">IF(E438=E437,F438/F437-1,"")</f>
        <v>0.0640948535097516</v>
      </c>
    </row>
    <row r="439" customFormat="false" ht="14.25" hidden="false" customHeight="true" outlineLevel="0" collapsed="false">
      <c r="A439" s="26" t="n">
        <v>30103</v>
      </c>
      <c r="B439" s="1" t="n">
        <v>1982</v>
      </c>
      <c r="C439" s="1" t="n">
        <v>6</v>
      </c>
      <c r="D439" s="1" t="s">
        <v>47</v>
      </c>
      <c r="E439" s="1" t="s">
        <v>13</v>
      </c>
      <c r="F439" s="1" t="n">
        <v>119.39</v>
      </c>
      <c r="G439" s="1" t="n">
        <f aca="false">IF(E439=E438,F439/F438-1,"")</f>
        <v>-0.0360113039967702</v>
      </c>
    </row>
    <row r="440" customFormat="false" ht="14.25" hidden="false" customHeight="true" outlineLevel="0" collapsed="false">
      <c r="A440" s="26" t="n">
        <v>30133</v>
      </c>
      <c r="B440" s="1" t="n">
        <v>1982</v>
      </c>
      <c r="C440" s="1" t="n">
        <v>7</v>
      </c>
      <c r="D440" s="1" t="s">
        <v>48</v>
      </c>
      <c r="E440" s="1" t="s">
        <v>13</v>
      </c>
      <c r="F440" s="1" t="n">
        <v>115.69</v>
      </c>
      <c r="G440" s="1" t="n">
        <f aca="false">IF(E440=E439,F440/F439-1,"")</f>
        <v>-0.0309908702571405</v>
      </c>
    </row>
    <row r="441" customFormat="false" ht="14.25" hidden="false" customHeight="true" outlineLevel="0" collapsed="false">
      <c r="A441" s="26" t="n">
        <v>30164</v>
      </c>
      <c r="B441" s="1" t="n">
        <v>1982</v>
      </c>
      <c r="C441" s="1" t="n">
        <v>8</v>
      </c>
      <c r="D441" s="1" t="s">
        <v>49</v>
      </c>
      <c r="E441" s="1" t="s">
        <v>13</v>
      </c>
      <c r="F441" s="1" t="n">
        <v>114.75</v>
      </c>
      <c r="G441" s="1" t="n">
        <f aca="false">IF(E441=E440,F441/F440-1,"")</f>
        <v>-0.00812516207105196</v>
      </c>
    </row>
    <row r="442" customFormat="false" ht="14.25" hidden="false" customHeight="true" outlineLevel="0" collapsed="false">
      <c r="A442" s="26" t="n">
        <v>30195</v>
      </c>
      <c r="B442" s="1" t="n">
        <v>1982</v>
      </c>
      <c r="C442" s="1" t="n">
        <v>9</v>
      </c>
      <c r="D442" s="1" t="s">
        <v>50</v>
      </c>
      <c r="E442" s="1" t="s">
        <v>13</v>
      </c>
      <c r="F442" s="1" t="n">
        <v>120.18</v>
      </c>
      <c r="G442" s="1" t="n">
        <f aca="false">IF(E442=E441,F442/F441-1,"")</f>
        <v>0.0473202614379085</v>
      </c>
    </row>
    <row r="443" customFormat="false" ht="14.25" hidden="false" customHeight="true" outlineLevel="0" collapsed="false">
      <c r="A443" s="26" t="n">
        <v>30225</v>
      </c>
      <c r="B443" s="1" t="n">
        <v>1982</v>
      </c>
      <c r="C443" s="1" t="n">
        <v>10</v>
      </c>
      <c r="D443" s="1" t="s">
        <v>51</v>
      </c>
      <c r="E443" s="1" t="s">
        <v>13</v>
      </c>
      <c r="F443" s="1" t="n">
        <v>119.98</v>
      </c>
      <c r="G443" s="1" t="n">
        <f aca="false">IF(E443=E442,F443/F442-1,"")</f>
        <v>-0.00166417041105016</v>
      </c>
    </row>
    <row r="444" customFormat="false" ht="14.25" hidden="false" customHeight="true" outlineLevel="0" collapsed="false">
      <c r="A444" s="26" t="n">
        <v>30256</v>
      </c>
      <c r="B444" s="1" t="n">
        <v>1982</v>
      </c>
      <c r="C444" s="1" t="n">
        <v>11</v>
      </c>
      <c r="D444" s="1" t="s">
        <v>52</v>
      </c>
      <c r="E444" s="1" t="s">
        <v>13</v>
      </c>
      <c r="F444" s="1" t="n">
        <v>115.07</v>
      </c>
      <c r="G444" s="1" t="n">
        <f aca="false">IF(E444=E443,F444/F443-1,"")</f>
        <v>-0.0409234872478748</v>
      </c>
    </row>
    <row r="445" customFormat="false" ht="14.25" hidden="false" customHeight="true" outlineLevel="0" collapsed="false">
      <c r="A445" s="26" t="n">
        <v>30286</v>
      </c>
      <c r="B445" s="1" t="n">
        <v>1982</v>
      </c>
      <c r="C445" s="1" t="n">
        <v>12</v>
      </c>
      <c r="D445" s="1" t="s">
        <v>53</v>
      </c>
      <c r="E445" s="1" t="s">
        <v>13</v>
      </c>
      <c r="F445" s="1" t="n">
        <v>107.32</v>
      </c>
      <c r="G445" s="1" t="n">
        <f aca="false">IF(E445=E444,F445/F444-1,"")</f>
        <v>-0.0673503085078648</v>
      </c>
    </row>
    <row r="446" customFormat="false" ht="14.25" hidden="false" customHeight="true" outlineLevel="0" collapsed="false">
      <c r="A446" s="26" t="n">
        <v>30317</v>
      </c>
      <c r="B446" s="1" t="n">
        <v>1983</v>
      </c>
      <c r="C446" s="1" t="n">
        <v>1</v>
      </c>
      <c r="D446" s="1" t="s">
        <v>42</v>
      </c>
      <c r="E446" s="1" t="s">
        <v>13</v>
      </c>
      <c r="F446" s="1" t="n">
        <v>105.31</v>
      </c>
      <c r="G446" s="1" t="n">
        <f aca="false">IF(E446=E445,F446/F445-1,"")</f>
        <v>-0.0187290346626909</v>
      </c>
    </row>
    <row r="447" customFormat="false" ht="14.25" hidden="false" customHeight="true" outlineLevel="0" collapsed="false">
      <c r="A447" s="26" t="n">
        <v>30348</v>
      </c>
      <c r="B447" s="1" t="n">
        <v>1983</v>
      </c>
      <c r="C447" s="1" t="n">
        <v>2</v>
      </c>
      <c r="D447" s="1" t="s">
        <v>43</v>
      </c>
      <c r="E447" s="1" t="s">
        <v>13</v>
      </c>
      <c r="F447" s="1" t="n">
        <v>97.65</v>
      </c>
      <c r="G447" s="1" t="n">
        <f aca="false">IF(E447=E446,F447/F446-1,"")</f>
        <v>-0.0727376317538695</v>
      </c>
    </row>
    <row r="448" customFormat="false" ht="14.25" hidden="false" customHeight="true" outlineLevel="0" collapsed="false">
      <c r="A448" s="26" t="n">
        <v>30376</v>
      </c>
      <c r="B448" s="1" t="n">
        <v>1983</v>
      </c>
      <c r="C448" s="1" t="n">
        <v>3</v>
      </c>
      <c r="D448" s="1" t="s">
        <v>44</v>
      </c>
      <c r="E448" s="1" t="s">
        <v>13</v>
      </c>
      <c r="F448" s="1" t="n">
        <v>98.79</v>
      </c>
      <c r="G448" s="1" t="n">
        <f aca="false">IF(E448=E447,F448/F447-1,"")</f>
        <v>0.0116743471582181</v>
      </c>
    </row>
    <row r="449" customFormat="false" ht="14.25" hidden="false" customHeight="true" outlineLevel="0" collapsed="false">
      <c r="A449" s="26" t="n">
        <v>30407</v>
      </c>
      <c r="B449" s="1" t="n">
        <v>1983</v>
      </c>
      <c r="C449" s="1" t="n">
        <v>4</v>
      </c>
      <c r="D449" s="1" t="s">
        <v>45</v>
      </c>
      <c r="E449" s="1" t="s">
        <v>13</v>
      </c>
      <c r="F449" s="1" t="n">
        <v>102.58</v>
      </c>
      <c r="G449" s="1" t="n">
        <f aca="false">IF(E449=E448,F449/F448-1,"")</f>
        <v>0.0383642069035326</v>
      </c>
    </row>
    <row r="450" customFormat="false" ht="14.25" hidden="false" customHeight="true" outlineLevel="0" collapsed="false">
      <c r="A450" s="26" t="n">
        <v>30437</v>
      </c>
      <c r="B450" s="1" t="n">
        <v>1983</v>
      </c>
      <c r="C450" s="1" t="n">
        <v>5</v>
      </c>
      <c r="D450" s="1" t="s">
        <v>46</v>
      </c>
      <c r="E450" s="1" t="s">
        <v>13</v>
      </c>
      <c r="F450" s="1" t="n">
        <v>100.69</v>
      </c>
      <c r="G450" s="1" t="n">
        <f aca="false">IF(E450=E449,F450/F449-1,"")</f>
        <v>-0.0184246441801521</v>
      </c>
    </row>
    <row r="451" customFormat="false" ht="14.25" hidden="false" customHeight="true" outlineLevel="0" collapsed="false">
      <c r="A451" s="26" t="n">
        <v>30468</v>
      </c>
      <c r="B451" s="1" t="n">
        <v>1983</v>
      </c>
      <c r="C451" s="1" t="n">
        <v>6</v>
      </c>
      <c r="D451" s="1" t="s">
        <v>47</v>
      </c>
      <c r="E451" s="1" t="s">
        <v>13</v>
      </c>
      <c r="F451" s="1" t="n">
        <v>104.14</v>
      </c>
      <c r="G451" s="1" t="n">
        <f aca="false">IF(E451=E450,F451/F450-1,"")</f>
        <v>0.0342635812891052</v>
      </c>
    </row>
    <row r="452" customFormat="false" ht="14.25" hidden="false" customHeight="true" outlineLevel="0" collapsed="false">
      <c r="A452" s="26" t="n">
        <v>30498</v>
      </c>
      <c r="B452" s="1" t="n">
        <v>1983</v>
      </c>
      <c r="C452" s="1" t="n">
        <v>7</v>
      </c>
      <c r="D452" s="1" t="s">
        <v>48</v>
      </c>
      <c r="E452" s="1" t="s">
        <v>13</v>
      </c>
      <c r="F452" s="1" t="n">
        <v>105.77</v>
      </c>
      <c r="G452" s="1" t="n">
        <f aca="false">IF(E452=E451,F452/F451-1,"")</f>
        <v>0.0156520069137698</v>
      </c>
    </row>
    <row r="453" customFormat="false" ht="14.25" hidden="false" customHeight="true" outlineLevel="0" collapsed="false">
      <c r="A453" s="26" t="n">
        <v>30529</v>
      </c>
      <c r="B453" s="1" t="n">
        <v>1983</v>
      </c>
      <c r="C453" s="1" t="n">
        <v>8</v>
      </c>
      <c r="D453" s="1" t="s">
        <v>49</v>
      </c>
      <c r="E453" s="1" t="s">
        <v>13</v>
      </c>
      <c r="F453" s="1" t="n">
        <v>104.11</v>
      </c>
      <c r="G453" s="1" t="n">
        <f aca="false">IF(E453=E452,F453/F452-1,"")</f>
        <v>-0.0156944313132268</v>
      </c>
    </row>
    <row r="454" customFormat="false" ht="14.25" hidden="false" customHeight="true" outlineLevel="0" collapsed="false">
      <c r="A454" s="26" t="n">
        <v>30560</v>
      </c>
      <c r="B454" s="1" t="n">
        <v>1983</v>
      </c>
      <c r="C454" s="1" t="n">
        <v>9</v>
      </c>
      <c r="D454" s="1" t="s">
        <v>50</v>
      </c>
      <c r="E454" s="1" t="s">
        <v>13</v>
      </c>
      <c r="F454" s="1" t="n">
        <v>99.56</v>
      </c>
      <c r="G454" s="1" t="n">
        <f aca="false">IF(E454=E453,F454/F453-1,"")</f>
        <v>-0.0437037748535203</v>
      </c>
    </row>
    <row r="455" customFormat="false" ht="14.25" hidden="false" customHeight="true" outlineLevel="0" collapsed="false">
      <c r="A455" s="26" t="n">
        <v>30590</v>
      </c>
      <c r="B455" s="1" t="n">
        <v>1983</v>
      </c>
      <c r="C455" s="1" t="n">
        <v>10</v>
      </c>
      <c r="D455" s="1" t="s">
        <v>51</v>
      </c>
      <c r="E455" s="1" t="s">
        <v>13</v>
      </c>
      <c r="F455" s="1" t="n">
        <v>99.29</v>
      </c>
      <c r="G455" s="1" t="n">
        <f aca="false">IF(E455=E454,F455/F454-1,"")</f>
        <v>-0.00271193250301327</v>
      </c>
    </row>
    <row r="456" customFormat="false" ht="14.25" hidden="false" customHeight="true" outlineLevel="0" collapsed="false">
      <c r="A456" s="26" t="n">
        <v>30621</v>
      </c>
      <c r="B456" s="1" t="n">
        <v>1983</v>
      </c>
      <c r="C456" s="1" t="n">
        <v>11</v>
      </c>
      <c r="D456" s="1" t="s">
        <v>52</v>
      </c>
      <c r="E456" s="1" t="s">
        <v>13</v>
      </c>
      <c r="F456" s="1" t="n">
        <v>95.38</v>
      </c>
      <c r="G456" s="1" t="n">
        <f aca="false">IF(E456=E455,F456/F455-1,"")</f>
        <v>-0.0393795951253904</v>
      </c>
    </row>
    <row r="457" customFormat="false" ht="14.25" hidden="false" customHeight="true" outlineLevel="0" collapsed="false">
      <c r="A457" s="26" t="n">
        <v>30651</v>
      </c>
      <c r="B457" s="1" t="n">
        <v>1983</v>
      </c>
      <c r="C457" s="1" t="n">
        <v>12</v>
      </c>
      <c r="D457" s="1" t="s">
        <v>53</v>
      </c>
      <c r="E457" s="1" t="s">
        <v>13</v>
      </c>
      <c r="F457" s="1" t="n">
        <v>96.49</v>
      </c>
      <c r="G457" s="1" t="n">
        <f aca="false">IF(E457=E456,F457/F456-1,"")</f>
        <v>0.0116376598867687</v>
      </c>
    </row>
    <row r="458" customFormat="false" ht="14.25" hidden="false" customHeight="true" outlineLevel="0" collapsed="false">
      <c r="A458" s="26" t="n">
        <v>30682</v>
      </c>
      <c r="B458" s="1" t="n">
        <v>1984</v>
      </c>
      <c r="C458" s="1" t="n">
        <v>1</v>
      </c>
      <c r="D458" s="1" t="s">
        <v>42</v>
      </c>
      <c r="E458" s="1" t="s">
        <v>13</v>
      </c>
      <c r="F458" s="1" t="n">
        <v>97.15</v>
      </c>
      <c r="G458" s="1" t="n">
        <f aca="false">IF(E458=E457,F458/F457-1,"")</f>
        <v>0.00684008705565353</v>
      </c>
    </row>
    <row r="459" customFormat="false" ht="14.25" hidden="false" customHeight="true" outlineLevel="0" collapsed="false">
      <c r="A459" s="26" t="n">
        <v>30713</v>
      </c>
      <c r="B459" s="1" t="n">
        <v>1984</v>
      </c>
      <c r="C459" s="1" t="n">
        <v>2</v>
      </c>
      <c r="D459" s="1" t="s">
        <v>43</v>
      </c>
      <c r="E459" s="1" t="s">
        <v>13</v>
      </c>
      <c r="F459" s="1" t="n">
        <v>98.52</v>
      </c>
      <c r="G459" s="1" t="n">
        <f aca="false">IF(E459=E458,F459/F458-1,"")</f>
        <v>0.0141019042717445</v>
      </c>
    </row>
    <row r="460" customFormat="false" ht="14.25" hidden="false" customHeight="true" outlineLevel="0" collapsed="false">
      <c r="A460" s="26" t="n">
        <v>30742</v>
      </c>
      <c r="B460" s="1" t="n">
        <v>1984</v>
      </c>
      <c r="C460" s="1" t="n">
        <v>3</v>
      </c>
      <c r="D460" s="1" t="s">
        <v>44</v>
      </c>
      <c r="E460" s="1" t="s">
        <v>13</v>
      </c>
      <c r="F460" s="1" t="n">
        <v>99.29</v>
      </c>
      <c r="G460" s="1" t="n">
        <f aca="false">IF(E460=E459,F460/F459-1,"")</f>
        <v>0.00781567194478283</v>
      </c>
    </row>
    <row r="461" customFormat="false" ht="14.25" hidden="false" customHeight="true" outlineLevel="0" collapsed="false">
      <c r="A461" s="26" t="n">
        <v>30773</v>
      </c>
      <c r="B461" s="1" t="n">
        <v>1984</v>
      </c>
      <c r="C461" s="1" t="n">
        <v>4</v>
      </c>
      <c r="D461" s="1" t="s">
        <v>45</v>
      </c>
      <c r="E461" s="1" t="s">
        <v>13</v>
      </c>
      <c r="F461" s="1" t="n">
        <v>96.92</v>
      </c>
      <c r="G461" s="1" t="n">
        <f aca="false">IF(E461=E460,F461/F460-1,"")</f>
        <v>-0.0238694732601471</v>
      </c>
    </row>
    <row r="462" customFormat="false" ht="14.25" hidden="false" customHeight="true" outlineLevel="0" collapsed="false">
      <c r="A462" s="26" t="n">
        <v>30803</v>
      </c>
      <c r="B462" s="1" t="n">
        <v>1984</v>
      </c>
      <c r="C462" s="1" t="n">
        <v>5</v>
      </c>
      <c r="D462" s="1" t="s">
        <v>46</v>
      </c>
      <c r="E462" s="1" t="s">
        <v>13</v>
      </c>
      <c r="F462" s="1" t="n">
        <v>98.46</v>
      </c>
      <c r="G462" s="1" t="n">
        <f aca="false">IF(E462=E461,F462/F461-1,"")</f>
        <v>0.0158893933140734</v>
      </c>
    </row>
    <row r="463" customFormat="false" ht="14.25" hidden="false" customHeight="true" outlineLevel="0" collapsed="false">
      <c r="A463" s="26" t="n">
        <v>30834</v>
      </c>
      <c r="B463" s="1" t="n">
        <v>1984</v>
      </c>
      <c r="C463" s="1" t="n">
        <v>6</v>
      </c>
      <c r="D463" s="1" t="s">
        <v>47</v>
      </c>
      <c r="E463" s="1" t="s">
        <v>13</v>
      </c>
      <c r="F463" s="1" t="n">
        <v>94.73</v>
      </c>
      <c r="G463" s="1" t="n">
        <f aca="false">IF(E463=E462,F463/F462-1,"")</f>
        <v>-0.037883404428194</v>
      </c>
    </row>
    <row r="464" customFormat="false" ht="14.25" hidden="false" customHeight="true" outlineLevel="0" collapsed="false">
      <c r="A464" s="26" t="n">
        <v>30864</v>
      </c>
      <c r="B464" s="1" t="n">
        <v>1984</v>
      </c>
      <c r="C464" s="1" t="n">
        <v>7</v>
      </c>
      <c r="D464" s="1" t="s">
        <v>48</v>
      </c>
      <c r="E464" s="1" t="s">
        <v>13</v>
      </c>
      <c r="F464" s="1" t="n">
        <v>87.55</v>
      </c>
      <c r="G464" s="1" t="n">
        <f aca="false">IF(E464=E463,F464/F463-1,"")</f>
        <v>-0.0757943629262114</v>
      </c>
    </row>
    <row r="465" customFormat="false" ht="14.25" hidden="false" customHeight="true" outlineLevel="0" collapsed="false">
      <c r="A465" s="26" t="n">
        <v>30895</v>
      </c>
      <c r="B465" s="1" t="n">
        <v>1984</v>
      </c>
      <c r="C465" s="1" t="n">
        <v>8</v>
      </c>
      <c r="D465" s="1" t="s">
        <v>49</v>
      </c>
      <c r="E465" s="1" t="s">
        <v>13</v>
      </c>
      <c r="F465" s="1" t="n">
        <v>92.36</v>
      </c>
      <c r="G465" s="1" t="n">
        <f aca="false">IF(E465=E464,F465/F464-1,"")</f>
        <v>0.0549400342661337</v>
      </c>
    </row>
    <row r="466" customFormat="false" ht="14.25" hidden="false" customHeight="true" outlineLevel="0" collapsed="false">
      <c r="A466" s="26" t="n">
        <v>30926</v>
      </c>
      <c r="B466" s="1" t="n">
        <v>1984</v>
      </c>
      <c r="C466" s="1" t="n">
        <v>9</v>
      </c>
      <c r="D466" s="1" t="s">
        <v>50</v>
      </c>
      <c r="E466" s="1" t="s">
        <v>13</v>
      </c>
      <c r="F466" s="1" t="n">
        <v>93.28</v>
      </c>
      <c r="G466" s="1" t="n">
        <f aca="false">IF(E466=E465,F466/F465-1,"")</f>
        <v>0.00996102208748373</v>
      </c>
    </row>
    <row r="467" customFormat="false" ht="14.25" hidden="false" customHeight="true" outlineLevel="0" collapsed="false">
      <c r="A467" s="26" t="n">
        <v>30956</v>
      </c>
      <c r="B467" s="1" t="n">
        <v>1984</v>
      </c>
      <c r="C467" s="1" t="n">
        <v>10</v>
      </c>
      <c r="D467" s="1" t="s">
        <v>51</v>
      </c>
      <c r="E467" s="1" t="s">
        <v>13</v>
      </c>
      <c r="F467" s="1" t="n">
        <v>89.25</v>
      </c>
      <c r="G467" s="1" t="n">
        <f aca="false">IF(E467=E466,F467/F466-1,"")</f>
        <v>-0.0432032590051458</v>
      </c>
    </row>
    <row r="468" customFormat="false" ht="14.25" hidden="false" customHeight="true" outlineLevel="0" collapsed="false">
      <c r="A468" s="26" t="n">
        <v>30987</v>
      </c>
      <c r="B468" s="1" t="n">
        <v>1984</v>
      </c>
      <c r="C468" s="1" t="n">
        <v>11</v>
      </c>
      <c r="D468" s="1" t="s">
        <v>52</v>
      </c>
      <c r="E468" s="1" t="s">
        <v>13</v>
      </c>
      <c r="F468" s="1" t="n">
        <v>85.64</v>
      </c>
      <c r="G468" s="1" t="n">
        <f aca="false">IF(E468=E467,F468/F467-1,"")</f>
        <v>-0.0404481792717086</v>
      </c>
    </row>
    <row r="469" customFormat="false" ht="14.25" hidden="false" customHeight="true" outlineLevel="0" collapsed="false">
      <c r="A469" s="26" t="n">
        <v>31017</v>
      </c>
      <c r="B469" s="1" t="n">
        <v>1984</v>
      </c>
      <c r="C469" s="1" t="n">
        <v>12</v>
      </c>
      <c r="D469" s="1" t="s">
        <v>53</v>
      </c>
      <c r="E469" s="1" t="s">
        <v>13</v>
      </c>
      <c r="F469" s="1" t="n">
        <v>82.82</v>
      </c>
      <c r="G469" s="1" t="n">
        <f aca="false">IF(E469=E468,F469/F468-1,"")</f>
        <v>-0.0329285380663242</v>
      </c>
    </row>
    <row r="470" customFormat="false" ht="14.25" hidden="false" customHeight="true" outlineLevel="0" collapsed="false">
      <c r="A470" s="26" t="n">
        <v>31048</v>
      </c>
      <c r="B470" s="1" t="n">
        <v>1985</v>
      </c>
      <c r="C470" s="1" t="n">
        <v>1</v>
      </c>
      <c r="D470" s="1" t="s">
        <v>42</v>
      </c>
      <c r="E470" s="1" t="s">
        <v>13</v>
      </c>
      <c r="F470" s="1" t="n">
        <v>82.66</v>
      </c>
      <c r="G470" s="1" t="n">
        <f aca="false">IF(E470=E469,F470/F469-1,"")</f>
        <v>-0.00193190050712388</v>
      </c>
    </row>
    <row r="471" customFormat="false" ht="14.25" hidden="false" customHeight="true" outlineLevel="0" collapsed="false">
      <c r="A471" s="26" t="n">
        <v>31079</v>
      </c>
      <c r="B471" s="1" t="n">
        <v>1985</v>
      </c>
      <c r="C471" s="1" t="n">
        <v>2</v>
      </c>
      <c r="D471" s="1" t="s">
        <v>43</v>
      </c>
      <c r="E471" s="1" t="s">
        <v>13</v>
      </c>
      <c r="F471" s="1" t="n">
        <v>83.27</v>
      </c>
      <c r="G471" s="1" t="n">
        <f aca="false">IF(E471=E470,F471/F470-1,"")</f>
        <v>0.00737962738930564</v>
      </c>
    </row>
    <row r="472" customFormat="false" ht="14.25" hidden="false" customHeight="true" outlineLevel="0" collapsed="false">
      <c r="A472" s="26" t="n">
        <v>31107</v>
      </c>
      <c r="B472" s="1" t="n">
        <v>1985</v>
      </c>
      <c r="C472" s="1" t="n">
        <v>3</v>
      </c>
      <c r="D472" s="1" t="s">
        <v>44</v>
      </c>
      <c r="E472" s="1" t="s">
        <v>13</v>
      </c>
      <c r="F472" s="1" t="n">
        <v>87.8</v>
      </c>
      <c r="G472" s="1" t="n">
        <f aca="false">IF(E472=E471,F472/F471-1,"")</f>
        <v>0.0544013450222169</v>
      </c>
    </row>
    <row r="473" customFormat="false" ht="14.25" hidden="false" customHeight="true" outlineLevel="0" collapsed="false">
      <c r="A473" s="26" t="n">
        <v>31138</v>
      </c>
      <c r="B473" s="1" t="n">
        <v>1985</v>
      </c>
      <c r="C473" s="1" t="n">
        <v>4</v>
      </c>
      <c r="D473" s="1" t="s">
        <v>45</v>
      </c>
      <c r="E473" s="1" t="s">
        <v>13</v>
      </c>
      <c r="F473" s="1" t="n">
        <v>85.35</v>
      </c>
      <c r="G473" s="1" t="n">
        <f aca="false">IF(E473=E472,F473/F472-1,"")</f>
        <v>-0.0279043280182233</v>
      </c>
    </row>
    <row r="474" customFormat="false" ht="14.25" hidden="false" customHeight="true" outlineLevel="0" collapsed="false">
      <c r="A474" s="26" t="n">
        <v>31168</v>
      </c>
      <c r="B474" s="1" t="n">
        <v>1985</v>
      </c>
      <c r="C474" s="1" t="n">
        <v>5</v>
      </c>
      <c r="D474" s="1" t="s">
        <v>46</v>
      </c>
      <c r="E474" s="1" t="s">
        <v>13</v>
      </c>
      <c r="F474" s="1" t="n">
        <v>85.68</v>
      </c>
      <c r="G474" s="1" t="n">
        <f aca="false">IF(E474=E473,F474/F473-1,"")</f>
        <v>0.00386643233743422</v>
      </c>
    </row>
    <row r="475" customFormat="false" ht="14.25" hidden="false" customHeight="true" outlineLevel="0" collapsed="false">
      <c r="A475" s="26" t="n">
        <v>31199</v>
      </c>
      <c r="B475" s="1" t="n">
        <v>1985</v>
      </c>
      <c r="C475" s="1" t="n">
        <v>6</v>
      </c>
      <c r="D475" s="1" t="s">
        <v>47</v>
      </c>
      <c r="E475" s="1" t="s">
        <v>13</v>
      </c>
      <c r="F475" s="1" t="n">
        <v>82.46</v>
      </c>
      <c r="G475" s="1" t="n">
        <f aca="false">IF(E475=E474,F475/F474-1,"")</f>
        <v>-0.0375816993464054</v>
      </c>
    </row>
    <row r="476" customFormat="false" ht="14.25" hidden="false" customHeight="true" outlineLevel="0" collapsed="false">
      <c r="A476" s="26" t="n">
        <v>31229</v>
      </c>
      <c r="B476" s="1" t="n">
        <v>1985</v>
      </c>
      <c r="C476" s="1" t="n">
        <v>7</v>
      </c>
      <c r="D476" s="1" t="s">
        <v>48</v>
      </c>
      <c r="E476" s="1" t="s">
        <v>13</v>
      </c>
      <c r="F476" s="1" t="n">
        <v>83.07</v>
      </c>
      <c r="G476" s="1" t="n">
        <f aca="false">IF(E476=E475,F476/F475-1,"")</f>
        <v>0.00739752607324773</v>
      </c>
    </row>
    <row r="477" customFormat="false" ht="14.25" hidden="false" customHeight="true" outlineLevel="0" collapsed="false">
      <c r="A477" s="26" t="n">
        <v>31260</v>
      </c>
      <c r="B477" s="1" t="n">
        <v>1985</v>
      </c>
      <c r="C477" s="1" t="n">
        <v>8</v>
      </c>
      <c r="D477" s="1" t="s">
        <v>49</v>
      </c>
      <c r="E477" s="1" t="s">
        <v>13</v>
      </c>
      <c r="F477" s="1" t="n">
        <v>85.86</v>
      </c>
      <c r="G477" s="1" t="n">
        <f aca="false">IF(E477=E476,F477/F476-1,"")</f>
        <v>0.0335861321776816</v>
      </c>
    </row>
    <row r="478" customFormat="false" ht="14.25" hidden="false" customHeight="true" outlineLevel="0" collapsed="false">
      <c r="A478" s="26" t="n">
        <v>31291</v>
      </c>
      <c r="B478" s="1" t="n">
        <v>1985</v>
      </c>
      <c r="C478" s="1" t="n">
        <v>9</v>
      </c>
      <c r="D478" s="1" t="s">
        <v>50</v>
      </c>
      <c r="E478" s="1" t="s">
        <v>13</v>
      </c>
      <c r="F478" s="1" t="n">
        <v>88.67</v>
      </c>
      <c r="G478" s="1" t="n">
        <f aca="false">IF(E478=E477,F478/F477-1,"")</f>
        <v>0.032727696249709</v>
      </c>
    </row>
    <row r="479" customFormat="false" ht="14.25" hidden="false" customHeight="true" outlineLevel="0" collapsed="false">
      <c r="A479" s="26" t="n">
        <v>31321</v>
      </c>
      <c r="B479" s="1" t="n">
        <v>1985</v>
      </c>
      <c r="C479" s="1" t="n">
        <v>10</v>
      </c>
      <c r="D479" s="1" t="s">
        <v>51</v>
      </c>
      <c r="E479" s="1" t="s">
        <v>13</v>
      </c>
      <c r="F479" s="1" t="n">
        <v>92.29</v>
      </c>
      <c r="G479" s="1" t="n">
        <f aca="false">IF(E479=E478,F479/F478-1,"")</f>
        <v>0.040825532874704</v>
      </c>
    </row>
    <row r="480" customFormat="false" ht="14.25" hidden="false" customHeight="true" outlineLevel="0" collapsed="false">
      <c r="A480" s="26" t="n">
        <v>31352</v>
      </c>
      <c r="B480" s="1" t="n">
        <v>1985</v>
      </c>
      <c r="C480" s="1" t="n">
        <v>11</v>
      </c>
      <c r="D480" s="1" t="s">
        <v>52</v>
      </c>
      <c r="E480" s="1" t="s">
        <v>13</v>
      </c>
      <c r="F480" s="1" t="n">
        <v>90.13</v>
      </c>
      <c r="G480" s="1" t="n">
        <f aca="false">IF(E480=E479,F480/F479-1,"")</f>
        <v>-0.0234044858597899</v>
      </c>
    </row>
    <row r="481" customFormat="false" ht="14.25" hidden="false" customHeight="true" outlineLevel="0" collapsed="false">
      <c r="A481" s="26" t="n">
        <v>31382</v>
      </c>
      <c r="B481" s="1" t="n">
        <v>1985</v>
      </c>
      <c r="C481" s="1" t="n">
        <v>12</v>
      </c>
      <c r="D481" s="1" t="s">
        <v>53</v>
      </c>
      <c r="E481" s="1" t="s">
        <v>13</v>
      </c>
      <c r="F481" s="1" t="n">
        <v>79.46</v>
      </c>
      <c r="G481" s="1" t="n">
        <f aca="false">IF(E481=E480,F481/F480-1,"")</f>
        <v>-0.118384555641851</v>
      </c>
    </row>
    <row r="482" customFormat="false" ht="14.25" hidden="false" customHeight="true" outlineLevel="0" collapsed="false">
      <c r="A482" s="26" t="n">
        <v>31413</v>
      </c>
      <c r="B482" s="1" t="n">
        <v>1986</v>
      </c>
      <c r="C482" s="1" t="n">
        <v>1</v>
      </c>
      <c r="D482" s="1" t="s">
        <v>42</v>
      </c>
      <c r="E482" s="1" t="s">
        <v>13</v>
      </c>
      <c r="F482" s="1" t="n">
        <v>57.09</v>
      </c>
      <c r="G482" s="1" t="n">
        <f aca="false">IF(E482=E481,F482/F481-1,"")</f>
        <v>-0.281525295746287</v>
      </c>
    </row>
    <row r="483" customFormat="false" ht="14.25" hidden="false" customHeight="true" outlineLevel="0" collapsed="false">
      <c r="A483" s="26" t="n">
        <v>31444</v>
      </c>
      <c r="B483" s="1" t="n">
        <v>1986</v>
      </c>
      <c r="C483" s="1" t="n">
        <v>2</v>
      </c>
      <c r="D483" s="1" t="s">
        <v>43</v>
      </c>
      <c r="E483" s="1" t="s">
        <v>13</v>
      </c>
      <c r="F483" s="1" t="n">
        <v>39.97</v>
      </c>
      <c r="G483" s="1" t="n">
        <f aca="false">IF(E483=E482,F483/F482-1,"")</f>
        <v>-0.299877386582589</v>
      </c>
    </row>
    <row r="484" customFormat="false" ht="14.25" hidden="false" customHeight="true" outlineLevel="0" collapsed="false">
      <c r="A484" s="26" t="n">
        <v>31472</v>
      </c>
      <c r="B484" s="1" t="n">
        <v>1986</v>
      </c>
      <c r="C484" s="1" t="n">
        <v>3</v>
      </c>
      <c r="D484" s="1" t="s">
        <v>44</v>
      </c>
      <c r="E484" s="1" t="s">
        <v>13</v>
      </c>
      <c r="F484" s="1" t="n">
        <v>31.11</v>
      </c>
      <c r="G484" s="1" t="n">
        <f aca="false">IF(E484=E483,F484/F483-1,"")</f>
        <v>-0.221666249687265</v>
      </c>
    </row>
    <row r="485" customFormat="false" ht="14.25" hidden="false" customHeight="true" outlineLevel="0" collapsed="false">
      <c r="A485" s="26" t="n">
        <v>31503</v>
      </c>
      <c r="B485" s="1" t="n">
        <v>1986</v>
      </c>
      <c r="C485" s="1" t="n">
        <v>4</v>
      </c>
      <c r="D485" s="1" t="s">
        <v>45</v>
      </c>
      <c r="E485" s="1" t="s">
        <v>13</v>
      </c>
      <c r="F485" s="1" t="n">
        <v>40.68</v>
      </c>
      <c r="G485" s="1" t="n">
        <f aca="false">IF(E485=E484,F485/F484-1,"")</f>
        <v>0.307618129218901</v>
      </c>
    </row>
    <row r="486" customFormat="false" ht="14.25" hidden="false" customHeight="true" outlineLevel="0" collapsed="false">
      <c r="A486" s="26" t="n">
        <v>31533</v>
      </c>
      <c r="B486" s="1" t="n">
        <v>1986</v>
      </c>
      <c r="C486" s="1" t="n">
        <v>5</v>
      </c>
      <c r="D486" s="1" t="s">
        <v>46</v>
      </c>
      <c r="E486" s="1" t="s">
        <v>13</v>
      </c>
      <c r="F486" s="1" t="n">
        <v>43.36</v>
      </c>
      <c r="G486" s="1" t="n">
        <f aca="false">IF(E486=E485,F486/F485-1,"")</f>
        <v>0.0658800393313668</v>
      </c>
    </row>
    <row r="487" customFormat="false" ht="14.25" hidden="false" customHeight="true" outlineLevel="0" collapsed="false">
      <c r="A487" s="26" t="n">
        <v>31564</v>
      </c>
      <c r="B487" s="1" t="n">
        <v>1986</v>
      </c>
      <c r="C487" s="1" t="n">
        <v>6</v>
      </c>
      <c r="D487" s="1" t="s">
        <v>47</v>
      </c>
      <c r="E487" s="1" t="s">
        <v>13</v>
      </c>
      <c r="F487" s="1" t="n">
        <v>38.6</v>
      </c>
      <c r="G487" s="1" t="n">
        <f aca="false">IF(E487=E486,F487/F486-1,"")</f>
        <v>-0.109778597785978</v>
      </c>
    </row>
    <row r="488" customFormat="false" ht="14.25" hidden="false" customHeight="true" outlineLevel="0" collapsed="false">
      <c r="A488" s="26" t="n">
        <v>31594</v>
      </c>
      <c r="B488" s="1" t="n">
        <v>1986</v>
      </c>
      <c r="C488" s="1" t="n">
        <v>7</v>
      </c>
      <c r="D488" s="1" t="s">
        <v>48</v>
      </c>
      <c r="E488" s="1" t="s">
        <v>13</v>
      </c>
      <c r="F488" s="1" t="n">
        <v>33.87</v>
      </c>
      <c r="G488" s="1" t="n">
        <f aca="false">IF(E488=E487,F488/F487-1,"")</f>
        <v>-0.122538860103627</v>
      </c>
    </row>
    <row r="489" customFormat="false" ht="14.25" hidden="false" customHeight="true" outlineLevel="0" collapsed="false">
      <c r="A489" s="26" t="n">
        <v>31625</v>
      </c>
      <c r="B489" s="1" t="n">
        <v>1986</v>
      </c>
      <c r="C489" s="1" t="n">
        <v>8</v>
      </c>
      <c r="D489" s="1" t="s">
        <v>49</v>
      </c>
      <c r="E489" s="1" t="s">
        <v>13</v>
      </c>
      <c r="F489" s="1" t="n">
        <v>47.95</v>
      </c>
      <c r="G489" s="1" t="n">
        <f aca="false">IF(E489=E488,F489/F488-1,"")</f>
        <v>0.415707115441394</v>
      </c>
    </row>
    <row r="490" customFormat="false" ht="14.25" hidden="false" customHeight="true" outlineLevel="0" collapsed="false">
      <c r="A490" s="26" t="n">
        <v>31656</v>
      </c>
      <c r="B490" s="1" t="n">
        <v>1986</v>
      </c>
      <c r="C490" s="1" t="n">
        <v>9</v>
      </c>
      <c r="D490" s="1" t="s">
        <v>50</v>
      </c>
      <c r="E490" s="1" t="s">
        <v>13</v>
      </c>
      <c r="F490" s="1" t="n">
        <v>44.05</v>
      </c>
      <c r="G490" s="1" t="n">
        <f aca="false">IF(E490=E489,F490/F489-1,"")</f>
        <v>-0.0813347236704902</v>
      </c>
    </row>
    <row r="491" customFormat="false" ht="14.25" hidden="false" customHeight="true" outlineLevel="0" collapsed="false">
      <c r="A491" s="26" t="n">
        <v>31686</v>
      </c>
      <c r="B491" s="1" t="n">
        <v>1986</v>
      </c>
      <c r="C491" s="1" t="n">
        <v>10</v>
      </c>
      <c r="D491" s="1" t="s">
        <v>51</v>
      </c>
      <c r="E491" s="1" t="s">
        <v>13</v>
      </c>
      <c r="F491" s="1" t="n">
        <v>45.66</v>
      </c>
      <c r="G491" s="1" t="n">
        <f aca="false">IF(E491=E490,F491/F490-1,"")</f>
        <v>0.0365493757094211</v>
      </c>
    </row>
    <row r="492" customFormat="false" ht="14.25" hidden="false" customHeight="true" outlineLevel="0" collapsed="false">
      <c r="A492" s="26" t="n">
        <v>31717</v>
      </c>
      <c r="B492" s="1" t="n">
        <v>1986</v>
      </c>
      <c r="C492" s="1" t="n">
        <v>11</v>
      </c>
      <c r="D492" s="1" t="s">
        <v>52</v>
      </c>
      <c r="E492" s="1" t="s">
        <v>13</v>
      </c>
      <c r="F492" s="1" t="n">
        <v>44.87</v>
      </c>
      <c r="G492" s="1" t="n">
        <f aca="false">IF(E492=E491,F492/F491-1,"")</f>
        <v>-0.0173017958826106</v>
      </c>
    </row>
    <row r="493" customFormat="false" ht="14.25" hidden="false" customHeight="true" outlineLevel="0" collapsed="false">
      <c r="A493" s="26" t="n">
        <v>31747</v>
      </c>
      <c r="B493" s="1" t="n">
        <v>1986</v>
      </c>
      <c r="C493" s="1" t="n">
        <v>12</v>
      </c>
      <c r="D493" s="1" t="s">
        <v>53</v>
      </c>
      <c r="E493" s="1" t="s">
        <v>13</v>
      </c>
      <c r="F493" s="1" t="n">
        <v>53.58</v>
      </c>
      <c r="G493" s="1" t="n">
        <f aca="false">IF(E493=E492,F493/F492-1,"")</f>
        <v>0.194116336082015</v>
      </c>
    </row>
    <row r="494" customFormat="false" ht="14.25" hidden="false" customHeight="true" outlineLevel="0" collapsed="false">
      <c r="A494" s="26" t="n">
        <v>31778</v>
      </c>
      <c r="B494" s="1" t="n">
        <v>1987</v>
      </c>
      <c r="C494" s="1" t="n">
        <v>1</v>
      </c>
      <c r="D494" s="1" t="s">
        <v>42</v>
      </c>
      <c r="E494" s="1" t="s">
        <v>13</v>
      </c>
      <c r="F494" s="1" t="n">
        <v>55.62</v>
      </c>
      <c r="G494" s="1" t="n">
        <f aca="false">IF(E494=E493,F494/F493-1,"")</f>
        <v>0.0380739081746921</v>
      </c>
    </row>
    <row r="495" customFormat="false" ht="14.25" hidden="false" customHeight="true" outlineLevel="0" collapsed="false">
      <c r="A495" s="26" t="n">
        <v>31809</v>
      </c>
      <c r="B495" s="1" t="n">
        <v>1987</v>
      </c>
      <c r="C495" s="1" t="n">
        <v>2</v>
      </c>
      <c r="D495" s="1" t="s">
        <v>43</v>
      </c>
      <c r="E495" s="1" t="s">
        <v>13</v>
      </c>
      <c r="F495" s="1" t="n">
        <v>48.67</v>
      </c>
      <c r="G495" s="1" t="n">
        <f aca="false">IF(E495=E494,F495/F494-1,"")</f>
        <v>-0.124955052139518</v>
      </c>
    </row>
    <row r="496" customFormat="false" ht="14.25" hidden="false" customHeight="true" outlineLevel="0" collapsed="false">
      <c r="A496" s="26" t="n">
        <v>31837</v>
      </c>
      <c r="B496" s="1" t="n">
        <v>1987</v>
      </c>
      <c r="C496" s="1" t="n">
        <v>3</v>
      </c>
      <c r="D496" s="1" t="s">
        <v>44</v>
      </c>
      <c r="E496" s="1" t="s">
        <v>13</v>
      </c>
      <c r="F496" s="1" t="n">
        <v>55.44</v>
      </c>
      <c r="G496" s="1" t="n">
        <f aca="false">IF(E496=E495,F496/F495-1,"")</f>
        <v>0.139100061639614</v>
      </c>
    </row>
    <row r="497" customFormat="false" ht="14.25" hidden="false" customHeight="true" outlineLevel="0" collapsed="false">
      <c r="A497" s="26" t="n">
        <v>31868</v>
      </c>
      <c r="B497" s="1" t="n">
        <v>1987</v>
      </c>
      <c r="C497" s="1" t="n">
        <v>4</v>
      </c>
      <c r="D497" s="1" t="s">
        <v>45</v>
      </c>
      <c r="E497" s="1" t="s">
        <v>13</v>
      </c>
      <c r="F497" s="1" t="n">
        <v>54.97</v>
      </c>
      <c r="G497" s="1" t="n">
        <f aca="false">IF(E497=E496,F497/F496-1,"")</f>
        <v>-0.00847763347763342</v>
      </c>
    </row>
    <row r="498" customFormat="false" ht="14.25" hidden="false" customHeight="true" outlineLevel="0" collapsed="false">
      <c r="A498" s="26" t="n">
        <v>31898</v>
      </c>
      <c r="B498" s="1" t="n">
        <v>1987</v>
      </c>
      <c r="C498" s="1" t="n">
        <v>5</v>
      </c>
      <c r="D498" s="1" t="s">
        <v>46</v>
      </c>
      <c r="E498" s="1" t="s">
        <v>13</v>
      </c>
      <c r="F498" s="1" t="n">
        <v>56.52</v>
      </c>
      <c r="G498" s="1" t="n">
        <f aca="false">IF(E498=E497,F498/F497-1,"")</f>
        <v>0.0281971984718938</v>
      </c>
    </row>
    <row r="499" customFormat="false" ht="14.25" hidden="false" customHeight="true" outlineLevel="0" collapsed="false">
      <c r="A499" s="26" t="n">
        <v>31929</v>
      </c>
      <c r="B499" s="1" t="n">
        <v>1987</v>
      </c>
      <c r="C499" s="1" t="n">
        <v>6</v>
      </c>
      <c r="D499" s="1" t="s">
        <v>47</v>
      </c>
      <c r="E499" s="1" t="s">
        <v>13</v>
      </c>
      <c r="F499" s="1" t="n">
        <v>58.83</v>
      </c>
      <c r="G499" s="1" t="n">
        <f aca="false">IF(E499=E498,F499/F498-1,"")</f>
        <v>0.0408704883227176</v>
      </c>
    </row>
    <row r="500" customFormat="false" ht="14.25" hidden="false" customHeight="true" outlineLevel="0" collapsed="false">
      <c r="A500" s="26" t="n">
        <v>31959</v>
      </c>
      <c r="B500" s="1" t="n">
        <v>1987</v>
      </c>
      <c r="C500" s="1" t="n">
        <v>7</v>
      </c>
      <c r="D500" s="1" t="s">
        <v>48</v>
      </c>
      <c r="E500" s="1" t="s">
        <v>13</v>
      </c>
      <c r="F500" s="1" t="n">
        <v>62.18</v>
      </c>
      <c r="G500" s="1" t="n">
        <f aca="false">IF(E500=E499,F500/F499-1,"")</f>
        <v>0.0569437361890193</v>
      </c>
    </row>
    <row r="501" customFormat="false" ht="14.25" hidden="false" customHeight="true" outlineLevel="0" collapsed="false">
      <c r="A501" s="26" t="n">
        <v>31990</v>
      </c>
      <c r="B501" s="1" t="n">
        <v>1987</v>
      </c>
      <c r="C501" s="1" t="n">
        <v>8</v>
      </c>
      <c r="D501" s="1" t="s">
        <v>49</v>
      </c>
      <c r="E501" s="1" t="s">
        <v>13</v>
      </c>
      <c r="F501" s="1" t="n">
        <v>57.04</v>
      </c>
      <c r="G501" s="1" t="n">
        <f aca="false">IF(E501=E500,F501/F500-1,"")</f>
        <v>-0.0826632357671278</v>
      </c>
    </row>
    <row r="502" customFormat="false" ht="14.25" hidden="false" customHeight="true" outlineLevel="0" collapsed="false">
      <c r="A502" s="26" t="n">
        <v>32021</v>
      </c>
      <c r="B502" s="1" t="n">
        <v>1987</v>
      </c>
      <c r="C502" s="1" t="n">
        <v>9</v>
      </c>
      <c r="D502" s="1" t="s">
        <v>50</v>
      </c>
      <c r="E502" s="1" t="s">
        <v>13</v>
      </c>
      <c r="F502" s="1" t="n">
        <v>56.34</v>
      </c>
      <c r="G502" s="1" t="n">
        <f aca="false">IF(E502=E501,F502/F501-1,"")</f>
        <v>-0.0122720897615708</v>
      </c>
    </row>
    <row r="503" customFormat="false" ht="14.25" hidden="false" customHeight="true" outlineLevel="0" collapsed="false">
      <c r="A503" s="26" t="n">
        <v>32051</v>
      </c>
      <c r="B503" s="1" t="n">
        <v>1987</v>
      </c>
      <c r="C503" s="1" t="n">
        <v>10</v>
      </c>
      <c r="D503" s="1" t="s">
        <v>51</v>
      </c>
      <c r="E503" s="1" t="s">
        <v>13</v>
      </c>
      <c r="F503" s="1" t="n">
        <v>57.16</v>
      </c>
      <c r="G503" s="1" t="n">
        <f aca="false">IF(E503=E502,F503/F502-1,"")</f>
        <v>0.0145544905928292</v>
      </c>
    </row>
    <row r="504" customFormat="false" ht="14.25" hidden="false" customHeight="true" outlineLevel="0" collapsed="false">
      <c r="A504" s="26" t="n">
        <v>32082</v>
      </c>
      <c r="B504" s="1" t="n">
        <v>1987</v>
      </c>
      <c r="C504" s="1" t="n">
        <v>11</v>
      </c>
      <c r="D504" s="1" t="s">
        <v>52</v>
      </c>
      <c r="E504" s="1" t="s">
        <v>13</v>
      </c>
      <c r="F504" s="1" t="n">
        <v>52.99</v>
      </c>
      <c r="G504" s="1" t="n">
        <f aca="false">IF(E504=E503,F504/F503-1,"")</f>
        <v>-0.0729531140657802</v>
      </c>
    </row>
    <row r="505" customFormat="false" ht="14.25" hidden="false" customHeight="true" outlineLevel="0" collapsed="false">
      <c r="A505" s="26" t="n">
        <v>32112</v>
      </c>
      <c r="B505" s="1" t="n">
        <v>1987</v>
      </c>
      <c r="C505" s="1" t="n">
        <v>12</v>
      </c>
      <c r="D505" s="1" t="s">
        <v>53</v>
      </c>
      <c r="E505" s="1" t="s">
        <v>13</v>
      </c>
      <c r="F505" s="1" t="n">
        <v>47.9</v>
      </c>
      <c r="G505" s="1" t="n">
        <f aca="false">IF(E505=E504,F505/F504-1,"")</f>
        <v>-0.0960558595961503</v>
      </c>
    </row>
    <row r="506" customFormat="false" ht="14.25" hidden="false" customHeight="true" outlineLevel="0" collapsed="false">
      <c r="A506" s="26" t="n">
        <v>32143</v>
      </c>
      <c r="B506" s="1" t="n">
        <v>1988</v>
      </c>
      <c r="C506" s="1" t="n">
        <v>1</v>
      </c>
      <c r="D506" s="1" t="s">
        <v>42</v>
      </c>
      <c r="E506" s="1" t="s">
        <v>13</v>
      </c>
      <c r="F506" s="1" t="n">
        <v>48.43</v>
      </c>
      <c r="G506" s="1" t="n">
        <f aca="false">IF(E506=E505,F506/F505-1,"")</f>
        <v>0.0110647181628394</v>
      </c>
    </row>
    <row r="507" customFormat="false" ht="14.25" hidden="false" customHeight="true" outlineLevel="0" collapsed="false">
      <c r="A507" s="26" t="n">
        <v>32174</v>
      </c>
      <c r="B507" s="1" t="n">
        <v>1988</v>
      </c>
      <c r="C507" s="1" t="n">
        <v>2</v>
      </c>
      <c r="D507" s="1" t="s">
        <v>43</v>
      </c>
      <c r="E507" s="1" t="s">
        <v>13</v>
      </c>
      <c r="F507" s="1" t="n">
        <v>45.49</v>
      </c>
      <c r="G507" s="1" t="n">
        <f aca="false">IF(E507=E506,F507/F506-1,"")</f>
        <v>-0.0607061738591782</v>
      </c>
    </row>
    <row r="508" customFormat="false" ht="14.25" hidden="false" customHeight="true" outlineLevel="0" collapsed="false">
      <c r="A508" s="26" t="n">
        <v>32203</v>
      </c>
      <c r="B508" s="1" t="n">
        <v>1988</v>
      </c>
      <c r="C508" s="1" t="n">
        <v>3</v>
      </c>
      <c r="D508" s="1" t="s">
        <v>44</v>
      </c>
      <c r="E508" s="1" t="s">
        <v>13</v>
      </c>
      <c r="F508" s="1" t="n">
        <v>48.44</v>
      </c>
      <c r="G508" s="1" t="n">
        <f aca="false">IF(E508=E507,F508/F507-1,"")</f>
        <v>0.0648494174543854</v>
      </c>
    </row>
    <row r="509" customFormat="false" ht="14.25" hidden="false" customHeight="true" outlineLevel="0" collapsed="false">
      <c r="A509" s="26" t="n">
        <v>32234</v>
      </c>
      <c r="B509" s="1" t="n">
        <v>1988</v>
      </c>
      <c r="C509" s="1" t="n">
        <v>4</v>
      </c>
      <c r="D509" s="1" t="s">
        <v>45</v>
      </c>
      <c r="E509" s="1" t="s">
        <v>13</v>
      </c>
      <c r="F509" s="1" t="n">
        <v>51.04</v>
      </c>
      <c r="G509" s="1" t="n">
        <f aca="false">IF(E509=E508,F509/F508-1,"")</f>
        <v>0.0536746490503717</v>
      </c>
    </row>
    <row r="510" customFormat="false" ht="14.25" hidden="false" customHeight="true" outlineLevel="0" collapsed="false">
      <c r="A510" s="26" t="n">
        <v>32264</v>
      </c>
      <c r="B510" s="1" t="n">
        <v>1988</v>
      </c>
      <c r="C510" s="1" t="n">
        <v>5</v>
      </c>
      <c r="D510" s="1" t="s">
        <v>46</v>
      </c>
      <c r="E510" s="1" t="s">
        <v>13</v>
      </c>
      <c r="F510" s="1" t="n">
        <v>49.29</v>
      </c>
      <c r="G510" s="1" t="n">
        <f aca="false">IF(E510=E509,F510/F509-1,"")</f>
        <v>-0.0342868338557993</v>
      </c>
    </row>
    <row r="511" customFormat="false" ht="14.25" hidden="false" customHeight="true" outlineLevel="0" collapsed="false">
      <c r="A511" s="26" t="n">
        <v>32295</v>
      </c>
      <c r="B511" s="1" t="n">
        <v>1988</v>
      </c>
      <c r="C511" s="1" t="n">
        <v>6</v>
      </c>
      <c r="D511" s="1" t="s">
        <v>47</v>
      </c>
      <c r="E511" s="1" t="s">
        <v>13</v>
      </c>
      <c r="F511" s="1" t="n">
        <v>42.54</v>
      </c>
      <c r="G511" s="1" t="n">
        <f aca="false">IF(E511=E510,F511/F510-1,"")</f>
        <v>-0.136944613511868</v>
      </c>
    </row>
    <row r="512" customFormat="false" ht="14.25" hidden="false" customHeight="true" outlineLevel="0" collapsed="false">
      <c r="A512" s="26" t="n">
        <v>32325</v>
      </c>
      <c r="B512" s="1" t="n">
        <v>1988</v>
      </c>
      <c r="C512" s="1" t="n">
        <v>7</v>
      </c>
      <c r="D512" s="1" t="s">
        <v>48</v>
      </c>
      <c r="E512" s="1" t="s">
        <v>13</v>
      </c>
      <c r="F512" s="1" t="n">
        <v>45.62</v>
      </c>
      <c r="G512" s="1" t="n">
        <f aca="false">IF(E512=E511,F512/F511-1,"")</f>
        <v>0.0724024447578748</v>
      </c>
    </row>
    <row r="513" customFormat="false" ht="14.25" hidden="false" customHeight="true" outlineLevel="0" collapsed="false">
      <c r="A513" s="26" t="n">
        <v>32356</v>
      </c>
      <c r="B513" s="1" t="n">
        <v>1988</v>
      </c>
      <c r="C513" s="1" t="n">
        <v>8</v>
      </c>
      <c r="D513" s="1" t="s">
        <v>49</v>
      </c>
      <c r="E513" s="1" t="s">
        <v>13</v>
      </c>
      <c r="F513" s="1" t="n">
        <v>42.15</v>
      </c>
      <c r="G513" s="1" t="n">
        <f aca="false">IF(E513=E512,F513/F512-1,"")</f>
        <v>-0.0760631302060499</v>
      </c>
    </row>
    <row r="514" customFormat="false" ht="14.25" hidden="false" customHeight="true" outlineLevel="0" collapsed="false">
      <c r="A514" s="26" t="n">
        <v>32387</v>
      </c>
      <c r="B514" s="1" t="n">
        <v>1988</v>
      </c>
      <c r="C514" s="1" t="n">
        <v>9</v>
      </c>
      <c r="D514" s="1" t="s">
        <v>50</v>
      </c>
      <c r="E514" s="1" t="s">
        <v>13</v>
      </c>
      <c r="F514" s="1" t="n">
        <v>36.74</v>
      </c>
      <c r="G514" s="1" t="n">
        <f aca="false">IF(E514=E513,F514/F513-1,"")</f>
        <v>-0.128351126927639</v>
      </c>
    </row>
    <row r="515" customFormat="false" ht="14.25" hidden="false" customHeight="true" outlineLevel="0" collapsed="false">
      <c r="A515" s="26" t="n">
        <v>32417</v>
      </c>
      <c r="B515" s="1" t="n">
        <v>1988</v>
      </c>
      <c r="C515" s="1" t="n">
        <v>10</v>
      </c>
      <c r="D515" s="1" t="s">
        <v>51</v>
      </c>
      <c r="E515" s="1" t="s">
        <v>13</v>
      </c>
      <c r="F515" s="1" t="n">
        <v>37.2</v>
      </c>
      <c r="G515" s="1" t="n">
        <f aca="false">IF(E515=E514,F515/F514-1,"")</f>
        <v>0.0125204137180186</v>
      </c>
    </row>
    <row r="516" customFormat="false" ht="14.25" hidden="false" customHeight="true" outlineLevel="0" collapsed="false">
      <c r="A516" s="26" t="n">
        <v>32448</v>
      </c>
      <c r="B516" s="1" t="n">
        <v>1988</v>
      </c>
      <c r="C516" s="1" t="n">
        <v>11</v>
      </c>
      <c r="D516" s="1" t="s">
        <v>52</v>
      </c>
      <c r="E516" s="1" t="s">
        <v>13</v>
      </c>
      <c r="F516" s="1" t="n">
        <v>42.33</v>
      </c>
      <c r="G516" s="1" t="n">
        <f aca="false">IF(E516=E515,F516/F515-1,"")</f>
        <v>0.137903225806451</v>
      </c>
    </row>
    <row r="517" customFormat="false" ht="14.25" hidden="false" customHeight="true" outlineLevel="0" collapsed="false">
      <c r="A517" s="26" t="n">
        <v>32478</v>
      </c>
      <c r="B517" s="1" t="n">
        <v>1988</v>
      </c>
      <c r="C517" s="1" t="n">
        <v>12</v>
      </c>
      <c r="D517" s="1" t="s">
        <v>53</v>
      </c>
      <c r="E517" s="1" t="s">
        <v>13</v>
      </c>
      <c r="F517" s="1" t="n">
        <v>46.91</v>
      </c>
      <c r="G517" s="1" t="n">
        <f aca="false">IF(E517=E516,F517/F516-1,"")</f>
        <v>0.108197495865816</v>
      </c>
    </row>
    <row r="518" customFormat="false" ht="14.25" hidden="false" customHeight="true" outlineLevel="0" collapsed="false">
      <c r="A518" s="26" t="n">
        <v>32509</v>
      </c>
      <c r="B518" s="1" t="n">
        <v>1989</v>
      </c>
      <c r="C518" s="1" t="n">
        <v>1</v>
      </c>
      <c r="D518" s="1" t="s">
        <v>42</v>
      </c>
      <c r="E518" s="1" t="s">
        <v>13</v>
      </c>
      <c r="F518" s="1" t="n">
        <v>46.36</v>
      </c>
      <c r="G518" s="1" t="n">
        <f aca="false">IF(E518=E517,F518/F517-1,"")</f>
        <v>-0.0117245789810274</v>
      </c>
    </row>
    <row r="519" customFormat="false" ht="14.25" hidden="false" customHeight="true" outlineLevel="0" collapsed="false">
      <c r="A519" s="26" t="n">
        <v>32540</v>
      </c>
      <c r="B519" s="1" t="n">
        <v>1989</v>
      </c>
      <c r="C519" s="1" t="n">
        <v>2</v>
      </c>
      <c r="D519" s="1" t="s">
        <v>43</v>
      </c>
      <c r="E519" s="1" t="s">
        <v>13</v>
      </c>
      <c r="F519" s="1" t="n">
        <v>49.45</v>
      </c>
      <c r="G519" s="1" t="n">
        <f aca="false">IF(E519=E518,F519/F518-1,"")</f>
        <v>0.0666522864538397</v>
      </c>
    </row>
    <row r="520" customFormat="false" ht="14.25" hidden="false" customHeight="true" outlineLevel="0" collapsed="false">
      <c r="A520" s="26" t="n">
        <v>32568</v>
      </c>
      <c r="B520" s="1" t="n">
        <v>1989</v>
      </c>
      <c r="C520" s="1" t="n">
        <v>3</v>
      </c>
      <c r="D520" s="1" t="s">
        <v>44</v>
      </c>
      <c r="E520" s="1" t="s">
        <v>13</v>
      </c>
      <c r="F520" s="1" t="n">
        <v>54.73</v>
      </c>
      <c r="G520" s="1" t="n">
        <f aca="false">IF(E520=E519,F520/F519-1,"")</f>
        <v>0.106774519716886</v>
      </c>
    </row>
    <row r="521" customFormat="false" ht="14.25" hidden="false" customHeight="true" outlineLevel="0" collapsed="false">
      <c r="A521" s="26" t="n">
        <v>32599</v>
      </c>
      <c r="B521" s="1" t="n">
        <v>1989</v>
      </c>
      <c r="C521" s="1" t="n">
        <v>4</v>
      </c>
      <c r="D521" s="1" t="s">
        <v>45</v>
      </c>
      <c r="E521" s="1" t="s">
        <v>13</v>
      </c>
      <c r="F521" s="1" t="n">
        <v>54.67</v>
      </c>
      <c r="G521" s="1" t="n">
        <f aca="false">IF(E521=E520,F521/F520-1,"")</f>
        <v>-0.00109629088251406</v>
      </c>
    </row>
    <row r="522" customFormat="false" ht="14.25" hidden="false" customHeight="true" outlineLevel="0" collapsed="false">
      <c r="A522" s="26" t="n">
        <v>32629</v>
      </c>
      <c r="B522" s="1" t="n">
        <v>1989</v>
      </c>
      <c r="C522" s="1" t="n">
        <v>5</v>
      </c>
      <c r="D522" s="1" t="s">
        <v>46</v>
      </c>
      <c r="E522" s="1" t="s">
        <v>13</v>
      </c>
      <c r="F522" s="1" t="n">
        <v>53.16</v>
      </c>
      <c r="G522" s="1" t="n">
        <f aca="false">IF(E522=E521,F522/F521-1,"")</f>
        <v>-0.0276202670568869</v>
      </c>
    </row>
    <row r="523" customFormat="false" ht="14.25" hidden="false" customHeight="true" outlineLevel="0" collapsed="false">
      <c r="A523" s="26" t="n">
        <v>32660</v>
      </c>
      <c r="B523" s="1" t="n">
        <v>1989</v>
      </c>
      <c r="C523" s="1" t="n">
        <v>6</v>
      </c>
      <c r="D523" s="1" t="s">
        <v>47</v>
      </c>
      <c r="E523" s="1" t="s">
        <v>13</v>
      </c>
      <c r="F523" s="1" t="n">
        <v>53.99</v>
      </c>
      <c r="G523" s="1" t="n">
        <f aca="false">IF(E523=E522,F523/F522-1,"")</f>
        <v>0.0156132430398797</v>
      </c>
    </row>
    <row r="524" customFormat="false" ht="14.25" hidden="false" customHeight="true" outlineLevel="0" collapsed="false">
      <c r="A524" s="26" t="n">
        <v>32690</v>
      </c>
      <c r="B524" s="1" t="n">
        <v>1989</v>
      </c>
      <c r="C524" s="1" t="n">
        <v>7</v>
      </c>
      <c r="D524" s="1" t="s">
        <v>48</v>
      </c>
      <c r="E524" s="1" t="s">
        <v>13</v>
      </c>
      <c r="F524" s="1" t="n">
        <v>48.66</v>
      </c>
      <c r="G524" s="1" t="n">
        <f aca="false">IF(E524=E523,F524/F523-1,"")</f>
        <v>-0.0987219855528803</v>
      </c>
    </row>
    <row r="525" customFormat="false" ht="14.25" hidden="false" customHeight="true" outlineLevel="0" collapsed="false">
      <c r="A525" s="26" t="n">
        <v>32721</v>
      </c>
      <c r="B525" s="1" t="n">
        <v>1989</v>
      </c>
      <c r="C525" s="1" t="n">
        <v>8</v>
      </c>
      <c r="D525" s="1" t="s">
        <v>49</v>
      </c>
      <c r="E525" s="1" t="s">
        <v>13</v>
      </c>
      <c r="F525" s="1" t="n">
        <v>49.9</v>
      </c>
      <c r="G525" s="1" t="n">
        <f aca="false">IF(E525=E524,F525/F524-1,"")</f>
        <v>0.0254829428688861</v>
      </c>
    </row>
    <row r="526" customFormat="false" ht="14.25" hidden="false" customHeight="true" outlineLevel="0" collapsed="false">
      <c r="A526" s="26" t="n">
        <v>32752</v>
      </c>
      <c r="B526" s="1" t="n">
        <v>1989</v>
      </c>
      <c r="C526" s="1" t="n">
        <v>9</v>
      </c>
      <c r="D526" s="1" t="s">
        <v>50</v>
      </c>
      <c r="E526" s="1" t="s">
        <v>13</v>
      </c>
      <c r="F526" s="1" t="n">
        <v>53.23</v>
      </c>
      <c r="G526" s="1" t="n">
        <f aca="false">IF(E526=E525,F526/F525-1,"")</f>
        <v>0.0667334669338677</v>
      </c>
    </row>
    <row r="527" customFormat="false" ht="14.25" hidden="false" customHeight="true" outlineLevel="0" collapsed="false">
      <c r="A527" s="26" t="n">
        <v>32782</v>
      </c>
      <c r="B527" s="1" t="n">
        <v>1989</v>
      </c>
      <c r="C527" s="1" t="n">
        <v>10</v>
      </c>
      <c r="D527" s="1" t="s">
        <v>51</v>
      </c>
      <c r="E527" s="1" t="s">
        <v>13</v>
      </c>
      <c r="F527" s="1" t="n">
        <v>52.27</v>
      </c>
      <c r="G527" s="1" t="n">
        <f aca="false">IF(E527=E526,F527/F526-1,"")</f>
        <v>-0.018034942701484</v>
      </c>
    </row>
    <row r="528" customFormat="false" ht="14.25" hidden="false" customHeight="true" outlineLevel="0" collapsed="false">
      <c r="A528" s="26" t="n">
        <v>32813</v>
      </c>
      <c r="B528" s="1" t="n">
        <v>1989</v>
      </c>
      <c r="C528" s="1" t="n">
        <v>11</v>
      </c>
      <c r="D528" s="1" t="s">
        <v>52</v>
      </c>
      <c r="E528" s="1" t="s">
        <v>13</v>
      </c>
      <c r="F528" s="1" t="n">
        <v>52.12</v>
      </c>
      <c r="G528" s="1" t="n">
        <f aca="false">IF(E528=E527,F528/F527-1,"")</f>
        <v>-0.00286971494164923</v>
      </c>
    </row>
    <row r="529" customFormat="false" ht="14.25" hidden="false" customHeight="true" outlineLevel="0" collapsed="false">
      <c r="A529" s="26" t="n">
        <v>32843</v>
      </c>
      <c r="B529" s="1" t="n">
        <v>1989</v>
      </c>
      <c r="C529" s="1" t="n">
        <v>12</v>
      </c>
      <c r="D529" s="1" t="s">
        <v>53</v>
      </c>
      <c r="E529" s="1" t="s">
        <v>13</v>
      </c>
      <c r="F529" s="1" t="n">
        <v>57.19</v>
      </c>
      <c r="G529" s="1" t="n">
        <f aca="false">IF(E529=E528,F529/F528-1,"")</f>
        <v>0.0972755180353031</v>
      </c>
    </row>
    <row r="530" customFormat="false" ht="14.25" hidden="false" customHeight="true" outlineLevel="0" collapsed="false">
      <c r="A530" s="26" t="n">
        <v>32874</v>
      </c>
      <c r="B530" s="1" t="n">
        <v>1990</v>
      </c>
      <c r="C530" s="1" t="n">
        <v>1</v>
      </c>
      <c r="D530" s="1" t="s">
        <v>42</v>
      </c>
      <c r="E530" s="1" t="s">
        <v>13</v>
      </c>
      <c r="F530" s="1" t="n">
        <v>58.81</v>
      </c>
      <c r="G530" s="1" t="n">
        <f aca="false">IF(E530=E529,F530/F529-1,"")</f>
        <v>0.0283266305298129</v>
      </c>
    </row>
    <row r="531" customFormat="false" ht="14.25" hidden="false" customHeight="true" outlineLevel="0" collapsed="false">
      <c r="A531" s="26" t="n">
        <v>32905</v>
      </c>
      <c r="B531" s="1" t="n">
        <v>1990</v>
      </c>
      <c r="C531" s="1" t="n">
        <v>2</v>
      </c>
      <c r="D531" s="1" t="s">
        <v>43</v>
      </c>
      <c r="E531" s="1" t="s">
        <v>13</v>
      </c>
      <c r="F531" s="1" t="n">
        <v>55.59</v>
      </c>
      <c r="G531" s="1" t="n">
        <f aca="false">IF(E531=E530,F531/F530-1,"")</f>
        <v>-0.0547525930964121</v>
      </c>
    </row>
    <row r="532" customFormat="false" ht="14.25" hidden="false" customHeight="true" outlineLevel="0" collapsed="false">
      <c r="A532" s="26" t="n">
        <v>32933</v>
      </c>
      <c r="B532" s="1" t="n">
        <v>1990</v>
      </c>
      <c r="C532" s="1" t="n">
        <v>3</v>
      </c>
      <c r="D532" s="1" t="s">
        <v>44</v>
      </c>
      <c r="E532" s="1" t="s">
        <v>13</v>
      </c>
      <c r="F532" s="1" t="n">
        <v>52.19</v>
      </c>
      <c r="G532" s="1" t="n">
        <f aca="false">IF(E532=E531,F532/F531-1,"")</f>
        <v>-0.0611620795107035</v>
      </c>
    </row>
    <row r="533" customFormat="false" ht="14.25" hidden="false" customHeight="true" outlineLevel="0" collapsed="false">
      <c r="A533" s="26" t="n">
        <v>32964</v>
      </c>
      <c r="B533" s="1" t="n">
        <v>1990</v>
      </c>
      <c r="C533" s="1" t="n">
        <v>4</v>
      </c>
      <c r="D533" s="1" t="s">
        <v>45</v>
      </c>
      <c r="E533" s="1" t="s">
        <v>13</v>
      </c>
      <c r="F533" s="1" t="n">
        <v>47.39</v>
      </c>
      <c r="G533" s="1" t="n">
        <f aca="false">IF(E533=E532,F533/F532-1,"")</f>
        <v>-0.0919716420770262</v>
      </c>
    </row>
    <row r="534" customFormat="false" ht="14.25" hidden="false" customHeight="true" outlineLevel="0" collapsed="false">
      <c r="A534" s="26" t="n">
        <v>32994</v>
      </c>
      <c r="B534" s="1" t="n">
        <v>1990</v>
      </c>
      <c r="C534" s="1" t="n">
        <v>5</v>
      </c>
      <c r="D534" s="1" t="s">
        <v>46</v>
      </c>
      <c r="E534" s="1" t="s">
        <v>13</v>
      </c>
      <c r="F534" s="1" t="n">
        <v>44.65</v>
      </c>
      <c r="G534" s="1" t="n">
        <f aca="false">IF(E534=E533,F534/F533-1,"")</f>
        <v>-0.0578181050854612</v>
      </c>
    </row>
    <row r="535" customFormat="false" ht="14.25" hidden="false" customHeight="true" outlineLevel="0" collapsed="false">
      <c r="A535" s="26" t="n">
        <v>33025</v>
      </c>
      <c r="B535" s="1" t="n">
        <v>1990</v>
      </c>
      <c r="C535" s="1" t="n">
        <v>6</v>
      </c>
      <c r="D535" s="1" t="s">
        <v>47</v>
      </c>
      <c r="E535" s="1" t="s">
        <v>13</v>
      </c>
      <c r="F535" s="1" t="n">
        <v>43.34</v>
      </c>
      <c r="G535" s="1" t="n">
        <f aca="false">IF(E535=E534,F535/F534-1,"")</f>
        <v>-0.0293393057110861</v>
      </c>
    </row>
    <row r="536" customFormat="false" ht="14.25" hidden="false" customHeight="true" outlineLevel="0" collapsed="false">
      <c r="A536" s="26" t="n">
        <v>33055</v>
      </c>
      <c r="B536" s="1" t="n">
        <v>1990</v>
      </c>
      <c r="C536" s="1" t="n">
        <v>7</v>
      </c>
      <c r="D536" s="1" t="s">
        <v>48</v>
      </c>
      <c r="E536" s="1" t="s">
        <v>13</v>
      </c>
      <c r="F536" s="1" t="n">
        <v>52.09</v>
      </c>
      <c r="G536" s="1" t="n">
        <f aca="false">IF(E536=E535,F536/F535-1,"")</f>
        <v>0.201892016612829</v>
      </c>
    </row>
    <row r="537" customFormat="false" ht="14.25" hidden="false" customHeight="true" outlineLevel="0" collapsed="false">
      <c r="A537" s="26" t="n">
        <v>33086</v>
      </c>
      <c r="B537" s="1" t="n">
        <v>1990</v>
      </c>
      <c r="C537" s="1" t="n">
        <v>8</v>
      </c>
      <c r="D537" s="1" t="s">
        <v>49</v>
      </c>
      <c r="E537" s="1" t="s">
        <v>13</v>
      </c>
      <c r="F537" s="1" t="n">
        <v>68.88</v>
      </c>
      <c r="G537" s="1" t="n">
        <f aca="false">IF(E537=E536,F537/F536-1,"")</f>
        <v>0.322326742177001</v>
      </c>
    </row>
    <row r="538" customFormat="false" ht="14.25" hidden="false" customHeight="true" outlineLevel="0" collapsed="false">
      <c r="A538" s="26" t="n">
        <v>33117</v>
      </c>
      <c r="B538" s="1" t="n">
        <v>1990</v>
      </c>
      <c r="C538" s="1" t="n">
        <v>9</v>
      </c>
      <c r="D538" s="1" t="s">
        <v>50</v>
      </c>
      <c r="E538" s="1" t="s">
        <v>13</v>
      </c>
      <c r="F538" s="1" t="n">
        <v>98.37</v>
      </c>
      <c r="G538" s="1" t="n">
        <f aca="false">IF(E538=E537,F538/F537-1,"")</f>
        <v>0.428135888501742</v>
      </c>
    </row>
    <row r="539" customFormat="false" ht="14.25" hidden="false" customHeight="true" outlineLevel="0" collapsed="false">
      <c r="A539" s="26" t="n">
        <v>33147</v>
      </c>
      <c r="B539" s="1" t="n">
        <v>1990</v>
      </c>
      <c r="C539" s="1" t="n">
        <v>10</v>
      </c>
      <c r="D539" s="1" t="s">
        <v>51</v>
      </c>
      <c r="E539" s="1" t="s">
        <v>13</v>
      </c>
      <c r="F539" s="1" t="n">
        <v>87.34</v>
      </c>
      <c r="G539" s="1" t="n">
        <f aca="false">IF(E539=E538,F539/F538-1,"")</f>
        <v>-0.112127681203619</v>
      </c>
    </row>
    <row r="540" customFormat="false" ht="14.25" hidden="false" customHeight="true" outlineLevel="0" collapsed="false">
      <c r="A540" s="26" t="n">
        <v>33178</v>
      </c>
      <c r="B540" s="1" t="n">
        <v>1990</v>
      </c>
      <c r="C540" s="1" t="n">
        <v>11</v>
      </c>
      <c r="D540" s="1" t="s">
        <v>52</v>
      </c>
      <c r="E540" s="1" t="s">
        <v>13</v>
      </c>
      <c r="F540" s="1" t="n">
        <v>71.77</v>
      </c>
      <c r="G540" s="1" t="n">
        <f aca="false">IF(E540=E539,F540/F539-1,"")</f>
        <v>-0.178268834440119</v>
      </c>
    </row>
    <row r="541" customFormat="false" ht="14.25" hidden="false" customHeight="true" outlineLevel="0" collapsed="false">
      <c r="A541" s="26" t="n">
        <v>33208</v>
      </c>
      <c r="B541" s="1" t="n">
        <v>1990</v>
      </c>
      <c r="C541" s="1" t="n">
        <v>12</v>
      </c>
      <c r="D541" s="1" t="s">
        <v>53</v>
      </c>
      <c r="E541" s="1" t="s">
        <v>13</v>
      </c>
      <c r="F541" s="1" t="n">
        <v>70.29</v>
      </c>
      <c r="G541" s="1" t="n">
        <f aca="false">IF(E541=E540,F541/F540-1,"")</f>
        <v>-0.0206214295666711</v>
      </c>
    </row>
    <row r="542" customFormat="false" ht="14.25" hidden="false" customHeight="true" outlineLevel="0" collapsed="false">
      <c r="A542" s="26" t="n">
        <v>33239</v>
      </c>
      <c r="B542" s="1" t="n">
        <v>1991</v>
      </c>
      <c r="C542" s="1" t="n">
        <v>1</v>
      </c>
      <c r="D542" s="1" t="s">
        <v>42</v>
      </c>
      <c r="E542" s="1" t="s">
        <v>13</v>
      </c>
      <c r="F542" s="1" t="n">
        <v>53.73</v>
      </c>
      <c r="G542" s="1" t="n">
        <f aca="false">IF(E542=E541,F542/F541-1,"")</f>
        <v>-0.235595390524968</v>
      </c>
    </row>
    <row r="543" customFormat="false" ht="14.25" hidden="false" customHeight="true" outlineLevel="0" collapsed="false">
      <c r="A543" s="26" t="n">
        <v>33270</v>
      </c>
      <c r="B543" s="1" t="n">
        <v>1991</v>
      </c>
      <c r="C543" s="1" t="n">
        <v>2</v>
      </c>
      <c r="D543" s="1" t="s">
        <v>43</v>
      </c>
      <c r="E543" s="1" t="s">
        <v>13</v>
      </c>
      <c r="F543" s="1" t="n">
        <v>47.23</v>
      </c>
      <c r="G543" s="1" t="n">
        <f aca="false">IF(E543=E542,F543/F542-1,"")</f>
        <v>-0.120975246603387</v>
      </c>
    </row>
    <row r="544" customFormat="false" ht="14.25" hidden="false" customHeight="true" outlineLevel="0" collapsed="false">
      <c r="A544" s="26" t="n">
        <v>33298</v>
      </c>
      <c r="B544" s="1" t="n">
        <v>1991</v>
      </c>
      <c r="C544" s="1" t="n">
        <v>3</v>
      </c>
      <c r="D544" s="1" t="s">
        <v>44</v>
      </c>
      <c r="E544" s="1" t="s">
        <v>13</v>
      </c>
      <c r="F544" s="1" t="n">
        <v>48.02</v>
      </c>
      <c r="G544" s="1" t="n">
        <f aca="false">IF(E544=E543,F544/F543-1,"")</f>
        <v>0.0167266567859412</v>
      </c>
    </row>
    <row r="545" customFormat="false" ht="14.25" hidden="false" customHeight="true" outlineLevel="0" collapsed="false">
      <c r="A545" s="26" t="n">
        <v>33329</v>
      </c>
      <c r="B545" s="1" t="n">
        <v>1991</v>
      </c>
      <c r="C545" s="1" t="n">
        <v>4</v>
      </c>
      <c r="D545" s="1" t="s">
        <v>45</v>
      </c>
      <c r="E545" s="1" t="s">
        <v>13</v>
      </c>
      <c r="F545" s="1" t="n">
        <v>51.27</v>
      </c>
      <c r="G545" s="1" t="n">
        <f aca="false">IF(E545=E544,F545/F544-1,"")</f>
        <v>0.067680133277801</v>
      </c>
    </row>
    <row r="546" customFormat="false" ht="14.25" hidden="false" customHeight="true" outlineLevel="0" collapsed="false">
      <c r="A546" s="26" t="n">
        <v>33359</v>
      </c>
      <c r="B546" s="1" t="n">
        <v>1991</v>
      </c>
      <c r="C546" s="1" t="n">
        <v>5</v>
      </c>
      <c r="D546" s="1" t="s">
        <v>46</v>
      </c>
      <c r="E546" s="1" t="s">
        <v>13</v>
      </c>
      <c r="F546" s="1" t="n">
        <v>51.53</v>
      </c>
      <c r="G546" s="1" t="n">
        <f aca="false">IF(E546=E545,F546/F545-1,"")</f>
        <v>0.00507119173005655</v>
      </c>
    </row>
    <row r="547" customFormat="false" ht="14.25" hidden="false" customHeight="true" outlineLevel="0" collapsed="false">
      <c r="A547" s="26" t="n">
        <v>33390</v>
      </c>
      <c r="B547" s="1" t="n">
        <v>1991</v>
      </c>
      <c r="C547" s="1" t="n">
        <v>6</v>
      </c>
      <c r="D547" s="1" t="s">
        <v>47</v>
      </c>
      <c r="E547" s="1" t="s">
        <v>13</v>
      </c>
      <c r="F547" s="1" t="n">
        <v>49.92</v>
      </c>
      <c r="G547" s="1" t="n">
        <f aca="false">IF(E547=E546,F547/F546-1,"")</f>
        <v>-0.0312439355715117</v>
      </c>
    </row>
    <row r="548" customFormat="false" ht="14.25" hidden="false" customHeight="true" outlineLevel="0" collapsed="false">
      <c r="A548" s="26" t="n">
        <v>33420</v>
      </c>
      <c r="B548" s="1" t="n">
        <v>1991</v>
      </c>
      <c r="C548" s="1" t="n">
        <v>7</v>
      </c>
      <c r="D548" s="1" t="s">
        <v>48</v>
      </c>
      <c r="E548" s="1" t="s">
        <v>13</v>
      </c>
      <c r="F548" s="1" t="n">
        <v>52.61</v>
      </c>
      <c r="G548" s="1" t="n">
        <f aca="false">IF(E548=E547,F548/F547-1,"")</f>
        <v>0.0538862179487178</v>
      </c>
    </row>
    <row r="549" customFormat="false" ht="14.25" hidden="false" customHeight="true" outlineLevel="0" collapsed="false">
      <c r="A549" s="26" t="n">
        <v>33451</v>
      </c>
      <c r="B549" s="1" t="n">
        <v>1991</v>
      </c>
      <c r="C549" s="1" t="n">
        <v>8</v>
      </c>
      <c r="D549" s="1" t="s">
        <v>49</v>
      </c>
      <c r="E549" s="1" t="s">
        <v>13</v>
      </c>
      <c r="F549" s="1" t="n">
        <v>53.86</v>
      </c>
      <c r="G549" s="1" t="n">
        <f aca="false">IF(E549=E548,F549/F548-1,"")</f>
        <v>0.0237597414940125</v>
      </c>
    </row>
    <row r="550" customFormat="false" ht="14.25" hidden="false" customHeight="true" outlineLevel="0" collapsed="false">
      <c r="A550" s="26" t="n">
        <v>33482</v>
      </c>
      <c r="B550" s="1" t="n">
        <v>1991</v>
      </c>
      <c r="C550" s="1" t="n">
        <v>9</v>
      </c>
      <c r="D550" s="1" t="s">
        <v>50</v>
      </c>
      <c r="E550" s="1" t="s">
        <v>13</v>
      </c>
      <c r="F550" s="1" t="n">
        <v>53.55</v>
      </c>
      <c r="G550" s="1" t="n">
        <f aca="false">IF(E550=E549,F550/F549-1,"")</f>
        <v>-0.0057556628295582</v>
      </c>
    </row>
    <row r="551" customFormat="false" ht="14.25" hidden="false" customHeight="true" outlineLevel="0" collapsed="false">
      <c r="A551" s="26" t="n">
        <v>33512</v>
      </c>
      <c r="B551" s="1" t="n">
        <v>1991</v>
      </c>
      <c r="C551" s="1" t="n">
        <v>10</v>
      </c>
      <c r="D551" s="1" t="s">
        <v>51</v>
      </c>
      <c r="E551" s="1" t="s">
        <v>13</v>
      </c>
      <c r="F551" s="1" t="n">
        <v>55.97</v>
      </c>
      <c r="G551" s="1" t="n">
        <f aca="false">IF(E551=E550,F551/F550-1,"")</f>
        <v>0.0451914098972923</v>
      </c>
    </row>
    <row r="552" customFormat="false" ht="14.25" hidden="false" customHeight="true" outlineLevel="0" collapsed="false">
      <c r="A552" s="26" t="n">
        <v>33543</v>
      </c>
      <c r="B552" s="1" t="n">
        <v>1991</v>
      </c>
      <c r="C552" s="1" t="n">
        <v>11</v>
      </c>
      <c r="D552" s="1" t="s">
        <v>52</v>
      </c>
      <c r="E552" s="1" t="s">
        <v>13</v>
      </c>
      <c r="F552" s="1" t="n">
        <v>51.47</v>
      </c>
      <c r="G552" s="1" t="n">
        <f aca="false">IF(E552=E551,F552/F551-1,"")</f>
        <v>-0.0804002144005718</v>
      </c>
    </row>
    <row r="553" customFormat="false" ht="14.25" hidden="false" customHeight="true" outlineLevel="0" collapsed="false">
      <c r="A553" s="26" t="n">
        <v>33573</v>
      </c>
      <c r="B553" s="1" t="n">
        <v>1991</v>
      </c>
      <c r="C553" s="1" t="n">
        <v>12</v>
      </c>
      <c r="D553" s="1" t="s">
        <v>53</v>
      </c>
      <c r="E553" s="1" t="s">
        <v>13</v>
      </c>
      <c r="F553" s="1" t="n">
        <v>45.86</v>
      </c>
      <c r="G553" s="1" t="n">
        <f aca="false">IF(E553=E552,F553/F552-1,"")</f>
        <v>-0.108995531377501</v>
      </c>
    </row>
    <row r="554" customFormat="false" ht="14.25" hidden="false" customHeight="true" outlineLevel="0" collapsed="false">
      <c r="A554" s="26" t="n">
        <v>33604</v>
      </c>
      <c r="B554" s="1" t="n">
        <v>1992</v>
      </c>
      <c r="C554" s="1" t="n">
        <v>1</v>
      </c>
      <c r="D554" s="1" t="s">
        <v>42</v>
      </c>
      <c r="E554" s="1" t="s">
        <v>13</v>
      </c>
      <c r="F554" s="1" t="n">
        <v>45.26</v>
      </c>
      <c r="G554" s="1" t="n">
        <f aca="false">IF(E554=E553,F554/F553-1,"")</f>
        <v>-0.0130832969908418</v>
      </c>
    </row>
    <row r="555" customFormat="false" ht="14.25" hidden="false" customHeight="true" outlineLevel="0" collapsed="false">
      <c r="A555" s="26" t="n">
        <v>33635</v>
      </c>
      <c r="B555" s="1" t="n">
        <v>1992</v>
      </c>
      <c r="C555" s="1" t="n">
        <v>2</v>
      </c>
      <c r="D555" s="1" t="s">
        <v>43</v>
      </c>
      <c r="E555" s="1" t="s">
        <v>13</v>
      </c>
      <c r="F555" s="1" t="n">
        <v>44.53</v>
      </c>
      <c r="G555" s="1" t="n">
        <f aca="false">IF(E555=E554,F555/F554-1,"")</f>
        <v>-0.0161290322580645</v>
      </c>
    </row>
    <row r="556" customFormat="false" ht="14.25" hidden="false" customHeight="true" outlineLevel="0" collapsed="false">
      <c r="A556" s="26" t="n">
        <v>33664</v>
      </c>
      <c r="B556" s="1" t="n">
        <v>1992</v>
      </c>
      <c r="C556" s="1" t="n">
        <v>3</v>
      </c>
      <c r="D556" s="1" t="s">
        <v>44</v>
      </c>
      <c r="E556" s="1" t="s">
        <v>13</v>
      </c>
      <c r="F556" s="1" t="n">
        <v>46.2</v>
      </c>
      <c r="G556" s="1" t="n">
        <f aca="false">IF(E556=E555,F556/F555-1,"")</f>
        <v>0.0375028070963397</v>
      </c>
    </row>
    <row r="557" customFormat="false" ht="14.25" hidden="false" customHeight="true" outlineLevel="0" collapsed="false">
      <c r="A557" s="26" t="n">
        <v>33695</v>
      </c>
      <c r="B557" s="1" t="n">
        <v>1992</v>
      </c>
      <c r="C557" s="1" t="n">
        <v>4</v>
      </c>
      <c r="D557" s="1" t="s">
        <v>45</v>
      </c>
      <c r="E557" s="1" t="s">
        <v>13</v>
      </c>
      <c r="F557" s="1" t="n">
        <v>49.43</v>
      </c>
      <c r="G557" s="1" t="n">
        <f aca="false">IF(E557=E556,F557/F556-1,"")</f>
        <v>0.0699134199134199</v>
      </c>
    </row>
    <row r="558" customFormat="false" ht="14.25" hidden="false" customHeight="true" outlineLevel="0" collapsed="false">
      <c r="A558" s="26" t="n">
        <v>33725</v>
      </c>
      <c r="B558" s="1" t="n">
        <v>1992</v>
      </c>
      <c r="C558" s="1" t="n">
        <v>5</v>
      </c>
      <c r="D558" s="1" t="s">
        <v>46</v>
      </c>
      <c r="E558" s="1" t="s">
        <v>13</v>
      </c>
      <c r="F558" s="1" t="n">
        <v>52.31</v>
      </c>
      <c r="G558" s="1" t="n">
        <f aca="false">IF(E558=E557,F558/F557-1,"")</f>
        <v>0.0582642120169938</v>
      </c>
    </row>
    <row r="559" customFormat="false" ht="14.25" hidden="false" customHeight="true" outlineLevel="0" collapsed="false">
      <c r="A559" s="26" t="n">
        <v>33756</v>
      </c>
      <c r="B559" s="1" t="n">
        <v>1992</v>
      </c>
      <c r="C559" s="1" t="n">
        <v>6</v>
      </c>
      <c r="D559" s="1" t="s">
        <v>47</v>
      </c>
      <c r="E559" s="1" t="s">
        <v>13</v>
      </c>
      <c r="F559" s="1" t="n">
        <v>51.44</v>
      </c>
      <c r="G559" s="1" t="n">
        <f aca="false">IF(E559=E558,F559/F558-1,"")</f>
        <v>-0.0166316191932709</v>
      </c>
    </row>
    <row r="560" customFormat="false" ht="14.25" hidden="false" customHeight="true" outlineLevel="0" collapsed="false">
      <c r="A560" s="26" t="n">
        <v>33786</v>
      </c>
      <c r="B560" s="1" t="n">
        <v>1992</v>
      </c>
      <c r="C560" s="1" t="n">
        <v>7</v>
      </c>
      <c r="D560" s="1" t="s">
        <v>48</v>
      </c>
      <c r="E560" s="1" t="s">
        <v>13</v>
      </c>
      <c r="F560" s="1" t="n">
        <v>51.31</v>
      </c>
      <c r="G560" s="1" t="n">
        <f aca="false">IF(E560=E559,F560/F559-1,"")</f>
        <v>-0.00252721617418339</v>
      </c>
    </row>
    <row r="561" customFormat="false" ht="14.25" hidden="false" customHeight="true" outlineLevel="0" collapsed="false">
      <c r="A561" s="26" t="n">
        <v>33817</v>
      </c>
      <c r="B561" s="1" t="n">
        <v>1992</v>
      </c>
      <c r="C561" s="1" t="n">
        <v>8</v>
      </c>
      <c r="D561" s="1" t="s">
        <v>49</v>
      </c>
      <c r="E561" s="1" t="s">
        <v>13</v>
      </c>
      <c r="F561" s="1" t="n">
        <v>50.29</v>
      </c>
      <c r="G561" s="1" t="n">
        <f aca="false">IF(E561=E560,F561/F560-1,"")</f>
        <v>-0.0198791658546093</v>
      </c>
    </row>
    <row r="562" customFormat="false" ht="14.25" hidden="false" customHeight="true" outlineLevel="0" collapsed="false">
      <c r="A562" s="26" t="n">
        <v>33848</v>
      </c>
      <c r="B562" s="1" t="n">
        <v>1992</v>
      </c>
      <c r="C562" s="1" t="n">
        <v>9</v>
      </c>
      <c r="D562" s="1" t="s">
        <v>50</v>
      </c>
      <c r="E562" s="1" t="s">
        <v>13</v>
      </c>
      <c r="F562" s="1" t="n">
        <v>51.02</v>
      </c>
      <c r="G562" s="1" t="n">
        <f aca="false">IF(E562=E561,F562/F561-1,"")</f>
        <v>0.0145158083117918</v>
      </c>
    </row>
    <row r="563" customFormat="false" ht="14.25" hidden="false" customHeight="true" outlineLevel="0" collapsed="false">
      <c r="A563" s="26" t="n">
        <v>33878</v>
      </c>
      <c r="B563" s="1" t="n">
        <v>1992</v>
      </c>
      <c r="C563" s="1" t="n">
        <v>10</v>
      </c>
      <c r="D563" s="1" t="s">
        <v>51</v>
      </c>
      <c r="E563" s="1" t="s">
        <v>13</v>
      </c>
      <c r="F563" s="1" t="n">
        <v>48.16</v>
      </c>
      <c r="G563" s="1" t="n">
        <f aca="false">IF(E563=E562,F563/F562-1,"")</f>
        <v>-0.0560564484515878</v>
      </c>
    </row>
    <row r="564" customFormat="false" ht="14.25" hidden="false" customHeight="true" outlineLevel="0" collapsed="false">
      <c r="A564" s="26" t="n">
        <v>33909</v>
      </c>
      <c r="B564" s="1" t="n">
        <v>1992</v>
      </c>
      <c r="C564" s="1" t="n">
        <v>11</v>
      </c>
      <c r="D564" s="1" t="s">
        <v>52</v>
      </c>
      <c r="E564" s="1" t="s">
        <v>13</v>
      </c>
      <c r="F564" s="1" t="n">
        <v>46.3</v>
      </c>
      <c r="G564" s="1" t="n">
        <f aca="false">IF(E564=E563,F564/F563-1,"")</f>
        <v>-0.0386212624584718</v>
      </c>
    </row>
    <row r="565" customFormat="false" ht="14.25" hidden="false" customHeight="true" outlineLevel="0" collapsed="false">
      <c r="A565" s="26" t="n">
        <v>33939</v>
      </c>
      <c r="B565" s="1" t="n">
        <v>1992</v>
      </c>
      <c r="C565" s="1" t="n">
        <v>12</v>
      </c>
      <c r="D565" s="1" t="s">
        <v>53</v>
      </c>
      <c r="E565" s="1" t="s">
        <v>13</v>
      </c>
      <c r="F565" s="1" t="n">
        <v>45.35</v>
      </c>
      <c r="G565" s="1" t="n">
        <f aca="false">IF(E565=E564,F565/F564-1,"")</f>
        <v>-0.0205183585313175</v>
      </c>
    </row>
    <row r="566" customFormat="false" ht="14.25" hidden="false" customHeight="true" outlineLevel="0" collapsed="false">
      <c r="A566" s="26" t="n">
        <v>33970</v>
      </c>
      <c r="B566" s="1" t="n">
        <v>1993</v>
      </c>
      <c r="C566" s="1" t="n">
        <v>1</v>
      </c>
      <c r="D566" s="1" t="s">
        <v>42</v>
      </c>
      <c r="E566" s="1" t="s">
        <v>13</v>
      </c>
      <c r="F566" s="1" t="n">
        <v>46.94</v>
      </c>
      <c r="G566" s="1" t="n">
        <f aca="false">IF(E566=E565,F566/F565-1,"")</f>
        <v>0.0350606394707826</v>
      </c>
    </row>
    <row r="567" customFormat="false" ht="14.25" hidden="false" customHeight="true" outlineLevel="0" collapsed="false">
      <c r="A567" s="26" t="n">
        <v>34001</v>
      </c>
      <c r="B567" s="1" t="n">
        <v>1993</v>
      </c>
      <c r="C567" s="1" t="n">
        <v>2</v>
      </c>
      <c r="D567" s="1" t="s">
        <v>43</v>
      </c>
      <c r="E567" s="1" t="s">
        <v>13</v>
      </c>
      <c r="F567" s="1" t="n">
        <v>47.37</v>
      </c>
      <c r="G567" s="1" t="n">
        <f aca="false">IF(E567=E566,F567/F566-1,"")</f>
        <v>0.00916063059224537</v>
      </c>
    </row>
    <row r="568" customFormat="false" ht="14.25" hidden="false" customHeight="true" outlineLevel="0" collapsed="false">
      <c r="A568" s="26" t="n">
        <v>34029</v>
      </c>
      <c r="B568" s="1" t="n">
        <v>1993</v>
      </c>
      <c r="C568" s="1" t="n">
        <v>3</v>
      </c>
      <c r="D568" s="1" t="s">
        <v>44</v>
      </c>
      <c r="E568" s="1" t="s">
        <v>13</v>
      </c>
      <c r="F568" s="1" t="n">
        <v>47</v>
      </c>
      <c r="G568" s="1" t="n">
        <f aca="false">IF(E568=E567,F568/F567-1,"")</f>
        <v>-0.00781085074941945</v>
      </c>
    </row>
    <row r="569" customFormat="false" ht="14.25" hidden="false" customHeight="true" outlineLevel="0" collapsed="false">
      <c r="A569" s="26" t="n">
        <v>34060</v>
      </c>
      <c r="B569" s="1" t="n">
        <v>1993</v>
      </c>
      <c r="C569" s="1" t="n">
        <v>4</v>
      </c>
      <c r="D569" s="1" t="s">
        <v>45</v>
      </c>
      <c r="E569" s="1" t="s">
        <v>13</v>
      </c>
      <c r="F569" s="1" t="n">
        <v>47.1</v>
      </c>
      <c r="G569" s="1" t="n">
        <f aca="false">IF(E569=E568,F569/F568-1,"")</f>
        <v>0.00212765957446814</v>
      </c>
    </row>
    <row r="570" customFormat="false" ht="14.25" hidden="false" customHeight="true" outlineLevel="0" collapsed="false">
      <c r="A570" s="26" t="n">
        <v>34090</v>
      </c>
      <c r="B570" s="1" t="n">
        <v>1993</v>
      </c>
      <c r="C570" s="1" t="n">
        <v>5</v>
      </c>
      <c r="D570" s="1" t="s">
        <v>46</v>
      </c>
      <c r="E570" s="1" t="s">
        <v>13</v>
      </c>
      <c r="F570" s="1" t="n">
        <v>45.89</v>
      </c>
      <c r="G570" s="1" t="n">
        <f aca="false">IF(E570=E569,F570/F569-1,"")</f>
        <v>-0.0256900212314225</v>
      </c>
    </row>
    <row r="571" customFormat="false" ht="14.25" hidden="false" customHeight="true" outlineLevel="0" collapsed="false">
      <c r="A571" s="26" t="n">
        <v>34121</v>
      </c>
      <c r="B571" s="1" t="n">
        <v>1993</v>
      </c>
      <c r="C571" s="1" t="n">
        <v>6</v>
      </c>
      <c r="D571" s="1" t="s">
        <v>47</v>
      </c>
      <c r="E571" s="1" t="s">
        <v>13</v>
      </c>
      <c r="F571" s="1" t="n">
        <v>43.04</v>
      </c>
      <c r="G571" s="1" t="n">
        <f aca="false">IF(E571=E570,F571/F570-1,"")</f>
        <v>-0.062105033776422</v>
      </c>
    </row>
    <row r="572" customFormat="false" ht="14.25" hidden="false" customHeight="true" outlineLevel="0" collapsed="false">
      <c r="A572" s="26" t="n">
        <v>34151</v>
      </c>
      <c r="B572" s="1" t="n">
        <v>1993</v>
      </c>
      <c r="C572" s="1" t="n">
        <v>7</v>
      </c>
      <c r="D572" s="1" t="s">
        <v>48</v>
      </c>
      <c r="E572" s="1" t="s">
        <v>13</v>
      </c>
      <c r="F572" s="1" t="n">
        <v>41.03</v>
      </c>
      <c r="G572" s="1" t="n">
        <f aca="false">IF(E572=E571,F572/F571-1,"")</f>
        <v>-0.0467007434944238</v>
      </c>
    </row>
    <row r="573" customFormat="false" ht="14.25" hidden="false" customHeight="true" outlineLevel="0" collapsed="false">
      <c r="A573" s="26" t="n">
        <v>34182</v>
      </c>
      <c r="B573" s="1" t="n">
        <v>1993</v>
      </c>
      <c r="C573" s="1" t="n">
        <v>8</v>
      </c>
      <c r="D573" s="1" t="s">
        <v>49</v>
      </c>
      <c r="E573" s="1" t="s">
        <v>13</v>
      </c>
      <c r="F573" s="1" t="n">
        <v>41.6</v>
      </c>
      <c r="G573" s="1" t="n">
        <f aca="false">IF(E573=E572,F573/F572-1,"")</f>
        <v>0.0138922739458933</v>
      </c>
    </row>
    <row r="574" customFormat="false" ht="14.25" hidden="false" customHeight="true" outlineLevel="0" collapsed="false">
      <c r="A574" s="26" t="n">
        <v>34213</v>
      </c>
      <c r="B574" s="1" t="n">
        <v>1993</v>
      </c>
      <c r="C574" s="1" t="n">
        <v>9</v>
      </c>
      <c r="D574" s="1" t="s">
        <v>50</v>
      </c>
      <c r="E574" s="1" t="s">
        <v>13</v>
      </c>
      <c r="F574" s="1" t="n">
        <v>42.6</v>
      </c>
      <c r="G574" s="1" t="n">
        <f aca="false">IF(E574=E573,F574/F573-1,"")</f>
        <v>0.0240384615384615</v>
      </c>
    </row>
    <row r="575" customFormat="false" ht="14.25" hidden="false" customHeight="true" outlineLevel="0" collapsed="false">
      <c r="A575" s="26" t="n">
        <v>34243</v>
      </c>
      <c r="B575" s="1" t="n">
        <v>1993</v>
      </c>
      <c r="C575" s="1" t="n">
        <v>10</v>
      </c>
      <c r="D575" s="1" t="s">
        <v>51</v>
      </c>
      <c r="E575" s="1" t="s">
        <v>13</v>
      </c>
      <c r="F575" s="1" t="n">
        <v>38.46</v>
      </c>
      <c r="G575" s="1" t="n">
        <f aca="false">IF(E575=E574,F575/F574-1,"")</f>
        <v>-0.0971830985915493</v>
      </c>
    </row>
    <row r="576" customFormat="false" ht="14.25" hidden="false" customHeight="true" outlineLevel="0" collapsed="false">
      <c r="A576" s="26" t="n">
        <v>34274</v>
      </c>
      <c r="B576" s="1" t="n">
        <v>1993</v>
      </c>
      <c r="C576" s="1" t="n">
        <v>11</v>
      </c>
      <c r="D576" s="1" t="s">
        <v>52</v>
      </c>
      <c r="E576" s="1" t="s">
        <v>13</v>
      </c>
      <c r="F576" s="1" t="n">
        <v>34.79</v>
      </c>
      <c r="G576" s="1" t="n">
        <f aca="false">IF(E576=E575,F576/F575-1,"")</f>
        <v>-0.0954238169526781</v>
      </c>
    </row>
    <row r="577" customFormat="false" ht="14.25" hidden="false" customHeight="true" outlineLevel="0" collapsed="false">
      <c r="A577" s="26" t="n">
        <v>34304</v>
      </c>
      <c r="B577" s="1" t="n">
        <v>1993</v>
      </c>
      <c r="C577" s="1" t="n">
        <v>12</v>
      </c>
      <c r="D577" s="1" t="s">
        <v>53</v>
      </c>
      <c r="E577" s="1" t="s">
        <v>13</v>
      </c>
      <c r="F577" s="1" t="n">
        <v>32.14</v>
      </c>
      <c r="G577" s="1" t="n">
        <f aca="false">IF(E577=E576,F577/F576-1,"")</f>
        <v>-0.0761713135958608</v>
      </c>
    </row>
    <row r="578" customFormat="false" ht="14.25" hidden="false" customHeight="true" outlineLevel="0" collapsed="false">
      <c r="A578" s="26" t="n">
        <v>34335</v>
      </c>
      <c r="B578" s="1" t="n">
        <v>1994</v>
      </c>
      <c r="C578" s="1" t="n">
        <v>1</v>
      </c>
      <c r="D578" s="1" t="s">
        <v>42</v>
      </c>
      <c r="E578" s="1" t="s">
        <v>13</v>
      </c>
      <c r="F578" s="1" t="n">
        <v>34.42</v>
      </c>
      <c r="G578" s="1" t="n">
        <f aca="false">IF(E578=E577,F578/F577-1,"")</f>
        <v>0.0709396390790293</v>
      </c>
    </row>
    <row r="579" customFormat="false" ht="14.25" hidden="false" customHeight="true" outlineLevel="0" collapsed="false">
      <c r="A579" s="26" t="n">
        <v>34366</v>
      </c>
      <c r="B579" s="1" t="n">
        <v>1994</v>
      </c>
      <c r="C579" s="1" t="n">
        <v>2</v>
      </c>
      <c r="D579" s="1" t="s">
        <v>43</v>
      </c>
      <c r="E579" s="1" t="s">
        <v>13</v>
      </c>
      <c r="F579" s="1" t="n">
        <v>32.64</v>
      </c>
      <c r="G579" s="1" t="n">
        <f aca="false">IF(E579=E578,F579/F578-1,"")</f>
        <v>-0.0517141196978501</v>
      </c>
    </row>
    <row r="580" customFormat="false" ht="14.25" hidden="false" customHeight="true" outlineLevel="0" collapsed="false">
      <c r="A580" s="26" t="n">
        <v>34394</v>
      </c>
      <c r="B580" s="1" t="n">
        <v>1994</v>
      </c>
      <c r="C580" s="1" t="n">
        <v>3</v>
      </c>
      <c r="D580" s="1" t="s">
        <v>44</v>
      </c>
      <c r="E580" s="1" t="s">
        <v>13</v>
      </c>
      <c r="F580" s="1" t="n">
        <v>33.16</v>
      </c>
      <c r="G580" s="1" t="n">
        <f aca="false">IF(E580=E579,F580/F579-1,"")</f>
        <v>0.0159313725490196</v>
      </c>
    </row>
    <row r="581" customFormat="false" ht="14.25" hidden="false" customHeight="true" outlineLevel="0" collapsed="false">
      <c r="A581" s="26" t="n">
        <v>34425</v>
      </c>
      <c r="B581" s="1" t="n">
        <v>1994</v>
      </c>
      <c r="C581" s="1" t="n">
        <v>4</v>
      </c>
      <c r="D581" s="1" t="s">
        <v>45</v>
      </c>
      <c r="E581" s="1" t="s">
        <v>13</v>
      </c>
      <c r="F581" s="1" t="n">
        <v>37.91</v>
      </c>
      <c r="G581" s="1" t="n">
        <f aca="false">IF(E581=E580,F581/F580-1,"")</f>
        <v>0.143244873341375</v>
      </c>
    </row>
    <row r="582" customFormat="false" ht="14.25" hidden="false" customHeight="true" outlineLevel="0" collapsed="false">
      <c r="A582" s="26" t="n">
        <v>34455</v>
      </c>
      <c r="B582" s="1" t="n">
        <v>1994</v>
      </c>
      <c r="C582" s="1" t="n">
        <v>5</v>
      </c>
      <c r="D582" s="1" t="s">
        <v>46</v>
      </c>
      <c r="E582" s="1" t="s">
        <v>13</v>
      </c>
      <c r="F582" s="1" t="n">
        <v>40.97</v>
      </c>
      <c r="G582" s="1" t="n">
        <f aca="false">IF(E582=E581,F582/F581-1,"")</f>
        <v>0.0807174887892377</v>
      </c>
    </row>
    <row r="583" customFormat="false" ht="14.25" hidden="false" customHeight="true" outlineLevel="0" collapsed="false">
      <c r="A583" s="26" t="n">
        <v>34486</v>
      </c>
      <c r="B583" s="1" t="n">
        <v>1994</v>
      </c>
      <c r="C583" s="1" t="n">
        <v>6</v>
      </c>
      <c r="D583" s="1" t="s">
        <v>47</v>
      </c>
      <c r="E583" s="1" t="s">
        <v>13</v>
      </c>
      <c r="F583" s="1" t="n">
        <v>43.22</v>
      </c>
      <c r="G583" s="1" t="n">
        <f aca="false">IF(E583=E582,F583/F582-1,"")</f>
        <v>0.0549182328533073</v>
      </c>
    </row>
    <row r="584" customFormat="false" ht="14.25" hidden="false" customHeight="true" outlineLevel="0" collapsed="false">
      <c r="A584" s="26" t="n">
        <v>34516</v>
      </c>
      <c r="B584" s="1" t="n">
        <v>1994</v>
      </c>
      <c r="C584" s="1" t="n">
        <v>7</v>
      </c>
      <c r="D584" s="1" t="s">
        <v>48</v>
      </c>
      <c r="E584" s="1" t="s">
        <v>13</v>
      </c>
      <c r="F584" s="1" t="n">
        <v>45.17</v>
      </c>
      <c r="G584" s="1" t="n">
        <f aca="false">IF(E584=E583,F584/F583-1,"")</f>
        <v>0.0451180009254975</v>
      </c>
    </row>
    <row r="585" customFormat="false" ht="14.25" hidden="false" customHeight="true" outlineLevel="0" collapsed="false">
      <c r="A585" s="26" t="n">
        <v>34547</v>
      </c>
      <c r="B585" s="1" t="n">
        <v>1994</v>
      </c>
      <c r="C585" s="1" t="n">
        <v>8</v>
      </c>
      <c r="D585" s="1" t="s">
        <v>49</v>
      </c>
      <c r="E585" s="1" t="s">
        <v>13</v>
      </c>
      <c r="F585" s="1" t="n">
        <v>39.01</v>
      </c>
      <c r="G585" s="1" t="n">
        <f aca="false">IF(E585=E584,F585/F584-1,"")</f>
        <v>-0.136373699357981</v>
      </c>
    </row>
    <row r="586" customFormat="false" ht="14.25" hidden="false" customHeight="true" outlineLevel="0" collapsed="false">
      <c r="A586" s="26" t="n">
        <v>34578</v>
      </c>
      <c r="B586" s="1" t="n">
        <v>1994</v>
      </c>
      <c r="C586" s="1" t="n">
        <v>9</v>
      </c>
      <c r="D586" s="1" t="s">
        <v>50</v>
      </c>
      <c r="E586" s="1" t="s">
        <v>13</v>
      </c>
      <c r="F586" s="1" t="n">
        <v>40.58</v>
      </c>
      <c r="G586" s="1" t="n">
        <f aca="false">IF(E586=E585,F586/F585-1,"")</f>
        <v>0.0402460907459625</v>
      </c>
    </row>
    <row r="587" customFormat="false" ht="14.25" hidden="false" customHeight="true" outlineLevel="0" collapsed="false">
      <c r="A587" s="26" t="n">
        <v>34608</v>
      </c>
      <c r="B587" s="1" t="n">
        <v>1994</v>
      </c>
      <c r="C587" s="1" t="n">
        <v>10</v>
      </c>
      <c r="D587" s="1" t="s">
        <v>51</v>
      </c>
      <c r="E587" s="1" t="s">
        <v>13</v>
      </c>
      <c r="F587" s="1" t="n">
        <v>40.11</v>
      </c>
      <c r="G587" s="1" t="n">
        <f aca="false">IF(E587=E586,F587/F586-1,"")</f>
        <v>-0.0115820601281419</v>
      </c>
    </row>
    <row r="588" customFormat="false" ht="14.25" hidden="false" customHeight="true" outlineLevel="0" collapsed="false">
      <c r="A588" s="26" t="n">
        <v>34639</v>
      </c>
      <c r="B588" s="1" t="n">
        <v>1994</v>
      </c>
      <c r="C588" s="1" t="n">
        <v>11</v>
      </c>
      <c r="D588" s="1" t="s">
        <v>52</v>
      </c>
      <c r="E588" s="1" t="s">
        <v>13</v>
      </c>
      <c r="F588" s="1" t="n">
        <v>39.84</v>
      </c>
      <c r="G588" s="1" t="n">
        <f aca="false">IF(E588=E587,F588/F587-1,"")</f>
        <v>-0.00673148840688098</v>
      </c>
    </row>
    <row r="589" customFormat="false" ht="14.25" hidden="false" customHeight="true" outlineLevel="0" collapsed="false">
      <c r="A589" s="26" t="n">
        <v>34669</v>
      </c>
      <c r="B589" s="1" t="n">
        <v>1994</v>
      </c>
      <c r="C589" s="1" t="n">
        <v>12</v>
      </c>
      <c r="D589" s="1" t="s">
        <v>53</v>
      </c>
      <c r="E589" s="1" t="s">
        <v>13</v>
      </c>
      <c r="F589" s="1" t="n">
        <v>39.2</v>
      </c>
      <c r="G589" s="1" t="n">
        <f aca="false">IF(E589=E588,F589/F588-1,"")</f>
        <v>-0.0160642570281124</v>
      </c>
    </row>
    <row r="590" customFormat="false" ht="14.25" hidden="false" customHeight="true" outlineLevel="0" collapsed="false">
      <c r="A590" s="26" t="n">
        <v>34700</v>
      </c>
      <c r="B590" s="1" t="n">
        <v>1995</v>
      </c>
      <c r="C590" s="1" t="n">
        <v>1</v>
      </c>
      <c r="D590" s="1" t="s">
        <v>42</v>
      </c>
      <c r="E590" s="1" t="s">
        <v>13</v>
      </c>
      <c r="F590" s="1" t="n">
        <v>40.6</v>
      </c>
      <c r="G590" s="1" t="n">
        <f aca="false">IF(E590=E589,F590/F589-1,"")</f>
        <v>0.0357142857142856</v>
      </c>
    </row>
    <row r="591" customFormat="false" ht="14.25" hidden="false" customHeight="true" outlineLevel="0" collapsed="false">
      <c r="A591" s="26" t="n">
        <v>34731</v>
      </c>
      <c r="B591" s="1" t="n">
        <v>1995</v>
      </c>
      <c r="C591" s="1" t="n">
        <v>2</v>
      </c>
      <c r="D591" s="1" t="s">
        <v>43</v>
      </c>
      <c r="E591" s="1" t="s">
        <v>13</v>
      </c>
      <c r="F591" s="1" t="n">
        <v>40.53</v>
      </c>
      <c r="G591" s="1" t="n">
        <f aca="false">IF(E591=E590,F591/F590-1,"")</f>
        <v>-0.00172413793103454</v>
      </c>
    </row>
    <row r="592" customFormat="false" ht="14.25" hidden="false" customHeight="true" outlineLevel="0" collapsed="false">
      <c r="A592" s="26" t="n">
        <v>34759</v>
      </c>
      <c r="B592" s="1" t="n">
        <v>1995</v>
      </c>
      <c r="C592" s="1" t="n">
        <v>3</v>
      </c>
      <c r="D592" s="1" t="s">
        <v>44</v>
      </c>
      <c r="E592" s="1" t="s">
        <v>13</v>
      </c>
      <c r="F592" s="1" t="n">
        <v>41.83</v>
      </c>
      <c r="G592" s="1" t="n">
        <f aca="false">IF(E592=E591,F592/F591-1,"")</f>
        <v>0.0320750061682704</v>
      </c>
    </row>
    <row r="593" customFormat="false" ht="14.25" hidden="false" customHeight="true" outlineLevel="0" collapsed="false">
      <c r="A593" s="26" t="n">
        <v>34790</v>
      </c>
      <c r="B593" s="1" t="n">
        <v>1995</v>
      </c>
      <c r="C593" s="1" t="n">
        <v>4</v>
      </c>
      <c r="D593" s="1" t="s">
        <v>45</v>
      </c>
      <c r="E593" s="1" t="s">
        <v>13</v>
      </c>
      <c r="F593" s="1" t="n">
        <v>44.26</v>
      </c>
      <c r="G593" s="1" t="n">
        <f aca="false">IF(E593=E592,F593/F592-1,"")</f>
        <v>0.0580922782691848</v>
      </c>
    </row>
    <row r="594" customFormat="false" ht="14.25" hidden="false" customHeight="true" outlineLevel="0" collapsed="false">
      <c r="A594" s="26" t="n">
        <v>34820</v>
      </c>
      <c r="B594" s="1" t="n">
        <v>1995</v>
      </c>
      <c r="C594" s="1" t="n">
        <v>5</v>
      </c>
      <c r="D594" s="1" t="s">
        <v>46</v>
      </c>
      <c r="E594" s="1" t="s">
        <v>13</v>
      </c>
      <c r="F594" s="1" t="n">
        <v>40.96</v>
      </c>
      <c r="G594" s="1" t="n">
        <f aca="false">IF(E594=E593,F594/F593-1,"")</f>
        <v>-0.0745594215996385</v>
      </c>
    </row>
    <row r="595" customFormat="false" ht="14.25" hidden="false" customHeight="true" outlineLevel="0" collapsed="false">
      <c r="A595" s="26" t="n">
        <v>34851</v>
      </c>
      <c r="B595" s="1" t="n">
        <v>1995</v>
      </c>
      <c r="C595" s="1" t="n">
        <v>6</v>
      </c>
      <c r="D595" s="1" t="s">
        <v>47</v>
      </c>
      <c r="E595" s="1" t="s">
        <v>13</v>
      </c>
      <c r="F595" s="1" t="n">
        <v>37.63</v>
      </c>
      <c r="G595" s="1" t="n">
        <f aca="false">IF(E595=E594,F595/F594-1,"")</f>
        <v>-0.081298828125</v>
      </c>
    </row>
    <row r="596" customFormat="false" ht="14.25" hidden="false" customHeight="true" outlineLevel="0" collapsed="false">
      <c r="A596" s="26" t="n">
        <v>34881</v>
      </c>
      <c r="B596" s="1" t="n">
        <v>1995</v>
      </c>
      <c r="C596" s="1" t="n">
        <v>7</v>
      </c>
      <c r="D596" s="1" t="s">
        <v>48</v>
      </c>
      <c r="E596" s="1" t="s">
        <v>13</v>
      </c>
      <c r="F596" s="1" t="n">
        <v>38.15</v>
      </c>
      <c r="G596" s="1" t="n">
        <f aca="false">IF(E596=E595,F596/F595-1,"")</f>
        <v>0.0138187616263619</v>
      </c>
    </row>
    <row r="597" customFormat="false" ht="14.25" hidden="false" customHeight="true" outlineLevel="0" collapsed="false">
      <c r="A597" s="26" t="n">
        <v>34912</v>
      </c>
      <c r="B597" s="1" t="n">
        <v>1995</v>
      </c>
      <c r="C597" s="1" t="n">
        <v>8</v>
      </c>
      <c r="D597" s="1" t="s">
        <v>49</v>
      </c>
      <c r="E597" s="1" t="s">
        <v>13</v>
      </c>
      <c r="F597" s="1" t="n">
        <v>38.64</v>
      </c>
      <c r="G597" s="1" t="n">
        <f aca="false">IF(E597=E596,F597/F596-1,"")</f>
        <v>0.0128440366972478</v>
      </c>
    </row>
    <row r="598" customFormat="false" ht="14.25" hidden="false" customHeight="true" outlineLevel="0" collapsed="false">
      <c r="A598" s="26" t="n">
        <v>34943</v>
      </c>
      <c r="B598" s="1" t="n">
        <v>1995</v>
      </c>
      <c r="C598" s="1" t="n">
        <v>9</v>
      </c>
      <c r="D598" s="1" t="s">
        <v>50</v>
      </c>
      <c r="E598" s="1" t="s">
        <v>13</v>
      </c>
      <c r="F598" s="1" t="n">
        <v>37.81</v>
      </c>
      <c r="G598" s="1" t="n">
        <f aca="false">IF(E598=E597,F598/F597-1,"")</f>
        <v>-0.0214803312629399</v>
      </c>
    </row>
    <row r="599" customFormat="false" ht="14.25" hidden="false" customHeight="true" outlineLevel="0" collapsed="false">
      <c r="A599" s="26" t="n">
        <v>34973</v>
      </c>
      <c r="B599" s="1" t="n">
        <v>1995</v>
      </c>
      <c r="C599" s="1" t="n">
        <v>10</v>
      </c>
      <c r="D599" s="1" t="s">
        <v>51</v>
      </c>
      <c r="E599" s="1" t="s">
        <v>13</v>
      </c>
      <c r="F599" s="1" t="n">
        <v>37.96</v>
      </c>
      <c r="G599" s="1" t="n">
        <f aca="false">IF(E599=E598,F599/F598-1,"")</f>
        <v>0.00396720444326903</v>
      </c>
    </row>
    <row r="600" customFormat="false" ht="14.25" hidden="false" customHeight="true" outlineLevel="0" collapsed="false">
      <c r="A600" s="26" t="n">
        <v>35004</v>
      </c>
      <c r="B600" s="1" t="n">
        <v>1995</v>
      </c>
      <c r="C600" s="1" t="n">
        <v>11</v>
      </c>
      <c r="D600" s="1" t="s">
        <v>52</v>
      </c>
      <c r="E600" s="1" t="s">
        <v>13</v>
      </c>
      <c r="F600" s="1" t="n">
        <v>39.28</v>
      </c>
      <c r="G600" s="1" t="n">
        <f aca="false">IF(E600=E599,F600/F599-1,"")</f>
        <v>0.0347734457323499</v>
      </c>
    </row>
    <row r="601" customFormat="false" ht="14.25" hidden="false" customHeight="true" outlineLevel="0" collapsed="false">
      <c r="A601" s="26" t="n">
        <v>35034</v>
      </c>
      <c r="B601" s="1" t="n">
        <v>1995</v>
      </c>
      <c r="C601" s="1" t="n">
        <v>12</v>
      </c>
      <c r="D601" s="1" t="s">
        <v>53</v>
      </c>
      <c r="E601" s="1" t="s">
        <v>13</v>
      </c>
      <c r="F601" s="1" t="n">
        <v>42.03</v>
      </c>
      <c r="G601" s="1" t="n">
        <f aca="false">IF(E601=E600,F601/F600-1,"")</f>
        <v>0.0700101832993889</v>
      </c>
    </row>
    <row r="602" customFormat="false" ht="14.25" hidden="false" customHeight="true" outlineLevel="0" collapsed="false">
      <c r="A602" s="26" t="n">
        <v>35065</v>
      </c>
      <c r="B602" s="1" t="n">
        <v>1996</v>
      </c>
      <c r="C602" s="1" t="n">
        <v>1</v>
      </c>
      <c r="D602" s="1" t="s">
        <v>42</v>
      </c>
      <c r="E602" s="1" t="s">
        <v>13</v>
      </c>
      <c r="F602" s="1" t="n">
        <v>37.98</v>
      </c>
      <c r="G602" s="1" t="n">
        <f aca="false">IF(E602=E601,F602/F601-1,"")</f>
        <v>-0.0963597430406853</v>
      </c>
    </row>
    <row r="603" customFormat="false" ht="14.25" hidden="false" customHeight="true" outlineLevel="0" collapsed="false">
      <c r="A603" s="26" t="n">
        <v>35096</v>
      </c>
      <c r="B603" s="1" t="n">
        <v>1996</v>
      </c>
      <c r="C603" s="1" t="n">
        <v>2</v>
      </c>
      <c r="D603" s="1" t="s">
        <v>43</v>
      </c>
      <c r="E603" s="1" t="s">
        <v>13</v>
      </c>
      <c r="F603" s="1" t="n">
        <v>41.76</v>
      </c>
      <c r="G603" s="1" t="n">
        <f aca="false">IF(E603=E602,F603/F602-1,"")</f>
        <v>0.0995260663507109</v>
      </c>
    </row>
    <row r="604" customFormat="false" ht="14.25" hidden="false" customHeight="true" outlineLevel="0" collapsed="false">
      <c r="A604" s="26" t="n">
        <v>35125</v>
      </c>
      <c r="B604" s="1" t="n">
        <v>1996</v>
      </c>
      <c r="C604" s="1" t="n">
        <v>3</v>
      </c>
      <c r="D604" s="1" t="s">
        <v>44</v>
      </c>
      <c r="E604" s="1" t="s">
        <v>13</v>
      </c>
      <c r="F604" s="1" t="n">
        <v>45.45</v>
      </c>
      <c r="G604" s="1" t="n">
        <f aca="false">IF(E604=E603,F604/F603-1,"")</f>
        <v>0.0883620689655174</v>
      </c>
    </row>
    <row r="605" customFormat="false" ht="14.25" hidden="false" customHeight="true" outlineLevel="0" collapsed="false">
      <c r="A605" s="26" t="n">
        <v>35156</v>
      </c>
      <c r="B605" s="1" t="n">
        <v>1996</v>
      </c>
      <c r="C605" s="1" t="n">
        <v>4</v>
      </c>
      <c r="D605" s="1" t="s">
        <v>45</v>
      </c>
      <c r="E605" s="1" t="s">
        <v>13</v>
      </c>
      <c r="F605" s="1" t="n">
        <v>44.26</v>
      </c>
      <c r="G605" s="1" t="n">
        <f aca="false">IF(E605=E604,F605/F604-1,"")</f>
        <v>-0.0261826182618263</v>
      </c>
    </row>
    <row r="606" customFormat="false" ht="14.25" hidden="false" customHeight="true" outlineLevel="0" collapsed="false">
      <c r="A606" s="26" t="n">
        <v>35186</v>
      </c>
      <c r="B606" s="1" t="n">
        <v>1996</v>
      </c>
      <c r="C606" s="1" t="n">
        <v>5</v>
      </c>
      <c r="D606" s="1" t="s">
        <v>46</v>
      </c>
      <c r="E606" s="1" t="s">
        <v>13</v>
      </c>
      <c r="F606" s="1" t="n">
        <v>41.69</v>
      </c>
      <c r="G606" s="1" t="n">
        <f aca="false">IF(E606=E605,F606/F605-1,"")</f>
        <v>-0.0580659737912337</v>
      </c>
    </row>
    <row r="607" customFormat="false" ht="14.25" hidden="false" customHeight="true" outlineLevel="0" collapsed="false">
      <c r="A607" s="26" t="n">
        <v>35217</v>
      </c>
      <c r="B607" s="1" t="n">
        <v>1996</v>
      </c>
      <c r="C607" s="1" t="n">
        <v>6</v>
      </c>
      <c r="D607" s="1" t="s">
        <v>47</v>
      </c>
      <c r="E607" s="1" t="s">
        <v>13</v>
      </c>
      <c r="F607" s="1" t="n">
        <v>44.08</v>
      </c>
      <c r="G607" s="1" t="n">
        <f aca="false">IF(E607=E606,F607/F606-1,"")</f>
        <v>0.0573278963780284</v>
      </c>
    </row>
    <row r="608" customFormat="false" ht="14.25" hidden="false" customHeight="true" outlineLevel="0" collapsed="false">
      <c r="A608" s="26" t="n">
        <v>35247</v>
      </c>
      <c r="B608" s="1" t="n">
        <v>1996</v>
      </c>
      <c r="C608" s="1" t="n">
        <v>7</v>
      </c>
      <c r="D608" s="1" t="s">
        <v>48</v>
      </c>
      <c r="E608" s="1" t="s">
        <v>13</v>
      </c>
      <c r="F608" s="1" t="n">
        <v>43.03</v>
      </c>
      <c r="G608" s="1" t="n">
        <f aca="false">IF(E608=E607,F608/F607-1,"")</f>
        <v>-0.0238203266787658</v>
      </c>
    </row>
    <row r="609" customFormat="false" ht="14.25" hidden="false" customHeight="true" outlineLevel="0" collapsed="false">
      <c r="A609" s="26" t="n">
        <v>35278</v>
      </c>
      <c r="B609" s="1" t="n">
        <v>1996</v>
      </c>
      <c r="C609" s="1" t="n">
        <v>8</v>
      </c>
      <c r="D609" s="1" t="s">
        <v>49</v>
      </c>
      <c r="E609" s="1" t="s">
        <v>13</v>
      </c>
      <c r="F609" s="1" t="n">
        <v>46.71</v>
      </c>
      <c r="G609" s="1" t="n">
        <f aca="false">IF(E609=E608,F609/F608-1,"")</f>
        <v>0.0855217290262607</v>
      </c>
    </row>
    <row r="610" customFormat="false" ht="14.25" hidden="false" customHeight="true" outlineLevel="0" collapsed="false">
      <c r="A610" s="26" t="n">
        <v>35309</v>
      </c>
      <c r="B610" s="1" t="n">
        <v>1996</v>
      </c>
      <c r="C610" s="1" t="n">
        <v>9</v>
      </c>
      <c r="D610" s="1" t="s">
        <v>50</v>
      </c>
      <c r="E610" s="1" t="s">
        <v>13</v>
      </c>
      <c r="F610" s="1" t="n">
        <v>50.64</v>
      </c>
      <c r="G610" s="1" t="n">
        <f aca="false">IF(E610=E609,F610/F609-1,"")</f>
        <v>0.084136159280668</v>
      </c>
    </row>
    <row r="611" customFormat="false" ht="14.25" hidden="false" customHeight="true" outlineLevel="0" collapsed="false">
      <c r="A611" s="26" t="n">
        <v>35339</v>
      </c>
      <c r="B611" s="1" t="n">
        <v>1996</v>
      </c>
      <c r="C611" s="1" t="n">
        <v>10</v>
      </c>
      <c r="D611" s="1" t="s">
        <v>51</v>
      </c>
      <c r="E611" s="1" t="s">
        <v>13</v>
      </c>
      <c r="F611" s="1" t="n">
        <v>48.5</v>
      </c>
      <c r="G611" s="1" t="n">
        <f aca="false">IF(E611=E610,F611/F610-1,"")</f>
        <v>-0.042259083728278</v>
      </c>
    </row>
    <row r="612" customFormat="false" ht="14.25" hidden="false" customHeight="true" outlineLevel="0" collapsed="false">
      <c r="A612" s="26" t="n">
        <v>35370</v>
      </c>
      <c r="B612" s="1" t="n">
        <v>1996</v>
      </c>
      <c r="C612" s="1" t="n">
        <v>11</v>
      </c>
      <c r="D612" s="1" t="s">
        <v>52</v>
      </c>
      <c r="E612" s="1" t="s">
        <v>13</v>
      </c>
      <c r="F612" s="1" t="n">
        <v>49.34</v>
      </c>
      <c r="G612" s="1" t="n">
        <f aca="false">IF(E612=E611,F612/F611-1,"")</f>
        <v>0.0173195876288661</v>
      </c>
    </row>
    <row r="613" customFormat="false" ht="14.25" hidden="false" customHeight="true" outlineLevel="0" collapsed="false">
      <c r="A613" s="26" t="n">
        <v>35400</v>
      </c>
      <c r="B613" s="1" t="n">
        <v>1996</v>
      </c>
      <c r="C613" s="1" t="n">
        <v>12</v>
      </c>
      <c r="D613" s="1" t="s">
        <v>53</v>
      </c>
      <c r="E613" s="1" t="s">
        <v>13</v>
      </c>
      <c r="F613" s="1" t="n">
        <v>53.93</v>
      </c>
      <c r="G613" s="1" t="n">
        <f aca="false">IF(E613=E612,F613/F612-1,"")</f>
        <v>0.0930279691933522</v>
      </c>
    </row>
    <row r="614" customFormat="false" ht="14.25" hidden="false" customHeight="true" outlineLevel="0" collapsed="false">
      <c r="A614" s="26" t="n">
        <v>35431</v>
      </c>
      <c r="B614" s="1" t="n">
        <v>1997</v>
      </c>
      <c r="C614" s="1" t="n">
        <v>1</v>
      </c>
      <c r="D614" s="1" t="s">
        <v>42</v>
      </c>
      <c r="E614" s="1" t="s">
        <v>13</v>
      </c>
      <c r="F614" s="1" t="n">
        <v>50.12</v>
      </c>
      <c r="G614" s="1" t="n">
        <f aca="false">IF(E614=E613,F614/F613-1,"")</f>
        <v>-0.0706471351752271</v>
      </c>
    </row>
    <row r="615" customFormat="false" ht="14.25" hidden="false" customHeight="true" outlineLevel="0" collapsed="false">
      <c r="A615" s="26" t="n">
        <v>35462</v>
      </c>
      <c r="B615" s="1" t="n">
        <v>1997</v>
      </c>
      <c r="C615" s="1" t="n">
        <v>2</v>
      </c>
      <c r="D615" s="1" t="s">
        <v>43</v>
      </c>
      <c r="E615" s="1" t="s">
        <v>13</v>
      </c>
      <c r="F615" s="1" t="n">
        <v>42</v>
      </c>
      <c r="G615" s="1" t="n">
        <f aca="false">IF(E615=E614,F615/F614-1,"")</f>
        <v>-0.162011173184358</v>
      </c>
    </row>
    <row r="616" customFormat="false" ht="14.25" hidden="false" customHeight="true" outlineLevel="0" collapsed="false">
      <c r="A616" s="26" t="n">
        <v>35490</v>
      </c>
      <c r="B616" s="1" t="n">
        <v>1997</v>
      </c>
      <c r="C616" s="1" t="n">
        <v>3</v>
      </c>
      <c r="D616" s="1" t="s">
        <v>44</v>
      </c>
      <c r="E616" s="1" t="s">
        <v>13</v>
      </c>
      <c r="F616" s="1" t="n">
        <v>42</v>
      </c>
      <c r="G616" s="1" t="n">
        <f aca="false">IF(E616=E615,F616/F615-1,"")</f>
        <v>0</v>
      </c>
    </row>
    <row r="617" customFormat="false" ht="14.25" hidden="false" customHeight="true" outlineLevel="0" collapsed="false">
      <c r="A617" s="26" t="n">
        <v>35521</v>
      </c>
      <c r="B617" s="1" t="n">
        <v>1997</v>
      </c>
      <c r="C617" s="1" t="n">
        <v>4</v>
      </c>
      <c r="D617" s="1" t="s">
        <v>45</v>
      </c>
      <c r="E617" s="1" t="s">
        <v>13</v>
      </c>
      <c r="F617" s="1" t="n">
        <v>41.64</v>
      </c>
      <c r="G617" s="1" t="n">
        <f aca="false">IF(E617=E616,F617/F616-1,"")</f>
        <v>-0.00857142857142856</v>
      </c>
    </row>
    <row r="618" customFormat="false" ht="14.25" hidden="false" customHeight="true" outlineLevel="0" collapsed="false">
      <c r="A618" s="26" t="n">
        <v>35551</v>
      </c>
      <c r="B618" s="1" t="n">
        <v>1997</v>
      </c>
      <c r="C618" s="1" t="n">
        <v>5</v>
      </c>
      <c r="D618" s="1" t="s">
        <v>46</v>
      </c>
      <c r="E618" s="1" t="s">
        <v>13</v>
      </c>
      <c r="F618" s="1" t="n">
        <v>43.31</v>
      </c>
      <c r="G618" s="1" t="n">
        <f aca="false">IF(E618=E617,F618/F617-1,"")</f>
        <v>0.0401056676272815</v>
      </c>
    </row>
    <row r="619" customFormat="false" ht="14.25" hidden="false" customHeight="true" outlineLevel="0" collapsed="false">
      <c r="A619" s="26" t="n">
        <v>35582</v>
      </c>
      <c r="B619" s="1" t="n">
        <v>1997</v>
      </c>
      <c r="C619" s="1" t="n">
        <v>6</v>
      </c>
      <c r="D619" s="1" t="s">
        <v>47</v>
      </c>
      <c r="E619" s="1" t="s">
        <v>13</v>
      </c>
      <c r="F619" s="1" t="n">
        <v>40.83</v>
      </c>
      <c r="G619" s="1" t="n">
        <f aca="false">IF(E619=E618,F619/F618-1,"")</f>
        <v>-0.0572616024012931</v>
      </c>
    </row>
    <row r="620" customFormat="false" ht="14.25" hidden="false" customHeight="true" outlineLevel="0" collapsed="false">
      <c r="A620" s="26" t="n">
        <v>35612</v>
      </c>
      <c r="B620" s="1" t="n">
        <v>1997</v>
      </c>
      <c r="C620" s="1" t="n">
        <v>7</v>
      </c>
      <c r="D620" s="1" t="s">
        <v>48</v>
      </c>
      <c r="E620" s="1" t="s">
        <v>13</v>
      </c>
      <c r="F620" s="1" t="n">
        <v>41.54</v>
      </c>
      <c r="G620" s="1" t="n">
        <f aca="false">IF(E620=E619,F620/F619-1,"")</f>
        <v>0.0173891746265002</v>
      </c>
    </row>
    <row r="621" customFormat="false" ht="14.25" hidden="false" customHeight="true" outlineLevel="0" collapsed="false">
      <c r="A621" s="26" t="n">
        <v>35643</v>
      </c>
      <c r="B621" s="1" t="n">
        <v>1997</v>
      </c>
      <c r="C621" s="1" t="n">
        <v>8</v>
      </c>
      <c r="D621" s="1" t="s">
        <v>49</v>
      </c>
      <c r="E621" s="1" t="s">
        <v>13</v>
      </c>
      <c r="F621" s="1" t="n">
        <v>40.37</v>
      </c>
      <c r="G621" s="1" t="n">
        <f aca="false">IF(E621=E620,F621/F620-1,"")</f>
        <v>-0.0281656234954262</v>
      </c>
    </row>
    <row r="622" customFormat="false" ht="14.25" hidden="false" customHeight="true" outlineLevel="0" collapsed="false">
      <c r="A622" s="26" t="n">
        <v>35674</v>
      </c>
      <c r="B622" s="1" t="n">
        <v>1997</v>
      </c>
      <c r="C622" s="1" t="n">
        <v>9</v>
      </c>
      <c r="D622" s="1" t="s">
        <v>50</v>
      </c>
      <c r="E622" s="1" t="s">
        <v>13</v>
      </c>
      <c r="F622" s="1" t="n">
        <v>43.28</v>
      </c>
      <c r="G622" s="1" t="n">
        <f aca="false">IF(E622=E621,F622/F621-1,"")</f>
        <v>0.0720832301213774</v>
      </c>
    </row>
    <row r="623" customFormat="false" ht="14.25" hidden="false" customHeight="true" outlineLevel="0" collapsed="false">
      <c r="A623" s="26" t="n">
        <v>35704</v>
      </c>
      <c r="B623" s="1" t="n">
        <v>1997</v>
      </c>
      <c r="C623" s="1" t="n">
        <v>10</v>
      </c>
      <c r="D623" s="1" t="s">
        <v>51</v>
      </c>
      <c r="E623" s="1" t="s">
        <v>13</v>
      </c>
      <c r="F623" s="1" t="n">
        <v>43.12</v>
      </c>
      <c r="G623" s="1" t="n">
        <f aca="false">IF(E623=E622,F623/F622-1,"")</f>
        <v>-0.00369685767097971</v>
      </c>
    </row>
    <row r="624" customFormat="false" ht="14.25" hidden="false" customHeight="true" outlineLevel="0" collapsed="false">
      <c r="A624" s="26" t="n">
        <v>35735</v>
      </c>
      <c r="B624" s="1" t="n">
        <v>1997</v>
      </c>
      <c r="C624" s="1" t="n">
        <v>11</v>
      </c>
      <c r="D624" s="1" t="s">
        <v>52</v>
      </c>
      <c r="E624" s="1" t="s">
        <v>13</v>
      </c>
      <c r="F624" s="1" t="n">
        <v>39.11</v>
      </c>
      <c r="G624" s="1" t="n">
        <f aca="false">IF(E624=E623,F624/F623-1,"")</f>
        <v>-0.0929962894248608</v>
      </c>
    </row>
    <row r="625" customFormat="false" ht="14.25" hidden="false" customHeight="true" outlineLevel="0" collapsed="false">
      <c r="A625" s="26" t="n">
        <v>35765</v>
      </c>
      <c r="B625" s="1" t="n">
        <v>1997</v>
      </c>
      <c r="C625" s="1" t="n">
        <v>12</v>
      </c>
      <c r="D625" s="1" t="s">
        <v>53</v>
      </c>
      <c r="E625" s="1" t="s">
        <v>13</v>
      </c>
      <c r="F625" s="1" t="n">
        <v>36.13</v>
      </c>
      <c r="G625" s="1" t="n">
        <f aca="false">IF(E625=E624,F625/F624-1,"")</f>
        <v>-0.0761953464587062</v>
      </c>
    </row>
    <row r="626" customFormat="false" ht="14.25" hidden="false" customHeight="true" outlineLevel="0" collapsed="false">
      <c r="A626" s="26" t="n">
        <v>35796</v>
      </c>
      <c r="B626" s="1" t="n">
        <v>1998</v>
      </c>
      <c r="C626" s="1" t="n">
        <v>1</v>
      </c>
      <c r="D626" s="1" t="s">
        <v>42</v>
      </c>
      <c r="E626" s="1" t="s">
        <v>13</v>
      </c>
      <c r="F626" s="1" t="n">
        <v>35.17</v>
      </c>
      <c r="G626" s="1" t="n">
        <f aca="false">IF(E626=E625,F626/F625-1,"")</f>
        <v>-0.0265707168557985</v>
      </c>
    </row>
    <row r="627" customFormat="false" ht="14.25" hidden="false" customHeight="true" outlineLevel="0" collapsed="false">
      <c r="A627" s="26" t="n">
        <v>35827</v>
      </c>
      <c r="B627" s="1" t="n">
        <v>1998</v>
      </c>
      <c r="C627" s="1" t="n">
        <v>2</v>
      </c>
      <c r="D627" s="1" t="s">
        <v>43</v>
      </c>
      <c r="E627" s="1" t="s">
        <v>13</v>
      </c>
      <c r="F627" s="1" t="n">
        <v>31.49</v>
      </c>
      <c r="G627" s="1" t="n">
        <f aca="false">IF(E627=E626,F627/F626-1,"")</f>
        <v>-0.104634631788456</v>
      </c>
    </row>
    <row r="628" customFormat="false" ht="14.25" hidden="false" customHeight="true" outlineLevel="0" collapsed="false">
      <c r="A628" s="26" t="n">
        <v>35855</v>
      </c>
      <c r="B628" s="1" t="n">
        <v>1998</v>
      </c>
      <c r="C628" s="1" t="n">
        <v>3</v>
      </c>
      <c r="D628" s="1" t="s">
        <v>44</v>
      </c>
      <c r="E628" s="1" t="s">
        <v>13</v>
      </c>
      <c r="F628" s="1" t="n">
        <v>32.06</v>
      </c>
      <c r="G628" s="1" t="n">
        <f aca="false">IF(E628=E627,F628/F627-1,"")</f>
        <v>0.0181009844395048</v>
      </c>
    </row>
    <row r="629" customFormat="false" ht="14.25" hidden="false" customHeight="true" outlineLevel="0" collapsed="false">
      <c r="A629" s="26" t="n">
        <v>35886</v>
      </c>
      <c r="B629" s="1" t="n">
        <v>1998</v>
      </c>
      <c r="C629" s="1" t="n">
        <v>4</v>
      </c>
      <c r="D629" s="1" t="s">
        <v>45</v>
      </c>
      <c r="E629" s="1" t="s">
        <v>13</v>
      </c>
      <c r="F629" s="1" t="n">
        <v>31.62</v>
      </c>
      <c r="G629" s="1" t="n">
        <f aca="false">IF(E629=E628,F629/F628-1,"")</f>
        <v>-0.0137242669993762</v>
      </c>
    </row>
    <row r="630" customFormat="false" ht="14.25" hidden="false" customHeight="true" outlineLevel="0" collapsed="false">
      <c r="A630" s="26" t="n">
        <v>35916</v>
      </c>
      <c r="B630" s="1" t="n">
        <v>1998</v>
      </c>
      <c r="C630" s="1" t="n">
        <v>5</v>
      </c>
      <c r="D630" s="1" t="s">
        <v>46</v>
      </c>
      <c r="E630" s="1" t="s">
        <v>13</v>
      </c>
      <c r="F630" s="1" t="n">
        <v>30.85</v>
      </c>
      <c r="G630" s="1" t="n">
        <f aca="false">IF(E630=E629,F630/F629-1,"")</f>
        <v>-0.0243516761543326</v>
      </c>
    </row>
    <row r="631" customFormat="false" ht="14.25" hidden="false" customHeight="true" outlineLevel="0" collapsed="false">
      <c r="A631" s="26" t="n">
        <v>35947</v>
      </c>
      <c r="B631" s="1" t="n">
        <v>1998</v>
      </c>
      <c r="C631" s="1" t="n">
        <v>6</v>
      </c>
      <c r="D631" s="1" t="s">
        <v>47</v>
      </c>
      <c r="E631" s="1" t="s">
        <v>13</v>
      </c>
      <c r="F631" s="1" t="n">
        <v>28.97</v>
      </c>
      <c r="G631" s="1" t="n">
        <f aca="false">IF(E631=E630,F631/F630-1,"")</f>
        <v>-0.060940032414911</v>
      </c>
    </row>
    <row r="632" customFormat="false" ht="14.25" hidden="false" customHeight="true" outlineLevel="0" collapsed="false">
      <c r="A632" s="26" t="n">
        <v>35977</v>
      </c>
      <c r="B632" s="1" t="n">
        <v>1998</v>
      </c>
      <c r="C632" s="1" t="n">
        <v>7</v>
      </c>
      <c r="D632" s="1" t="s">
        <v>48</v>
      </c>
      <c r="E632" s="1" t="s">
        <v>13</v>
      </c>
      <c r="F632" s="1" t="n">
        <v>28.87</v>
      </c>
      <c r="G632" s="1" t="n">
        <f aca="false">IF(E632=E631,F632/F631-1,"")</f>
        <v>-0.0034518467380048</v>
      </c>
    </row>
    <row r="633" customFormat="false" ht="14.25" hidden="false" customHeight="true" outlineLevel="0" collapsed="false">
      <c r="A633" s="26" t="n">
        <v>36008</v>
      </c>
      <c r="B633" s="1" t="n">
        <v>1998</v>
      </c>
      <c r="C633" s="1" t="n">
        <v>8</v>
      </c>
      <c r="D633" s="1" t="s">
        <v>49</v>
      </c>
      <c r="E633" s="1" t="s">
        <v>13</v>
      </c>
      <c r="F633" s="1" t="n">
        <v>26.86</v>
      </c>
      <c r="G633" s="1" t="n">
        <f aca="false">IF(E633=E632,F633/F632-1,"")</f>
        <v>-0.0696224454450988</v>
      </c>
    </row>
    <row r="634" customFormat="false" ht="14.25" hidden="false" customHeight="true" outlineLevel="0" collapsed="false">
      <c r="A634" s="26" t="n">
        <v>36039</v>
      </c>
      <c r="B634" s="1" t="n">
        <v>1998</v>
      </c>
      <c r="C634" s="1" t="n">
        <v>9</v>
      </c>
      <c r="D634" s="1" t="s">
        <v>50</v>
      </c>
      <c r="E634" s="1" t="s">
        <v>13</v>
      </c>
      <c r="F634" s="1" t="n">
        <v>32.68</v>
      </c>
      <c r="G634" s="1" t="n">
        <f aca="false">IF(E634=E633,F634/F633-1,"")</f>
        <v>0.216679076693969</v>
      </c>
    </row>
    <row r="635" customFormat="false" ht="14.25" hidden="false" customHeight="true" outlineLevel="0" collapsed="false">
      <c r="A635" s="26" t="n">
        <v>36069</v>
      </c>
      <c r="B635" s="1" t="n">
        <v>1998</v>
      </c>
      <c r="C635" s="1" t="n">
        <v>10</v>
      </c>
      <c r="D635" s="1" t="s">
        <v>51</v>
      </c>
      <c r="E635" s="1" t="s">
        <v>13</v>
      </c>
      <c r="F635" s="1" t="n">
        <v>29.16</v>
      </c>
      <c r="G635" s="1" t="n">
        <f aca="false">IF(E635=E634,F635/F634-1,"")</f>
        <v>-0.107711138310894</v>
      </c>
    </row>
    <row r="636" customFormat="false" ht="14.25" hidden="false" customHeight="true" outlineLevel="0" collapsed="false">
      <c r="A636" s="26" t="n">
        <v>36100</v>
      </c>
      <c r="B636" s="1" t="n">
        <v>1998</v>
      </c>
      <c r="C636" s="1" t="n">
        <v>11</v>
      </c>
      <c r="D636" s="1" t="s">
        <v>52</v>
      </c>
      <c r="E636" s="1" t="s">
        <v>13</v>
      </c>
      <c r="F636" s="1" t="n">
        <v>22.89</v>
      </c>
      <c r="G636" s="1" t="n">
        <f aca="false">IF(E636=E635,F636/F635-1,"")</f>
        <v>-0.215020576131687</v>
      </c>
    </row>
    <row r="637" customFormat="false" ht="14.25" hidden="false" customHeight="true" outlineLevel="0" collapsed="false">
      <c r="A637" s="26" t="n">
        <v>36130</v>
      </c>
      <c r="B637" s="1" t="n">
        <v>1998</v>
      </c>
      <c r="C637" s="1" t="n">
        <v>12</v>
      </c>
      <c r="D637" s="1" t="s">
        <v>53</v>
      </c>
      <c r="E637" s="1" t="s">
        <v>13</v>
      </c>
      <c r="F637" s="1" t="n">
        <v>24.46</v>
      </c>
      <c r="G637" s="1" t="n">
        <f aca="false">IF(E637=E636,F637/F636-1,"")</f>
        <v>0.0685889034512888</v>
      </c>
    </row>
    <row r="638" customFormat="false" ht="14.25" hidden="false" customHeight="true" outlineLevel="0" collapsed="false">
      <c r="A638" s="26" t="n">
        <v>36161</v>
      </c>
      <c r="B638" s="1" t="n">
        <v>1999</v>
      </c>
      <c r="C638" s="1" t="n">
        <v>1</v>
      </c>
      <c r="D638" s="1" t="s">
        <v>42</v>
      </c>
      <c r="E638" s="1" t="s">
        <v>13</v>
      </c>
      <c r="F638" s="1" t="n">
        <v>25.75</v>
      </c>
      <c r="G638" s="1" t="n">
        <f aca="false">IF(E638=E637,F638/F637-1,"")</f>
        <v>0.0527391659852821</v>
      </c>
    </row>
    <row r="639" customFormat="false" ht="14.25" hidden="false" customHeight="true" outlineLevel="0" collapsed="false">
      <c r="A639" s="26" t="n">
        <v>36192</v>
      </c>
      <c r="B639" s="1" t="n">
        <v>1999</v>
      </c>
      <c r="C639" s="1" t="n">
        <v>2</v>
      </c>
      <c r="D639" s="1" t="s">
        <v>43</v>
      </c>
      <c r="E639" s="1" t="s">
        <v>13</v>
      </c>
      <c r="F639" s="1" t="n">
        <v>24.71</v>
      </c>
      <c r="G639" s="1" t="n">
        <f aca="false">IF(E639=E638,F639/F638-1,"")</f>
        <v>-0.0403883495145631</v>
      </c>
    </row>
    <row r="640" customFormat="false" ht="14.25" hidden="false" customHeight="true" outlineLevel="0" collapsed="false">
      <c r="A640" s="26" t="n">
        <v>36220</v>
      </c>
      <c r="B640" s="1" t="n">
        <v>1999</v>
      </c>
      <c r="C640" s="1" t="n">
        <v>3</v>
      </c>
      <c r="D640" s="1" t="s">
        <v>44</v>
      </c>
      <c r="E640" s="1" t="s">
        <v>13</v>
      </c>
      <c r="F640" s="1" t="n">
        <v>33.34</v>
      </c>
      <c r="G640" s="1" t="n">
        <f aca="false">IF(E640=E639,F640/F639-1,"")</f>
        <v>0.349251315256981</v>
      </c>
    </row>
    <row r="641" customFormat="false" ht="14.25" hidden="false" customHeight="true" outlineLevel="0" collapsed="false">
      <c r="A641" s="26" t="n">
        <v>36251</v>
      </c>
      <c r="B641" s="1" t="n">
        <v>1999</v>
      </c>
      <c r="C641" s="1" t="n">
        <v>4</v>
      </c>
      <c r="D641" s="1" t="s">
        <v>45</v>
      </c>
      <c r="E641" s="1" t="s">
        <v>13</v>
      </c>
      <c r="F641" s="1" t="n">
        <v>37.13</v>
      </c>
      <c r="G641" s="1" t="n">
        <f aca="false">IF(E641=E640,F641/F640-1,"")</f>
        <v>0.11367726454709</v>
      </c>
    </row>
    <row r="642" customFormat="false" ht="14.25" hidden="false" customHeight="true" outlineLevel="0" collapsed="false">
      <c r="A642" s="26" t="n">
        <v>36281</v>
      </c>
      <c r="B642" s="1" t="n">
        <v>1999</v>
      </c>
      <c r="C642" s="1" t="n">
        <v>5</v>
      </c>
      <c r="D642" s="1" t="s">
        <v>46</v>
      </c>
      <c r="E642" s="1" t="s">
        <v>13</v>
      </c>
      <c r="F642" s="1" t="n">
        <v>33.48</v>
      </c>
      <c r="G642" s="1" t="n">
        <f aca="false">IF(E642=E641,F642/F641-1,"")</f>
        <v>-0.0983032588203611</v>
      </c>
    </row>
    <row r="643" customFormat="false" ht="14.25" hidden="false" customHeight="true" outlineLevel="0" collapsed="false">
      <c r="A643" s="26" t="n">
        <v>36312</v>
      </c>
      <c r="B643" s="1" t="n">
        <v>1999</v>
      </c>
      <c r="C643" s="1" t="n">
        <v>6</v>
      </c>
      <c r="D643" s="1" t="s">
        <v>47</v>
      </c>
      <c r="E643" s="1" t="s">
        <v>13</v>
      </c>
      <c r="F643" s="1" t="n">
        <v>38.41</v>
      </c>
      <c r="G643" s="1" t="n">
        <f aca="false">IF(E643=E642,F643/F642-1,"")</f>
        <v>0.147252090800478</v>
      </c>
    </row>
    <row r="644" customFormat="false" ht="14.25" hidden="false" customHeight="true" outlineLevel="0" collapsed="false">
      <c r="A644" s="26" t="n">
        <v>36342</v>
      </c>
      <c r="B644" s="1" t="n">
        <v>1999</v>
      </c>
      <c r="C644" s="1" t="n">
        <v>7</v>
      </c>
      <c r="D644" s="1" t="s">
        <v>48</v>
      </c>
      <c r="E644" s="1" t="s">
        <v>13</v>
      </c>
      <c r="F644" s="1" t="n">
        <v>40.65</v>
      </c>
      <c r="G644" s="1" t="n">
        <f aca="false">IF(E644=E643,F644/F643-1,"")</f>
        <v>0.0583181463160636</v>
      </c>
    </row>
    <row r="645" customFormat="false" ht="14.25" hidden="false" customHeight="true" outlineLevel="0" collapsed="false">
      <c r="A645" s="26" t="n">
        <v>36373</v>
      </c>
      <c r="B645" s="1" t="n">
        <v>1999</v>
      </c>
      <c r="C645" s="1" t="n">
        <v>8</v>
      </c>
      <c r="D645" s="1" t="s">
        <v>49</v>
      </c>
      <c r="E645" s="1" t="s">
        <v>13</v>
      </c>
      <c r="F645" s="1" t="n">
        <v>43.77</v>
      </c>
      <c r="G645" s="1" t="n">
        <f aca="false">IF(E645=E644,F645/F644-1,"")</f>
        <v>0.0767527675276754</v>
      </c>
    </row>
    <row r="646" customFormat="false" ht="14.25" hidden="false" customHeight="true" outlineLevel="0" collapsed="false">
      <c r="A646" s="26" t="n">
        <v>36404</v>
      </c>
      <c r="B646" s="1" t="n">
        <v>1999</v>
      </c>
      <c r="C646" s="1" t="n">
        <v>9</v>
      </c>
      <c r="D646" s="1" t="s">
        <v>50</v>
      </c>
      <c r="E646" s="1" t="s">
        <v>13</v>
      </c>
      <c r="F646" s="1" t="n">
        <v>48.26</v>
      </c>
      <c r="G646" s="1" t="n">
        <f aca="false">IF(E646=E645,F646/F645-1,"")</f>
        <v>0.102581676947681</v>
      </c>
    </row>
    <row r="647" customFormat="false" ht="14.25" hidden="false" customHeight="true" outlineLevel="0" collapsed="false">
      <c r="A647" s="26" t="n">
        <v>36434</v>
      </c>
      <c r="B647" s="1" t="n">
        <v>1999</v>
      </c>
      <c r="C647" s="1" t="n">
        <v>10</v>
      </c>
      <c r="D647" s="1" t="s">
        <v>51</v>
      </c>
      <c r="E647" s="1" t="s">
        <v>13</v>
      </c>
      <c r="F647" s="1" t="n">
        <v>42.78</v>
      </c>
      <c r="G647" s="1" t="n">
        <f aca="false">IF(E647=E646,F647/F646-1,"")</f>
        <v>-0.113551595524244</v>
      </c>
    </row>
    <row r="648" customFormat="false" ht="14.25" hidden="false" customHeight="true" outlineLevel="0" collapsed="false">
      <c r="A648" s="26" t="n">
        <v>36465</v>
      </c>
      <c r="B648" s="1" t="n">
        <v>1999</v>
      </c>
      <c r="C648" s="1" t="n">
        <v>11</v>
      </c>
      <c r="D648" s="1" t="s">
        <v>52</v>
      </c>
      <c r="E648" s="1" t="s">
        <v>13</v>
      </c>
      <c r="F648" s="1" t="n">
        <v>48.8</v>
      </c>
      <c r="G648" s="1" t="n">
        <f aca="false">IF(E648=E647,F648/F647-1,"")</f>
        <v>0.140719962599345</v>
      </c>
    </row>
    <row r="649" customFormat="false" ht="14.25" hidden="false" customHeight="true" outlineLevel="0" collapsed="false">
      <c r="A649" s="26" t="n">
        <v>36495</v>
      </c>
      <c r="B649" s="1" t="n">
        <v>1999</v>
      </c>
      <c r="C649" s="1" t="n">
        <v>12</v>
      </c>
      <c r="D649" s="1" t="s">
        <v>53</v>
      </c>
      <c r="E649" s="1" t="s">
        <v>13</v>
      </c>
      <c r="F649" s="1" t="n">
        <v>50.54</v>
      </c>
      <c r="G649" s="1" t="n">
        <f aca="false">IF(E649=E648,F649/F648-1,"")</f>
        <v>0.035655737704918</v>
      </c>
    </row>
    <row r="650" customFormat="false" ht="14.25" hidden="false" customHeight="true" outlineLevel="0" collapsed="false">
      <c r="A650" s="26" t="n">
        <v>36526</v>
      </c>
      <c r="B650" s="1" t="n">
        <v>2000</v>
      </c>
      <c r="C650" s="1" t="n">
        <v>1</v>
      </c>
      <c r="D650" s="1" t="s">
        <v>42</v>
      </c>
      <c r="E650" s="1" t="s">
        <v>13</v>
      </c>
      <c r="F650" s="1" t="n">
        <v>54.09</v>
      </c>
      <c r="G650" s="1" t="n">
        <f aca="false">IF(E650=E649,F650/F649-1,"")</f>
        <v>0.0702413929560746</v>
      </c>
    </row>
    <row r="651" customFormat="false" ht="14.25" hidden="false" customHeight="true" outlineLevel="0" collapsed="false">
      <c r="A651" s="26" t="n">
        <v>36557</v>
      </c>
      <c r="B651" s="1" t="n">
        <v>2000</v>
      </c>
      <c r="C651" s="1" t="n">
        <v>2</v>
      </c>
      <c r="D651" s="1" t="s">
        <v>43</v>
      </c>
      <c r="E651" s="1" t="s">
        <v>13</v>
      </c>
      <c r="F651" s="1" t="n">
        <v>59.45</v>
      </c>
      <c r="G651" s="1" t="n">
        <f aca="false">IF(E651=E650,F651/F650-1,"")</f>
        <v>0.0990941024218894</v>
      </c>
    </row>
    <row r="652" customFormat="false" ht="14.25" hidden="false" customHeight="true" outlineLevel="0" collapsed="false">
      <c r="A652" s="26" t="n">
        <v>36586</v>
      </c>
      <c r="B652" s="1" t="n">
        <v>2000</v>
      </c>
      <c r="C652" s="1" t="n">
        <v>3</v>
      </c>
      <c r="D652" s="1" t="s">
        <v>44</v>
      </c>
      <c r="E652" s="1" t="s">
        <v>13</v>
      </c>
      <c r="F652" s="1" t="n">
        <v>51.81</v>
      </c>
      <c r="G652" s="1" t="n">
        <f aca="false">IF(E652=E651,F652/F651-1,"")</f>
        <v>-0.128511354079058</v>
      </c>
    </row>
    <row r="653" customFormat="false" ht="14.25" hidden="false" customHeight="true" outlineLevel="0" collapsed="false">
      <c r="A653" s="26" t="n">
        <v>36617</v>
      </c>
      <c r="B653" s="1" t="n">
        <v>2000</v>
      </c>
      <c r="C653" s="1" t="n">
        <v>4</v>
      </c>
      <c r="D653" s="1" t="s">
        <v>45</v>
      </c>
      <c r="E653" s="1" t="s">
        <v>13</v>
      </c>
      <c r="F653" s="1" t="n">
        <v>49.56</v>
      </c>
      <c r="G653" s="1" t="n">
        <f aca="false">IF(E653=E652,F653/F652-1,"")</f>
        <v>-0.0434279096699479</v>
      </c>
    </row>
    <row r="654" customFormat="false" ht="14.25" hidden="false" customHeight="true" outlineLevel="0" collapsed="false">
      <c r="A654" s="26" t="n">
        <v>36647</v>
      </c>
      <c r="B654" s="1" t="n">
        <v>2000</v>
      </c>
      <c r="C654" s="1" t="n">
        <v>5</v>
      </c>
      <c r="D654" s="1" t="s">
        <v>46</v>
      </c>
      <c r="E654" s="1" t="s">
        <v>13</v>
      </c>
      <c r="F654" s="1" t="n">
        <v>55.9</v>
      </c>
      <c r="G654" s="1" t="n">
        <f aca="false">IF(E654=E653,F654/F653-1,"")</f>
        <v>0.127925746569814</v>
      </c>
    </row>
    <row r="655" customFormat="false" ht="14.25" hidden="false" customHeight="true" outlineLevel="0" collapsed="false">
      <c r="A655" s="26" t="n">
        <v>36678</v>
      </c>
      <c r="B655" s="1" t="n">
        <v>2000</v>
      </c>
      <c r="C655" s="1" t="n">
        <v>6</v>
      </c>
      <c r="D655" s="1" t="s">
        <v>47</v>
      </c>
      <c r="E655" s="1" t="s">
        <v>13</v>
      </c>
      <c r="F655" s="1" t="n">
        <v>62.14</v>
      </c>
      <c r="G655" s="1" t="n">
        <f aca="false">IF(E655=E654,F655/F654-1,"")</f>
        <v>0.111627906976744</v>
      </c>
    </row>
    <row r="656" customFormat="false" ht="14.25" hidden="false" customHeight="true" outlineLevel="0" collapsed="false">
      <c r="A656" s="26" t="n">
        <v>36708</v>
      </c>
      <c r="B656" s="1" t="n">
        <v>2000</v>
      </c>
      <c r="C656" s="1" t="n">
        <v>7</v>
      </c>
      <c r="D656" s="1" t="s">
        <v>48</v>
      </c>
      <c r="E656" s="1" t="s">
        <v>13</v>
      </c>
      <c r="F656" s="1" t="n">
        <v>52.55</v>
      </c>
      <c r="G656" s="1" t="n">
        <f aca="false">IF(E656=E655,F656/F655-1,"")</f>
        <v>-0.154328934663663</v>
      </c>
    </row>
    <row r="657" customFormat="false" ht="14.25" hidden="false" customHeight="true" outlineLevel="0" collapsed="false">
      <c r="A657" s="26" t="n">
        <v>36739</v>
      </c>
      <c r="B657" s="1" t="n">
        <v>2000</v>
      </c>
      <c r="C657" s="1" t="n">
        <v>8</v>
      </c>
      <c r="D657" s="1" t="s">
        <v>49</v>
      </c>
      <c r="E657" s="1" t="s">
        <v>13</v>
      </c>
      <c r="F657" s="1" t="n">
        <v>63.23</v>
      </c>
      <c r="G657" s="1" t="n">
        <f aca="false">IF(E657=E656,F657/F656-1,"")</f>
        <v>0.203235014272122</v>
      </c>
    </row>
    <row r="658" customFormat="false" ht="14.25" hidden="false" customHeight="true" outlineLevel="0" collapsed="false">
      <c r="A658" s="26" t="n">
        <v>36770</v>
      </c>
      <c r="B658" s="1" t="n">
        <v>2000</v>
      </c>
      <c r="C658" s="1" t="n">
        <v>9</v>
      </c>
      <c r="D658" s="1" t="s">
        <v>50</v>
      </c>
      <c r="E658" s="1" t="s">
        <v>13</v>
      </c>
      <c r="F658" s="1" t="n">
        <v>58.69</v>
      </c>
      <c r="G658" s="1" t="n">
        <f aca="false">IF(E658=E657,F658/F657-1,"")</f>
        <v>-0.07180136011387</v>
      </c>
    </row>
    <row r="659" customFormat="false" ht="14.25" hidden="false" customHeight="true" outlineLevel="0" collapsed="false">
      <c r="A659" s="26" t="n">
        <v>36800</v>
      </c>
      <c r="B659" s="1" t="n">
        <v>2000</v>
      </c>
      <c r="C659" s="1" t="n">
        <v>10</v>
      </c>
      <c r="D659" s="1" t="s">
        <v>51</v>
      </c>
      <c r="E659" s="1" t="s">
        <v>13</v>
      </c>
      <c r="F659" s="1" t="n">
        <v>62.06</v>
      </c>
      <c r="G659" s="1" t="n">
        <f aca="false">IF(E659=E658,F659/F658-1,"")</f>
        <v>0.0574203441812917</v>
      </c>
    </row>
    <row r="660" customFormat="false" ht="14.25" hidden="false" customHeight="true" outlineLevel="0" collapsed="false">
      <c r="A660" s="26" t="n">
        <v>36831</v>
      </c>
      <c r="B660" s="1" t="n">
        <v>2000</v>
      </c>
      <c r="C660" s="1" t="n">
        <v>11</v>
      </c>
      <c r="D660" s="1" t="s">
        <v>52</v>
      </c>
      <c r="E660" s="1" t="s">
        <v>13</v>
      </c>
      <c r="F660" s="1" t="n">
        <v>63.75</v>
      </c>
      <c r="G660" s="1" t="n">
        <f aca="false">IF(E660=E659,F660/F659-1,"")</f>
        <v>0.02723171124718</v>
      </c>
    </row>
    <row r="661" customFormat="false" ht="14.25" hidden="false" customHeight="true" outlineLevel="0" collapsed="false">
      <c r="A661" s="26" t="n">
        <v>36861</v>
      </c>
      <c r="B661" s="1" t="n">
        <v>2000</v>
      </c>
      <c r="C661" s="1" t="n">
        <v>12</v>
      </c>
      <c r="D661" s="1" t="s">
        <v>53</v>
      </c>
      <c r="E661" s="1" t="s">
        <v>13</v>
      </c>
      <c r="F661" s="1" t="n">
        <v>50.71</v>
      </c>
      <c r="G661" s="1" t="n">
        <f aca="false">IF(E661=E660,F661/F660-1,"")</f>
        <v>-0.204549019607843</v>
      </c>
    </row>
    <row r="662" customFormat="false" ht="14.25" hidden="false" customHeight="true" outlineLevel="0" collapsed="false">
      <c r="A662" s="26" t="n">
        <v>36892</v>
      </c>
      <c r="B662" s="1" t="n">
        <v>2001</v>
      </c>
      <c r="C662" s="1" t="n">
        <v>1</v>
      </c>
      <c r="D662" s="1" t="s">
        <v>42</v>
      </c>
      <c r="E662" s="1" t="s">
        <v>13</v>
      </c>
      <c r="F662" s="1" t="n">
        <v>53.97</v>
      </c>
      <c r="G662" s="1" t="n">
        <f aca="false">IF(E662=E661,F662/F661-1,"")</f>
        <v>0.0642871228554525</v>
      </c>
    </row>
    <row r="663" customFormat="false" ht="14.25" hidden="false" customHeight="true" outlineLevel="0" collapsed="false">
      <c r="A663" s="26" t="n">
        <v>36923</v>
      </c>
      <c r="B663" s="1" t="n">
        <v>2001</v>
      </c>
      <c r="C663" s="1" t="n">
        <v>2</v>
      </c>
      <c r="D663" s="1" t="s">
        <v>43</v>
      </c>
      <c r="E663" s="1" t="s">
        <v>13</v>
      </c>
      <c r="F663" s="1" t="n">
        <v>51.37</v>
      </c>
      <c r="G663" s="1" t="n">
        <f aca="false">IF(E663=E662,F663/F662-1,"")</f>
        <v>-0.0481749119881416</v>
      </c>
    </row>
    <row r="664" customFormat="false" ht="14.25" hidden="false" customHeight="true" outlineLevel="0" collapsed="false">
      <c r="A664" s="26" t="n">
        <v>36951</v>
      </c>
      <c r="B664" s="1" t="n">
        <v>2001</v>
      </c>
      <c r="C664" s="1" t="n">
        <v>3</v>
      </c>
      <c r="D664" s="1" t="s">
        <v>44</v>
      </c>
      <c r="E664" s="1" t="s">
        <v>13</v>
      </c>
      <c r="F664" s="1" t="n">
        <v>49.42</v>
      </c>
      <c r="G664" s="1" t="n">
        <f aca="false">IF(E664=E663,F664/F663-1,"")</f>
        <v>-0.0379598987736032</v>
      </c>
    </row>
    <row r="665" customFormat="false" ht="14.25" hidden="false" customHeight="true" outlineLevel="0" collapsed="false">
      <c r="A665" s="26" t="n">
        <v>36982</v>
      </c>
      <c r="B665" s="1" t="n">
        <v>2001</v>
      </c>
      <c r="C665" s="1" t="n">
        <v>4</v>
      </c>
      <c r="D665" s="1" t="s">
        <v>45</v>
      </c>
      <c r="E665" s="1" t="s">
        <v>13</v>
      </c>
      <c r="F665" s="1" t="n">
        <v>53.16</v>
      </c>
      <c r="G665" s="1" t="n">
        <f aca="false">IF(E665=E664,F665/F664-1,"")</f>
        <v>0.075677863213274</v>
      </c>
    </row>
    <row r="666" customFormat="false" ht="14.25" hidden="false" customHeight="true" outlineLevel="0" collapsed="false">
      <c r="A666" s="26" t="n">
        <v>37012</v>
      </c>
      <c r="B666" s="1" t="n">
        <v>2001</v>
      </c>
      <c r="C666" s="1" t="n">
        <v>5</v>
      </c>
      <c r="D666" s="1" t="s">
        <v>46</v>
      </c>
      <c r="E666" s="1" t="s">
        <v>13</v>
      </c>
      <c r="F666" s="1" t="n">
        <v>52.76</v>
      </c>
      <c r="G666" s="1" t="n">
        <f aca="false">IF(E666=E665,F666/F665-1,"")</f>
        <v>-0.00752445447705041</v>
      </c>
    </row>
    <row r="667" customFormat="false" ht="14.25" hidden="false" customHeight="true" outlineLevel="0" collapsed="false">
      <c r="A667" s="26" t="n">
        <v>37043</v>
      </c>
      <c r="B667" s="1" t="n">
        <v>2001</v>
      </c>
      <c r="C667" s="1" t="n">
        <v>6</v>
      </c>
      <c r="D667" s="1" t="s">
        <v>47</v>
      </c>
      <c r="E667" s="1" t="s">
        <v>13</v>
      </c>
      <c r="F667" s="1" t="n">
        <v>48.92</v>
      </c>
      <c r="G667" s="1" t="n">
        <f aca="false">IF(E667=E666,F667/F666-1,"")</f>
        <v>-0.0727824109173616</v>
      </c>
    </row>
    <row r="668" customFormat="false" ht="14.25" hidden="false" customHeight="true" outlineLevel="0" collapsed="false">
      <c r="A668" s="26" t="n">
        <v>37073</v>
      </c>
      <c r="B668" s="1" t="n">
        <v>2001</v>
      </c>
      <c r="C668" s="1" t="n">
        <v>7</v>
      </c>
      <c r="D668" s="1" t="s">
        <v>48</v>
      </c>
      <c r="E668" s="1" t="s">
        <v>13</v>
      </c>
      <c r="F668" s="1" t="n">
        <v>49.67</v>
      </c>
      <c r="G668" s="1" t="n">
        <f aca="false">IF(E668=E667,F668/F667-1,"")</f>
        <v>0.0153311529026983</v>
      </c>
    </row>
    <row r="669" customFormat="false" ht="14.25" hidden="false" customHeight="true" outlineLevel="0" collapsed="false">
      <c r="A669" s="26" t="n">
        <v>37104</v>
      </c>
      <c r="B669" s="1" t="n">
        <v>2001</v>
      </c>
      <c r="C669" s="1" t="n">
        <v>8</v>
      </c>
      <c r="D669" s="1" t="s">
        <v>49</v>
      </c>
      <c r="E669" s="1" t="s">
        <v>13</v>
      </c>
      <c r="F669" s="1" t="n">
        <v>49.58</v>
      </c>
      <c r="G669" s="1" t="n">
        <f aca="false">IF(E669=E668,F669/F668-1,"")</f>
        <v>-0.00181195892893105</v>
      </c>
    </row>
    <row r="670" customFormat="false" ht="14.25" hidden="false" customHeight="true" outlineLevel="0" collapsed="false">
      <c r="A670" s="26" t="n">
        <v>37135</v>
      </c>
      <c r="B670" s="1" t="n">
        <v>2001</v>
      </c>
      <c r="C670" s="1" t="n">
        <v>9</v>
      </c>
      <c r="D670" s="1" t="s">
        <v>50</v>
      </c>
      <c r="E670" s="1" t="s">
        <v>13</v>
      </c>
      <c r="F670" s="1" t="n">
        <v>43.41</v>
      </c>
      <c r="G670" s="1" t="n">
        <f aca="false">IF(E670=E669,F670/F669-1,"")</f>
        <v>-0.124445340863251</v>
      </c>
    </row>
    <row r="671" customFormat="false" ht="14.25" hidden="false" customHeight="true" outlineLevel="0" collapsed="false">
      <c r="A671" s="26" t="n">
        <v>37165</v>
      </c>
      <c r="B671" s="1" t="n">
        <v>2001</v>
      </c>
      <c r="C671" s="1" t="n">
        <v>10</v>
      </c>
      <c r="D671" s="1" t="s">
        <v>51</v>
      </c>
      <c r="E671" s="1" t="s">
        <v>13</v>
      </c>
      <c r="F671" s="1" t="n">
        <v>39.4</v>
      </c>
      <c r="G671" s="1" t="n">
        <f aca="false">IF(E671=E670,F671/F670-1,"")</f>
        <v>-0.0923750287952084</v>
      </c>
    </row>
    <row r="672" customFormat="false" ht="14.25" hidden="false" customHeight="true" outlineLevel="0" collapsed="false">
      <c r="A672" s="26" t="n">
        <v>37196</v>
      </c>
      <c r="B672" s="1" t="n">
        <v>2001</v>
      </c>
      <c r="C672" s="1" t="n">
        <v>11</v>
      </c>
      <c r="D672" s="1" t="s">
        <v>52</v>
      </c>
      <c r="E672" s="1" t="s">
        <v>13</v>
      </c>
      <c r="F672" s="1" t="n">
        <v>36.22</v>
      </c>
      <c r="G672" s="1" t="n">
        <f aca="false">IF(E672=E671,F672/F671-1,"")</f>
        <v>-0.0807106598984771</v>
      </c>
    </row>
    <row r="673" customFormat="false" ht="14.25" hidden="false" customHeight="true" outlineLevel="0" collapsed="false">
      <c r="A673" s="26" t="n">
        <v>37226</v>
      </c>
      <c r="B673" s="1" t="n">
        <v>2001</v>
      </c>
      <c r="C673" s="1" t="n">
        <v>12</v>
      </c>
      <c r="D673" s="1" t="s">
        <v>53</v>
      </c>
      <c r="E673" s="1" t="s">
        <v>13</v>
      </c>
      <c r="F673" s="1" t="n">
        <v>37.3</v>
      </c>
      <c r="G673" s="1" t="n">
        <f aca="false">IF(E673=E672,F673/F672-1,"")</f>
        <v>0.0298177802319159</v>
      </c>
    </row>
    <row r="674" customFormat="false" ht="14.25" hidden="false" customHeight="true" outlineLevel="0" collapsed="false">
      <c r="A674" s="26" t="n">
        <v>37257</v>
      </c>
      <c r="B674" s="1" t="n">
        <v>2002</v>
      </c>
      <c r="C674" s="1" t="n">
        <v>1</v>
      </c>
      <c r="D674" s="1" t="s">
        <v>42</v>
      </c>
      <c r="E674" s="1" t="s">
        <v>13</v>
      </c>
      <c r="F674" s="1" t="n">
        <v>36.75</v>
      </c>
      <c r="G674" s="1" t="n">
        <f aca="false">IF(E674=E673,F674/F673-1,"")</f>
        <v>-0.0147453083109919</v>
      </c>
    </row>
    <row r="675" customFormat="false" ht="14.25" hidden="false" customHeight="true" outlineLevel="0" collapsed="false">
      <c r="A675" s="26" t="n">
        <v>37288</v>
      </c>
      <c r="B675" s="1" t="n">
        <v>2002</v>
      </c>
      <c r="C675" s="1" t="n">
        <v>2</v>
      </c>
      <c r="D675" s="1" t="s">
        <v>43</v>
      </c>
      <c r="E675" s="1" t="s">
        <v>13</v>
      </c>
      <c r="F675" s="1" t="n">
        <v>40.45</v>
      </c>
      <c r="G675" s="1" t="n">
        <f aca="false">IF(E675=E674,F675/F674-1,"")</f>
        <v>0.100680272108844</v>
      </c>
    </row>
    <row r="676" customFormat="false" ht="14.25" hidden="false" customHeight="true" outlineLevel="0" collapsed="false">
      <c r="A676" s="26" t="n">
        <v>37316</v>
      </c>
      <c r="B676" s="1" t="n">
        <v>2002</v>
      </c>
      <c r="C676" s="1" t="n">
        <v>3</v>
      </c>
      <c r="D676" s="1" t="s">
        <v>44</v>
      </c>
      <c r="E676" s="1" t="s">
        <v>13</v>
      </c>
      <c r="F676" s="1" t="n">
        <v>48.41</v>
      </c>
      <c r="G676" s="1" t="n">
        <f aca="false">IF(E676=E675,F676/F675-1,"")</f>
        <v>0.196786155747837</v>
      </c>
    </row>
    <row r="677" customFormat="false" ht="14.25" hidden="false" customHeight="true" outlineLevel="0" collapsed="false">
      <c r="A677" s="26" t="n">
        <v>37347</v>
      </c>
      <c r="B677" s="1" t="n">
        <v>2002</v>
      </c>
      <c r="C677" s="1" t="n">
        <v>4</v>
      </c>
      <c r="D677" s="1" t="s">
        <v>45</v>
      </c>
      <c r="E677" s="1" t="s">
        <v>13</v>
      </c>
      <c r="F677" s="1" t="n">
        <v>50.17</v>
      </c>
      <c r="G677" s="1" t="n">
        <f aca="false">IF(E677=E676,F677/F676-1,"")</f>
        <v>0.0363561247676101</v>
      </c>
    </row>
    <row r="678" customFormat="false" ht="14.25" hidden="false" customHeight="true" outlineLevel="0" collapsed="false">
      <c r="A678" s="26" t="n">
        <v>37377</v>
      </c>
      <c r="B678" s="1" t="n">
        <v>2002</v>
      </c>
      <c r="C678" s="1" t="n">
        <v>5</v>
      </c>
      <c r="D678" s="1" t="s">
        <v>46</v>
      </c>
      <c r="E678" s="1" t="s">
        <v>13</v>
      </c>
      <c r="F678" s="1" t="n">
        <v>46.59</v>
      </c>
      <c r="G678" s="1" t="n">
        <f aca="false">IF(E678=E677,F678/F677-1,"")</f>
        <v>-0.0713573848913693</v>
      </c>
    </row>
    <row r="679" customFormat="false" ht="14.25" hidden="false" customHeight="true" outlineLevel="0" collapsed="false">
      <c r="A679" s="26" t="n">
        <v>37408</v>
      </c>
      <c r="B679" s="1" t="n">
        <v>2002</v>
      </c>
      <c r="C679" s="1" t="n">
        <v>6</v>
      </c>
      <c r="D679" s="1" t="s">
        <v>47</v>
      </c>
      <c r="E679" s="1" t="s">
        <v>13</v>
      </c>
      <c r="F679" s="1" t="n">
        <v>49.17</v>
      </c>
      <c r="G679" s="1" t="n">
        <f aca="false">IF(E679=E678,F679/F678-1,"")</f>
        <v>0.0553766902768833</v>
      </c>
    </row>
    <row r="680" customFormat="false" ht="14.25" hidden="false" customHeight="true" outlineLevel="0" collapsed="false">
      <c r="A680" s="26" t="n">
        <v>37438</v>
      </c>
      <c r="B680" s="1" t="n">
        <v>2002</v>
      </c>
      <c r="C680" s="1" t="n">
        <v>7</v>
      </c>
      <c r="D680" s="1" t="s">
        <v>48</v>
      </c>
      <c r="E680" s="1" t="s">
        <v>13</v>
      </c>
      <c r="F680" s="1" t="n">
        <v>49.54</v>
      </c>
      <c r="G680" s="1" t="n">
        <f aca="false">IF(E680=E679,F680/F679-1,"")</f>
        <v>0.00752491356518203</v>
      </c>
    </row>
    <row r="681" customFormat="false" ht="14.25" hidden="false" customHeight="true" outlineLevel="0" collapsed="false">
      <c r="A681" s="26" t="n">
        <v>37469</v>
      </c>
      <c r="B681" s="1" t="n">
        <v>2002</v>
      </c>
      <c r="C681" s="1" t="n">
        <v>8</v>
      </c>
      <c r="D681" s="1" t="s">
        <v>49</v>
      </c>
      <c r="E681" s="1" t="s">
        <v>13</v>
      </c>
      <c r="F681" s="1" t="n">
        <v>52.94</v>
      </c>
      <c r="G681" s="1" t="n">
        <f aca="false">IF(E681=E680,F681/F680-1,"")</f>
        <v>0.0686314089624545</v>
      </c>
    </row>
    <row r="682" customFormat="false" ht="14.25" hidden="false" customHeight="true" outlineLevel="0" collapsed="false">
      <c r="A682" s="26" t="n">
        <v>37500</v>
      </c>
      <c r="B682" s="1" t="n">
        <v>2002</v>
      </c>
      <c r="C682" s="1" t="n">
        <v>9</v>
      </c>
      <c r="D682" s="1" t="s">
        <v>50</v>
      </c>
      <c r="E682" s="1" t="s">
        <v>13</v>
      </c>
      <c r="F682" s="1" t="n">
        <v>55.81</v>
      </c>
      <c r="G682" s="1" t="n">
        <f aca="false">IF(E682=E681,F682/F681-1,"")</f>
        <v>0.0542123158292407</v>
      </c>
    </row>
    <row r="683" customFormat="false" ht="14.25" hidden="false" customHeight="true" outlineLevel="0" collapsed="false">
      <c r="A683" s="26" t="n">
        <v>37530</v>
      </c>
      <c r="B683" s="1" t="n">
        <v>2002</v>
      </c>
      <c r="C683" s="1" t="n">
        <v>10</v>
      </c>
      <c r="D683" s="1" t="s">
        <v>51</v>
      </c>
      <c r="E683" s="1" t="s">
        <v>13</v>
      </c>
      <c r="F683" s="1" t="n">
        <v>49.5</v>
      </c>
      <c r="G683" s="1" t="n">
        <f aca="false">IF(E683=E682,F683/F682-1,"")</f>
        <v>-0.113062175237413</v>
      </c>
    </row>
    <row r="684" customFormat="false" ht="14.25" hidden="false" customHeight="true" outlineLevel="0" collapsed="false">
      <c r="A684" s="26" t="n">
        <v>37561</v>
      </c>
      <c r="B684" s="1" t="n">
        <v>2002</v>
      </c>
      <c r="C684" s="1" t="n">
        <v>11</v>
      </c>
      <c r="D684" s="1" t="s">
        <v>52</v>
      </c>
      <c r="E684" s="1" t="s">
        <v>13</v>
      </c>
      <c r="F684" s="1" t="n">
        <v>48.94</v>
      </c>
      <c r="G684" s="1" t="n">
        <f aca="false">IF(E684=E683,F684/F683-1,"")</f>
        <v>-0.0113131313131314</v>
      </c>
    </row>
    <row r="685" customFormat="false" ht="14.25" hidden="false" customHeight="true" outlineLevel="0" collapsed="false">
      <c r="A685" s="26" t="n">
        <v>37591</v>
      </c>
      <c r="B685" s="1" t="n">
        <v>2002</v>
      </c>
      <c r="C685" s="1" t="n">
        <v>12</v>
      </c>
      <c r="D685" s="1" t="s">
        <v>53</v>
      </c>
      <c r="E685" s="1" t="s">
        <v>13</v>
      </c>
      <c r="F685" s="1" t="n">
        <v>56.97</v>
      </c>
      <c r="G685" s="1" t="n">
        <f aca="false">IF(E685=E684,F685/F684-1,"")</f>
        <v>0.164078463424602</v>
      </c>
    </row>
    <row r="686" customFormat="false" ht="14.25" hidden="false" customHeight="true" outlineLevel="0" collapsed="false">
      <c r="A686" s="26" t="n">
        <v>37622</v>
      </c>
      <c r="B686" s="1" t="n">
        <v>2003</v>
      </c>
      <c r="C686" s="1" t="n">
        <v>1</v>
      </c>
      <c r="D686" s="1" t="s">
        <v>42</v>
      </c>
      <c r="E686" s="1" t="s">
        <v>13</v>
      </c>
      <c r="F686" s="1" t="n">
        <v>60.9</v>
      </c>
      <c r="G686" s="1" t="n">
        <f aca="false">IF(E686=E685,F686/F685-1,"")</f>
        <v>0.0689836756187467</v>
      </c>
    </row>
    <row r="687" customFormat="false" ht="14.25" hidden="false" customHeight="true" outlineLevel="0" collapsed="false">
      <c r="A687" s="26" t="n">
        <v>37653</v>
      </c>
      <c r="B687" s="1" t="n">
        <v>2003</v>
      </c>
      <c r="C687" s="1" t="n">
        <v>2</v>
      </c>
      <c r="D687" s="1" t="s">
        <v>43</v>
      </c>
      <c r="E687" s="1" t="s">
        <v>13</v>
      </c>
      <c r="F687" s="1" t="n">
        <v>66.3</v>
      </c>
      <c r="G687" s="1" t="n">
        <f aca="false">IF(E687=E686,F687/F686-1,"")</f>
        <v>0.0886699507389162</v>
      </c>
    </row>
    <row r="688" customFormat="false" ht="14.25" hidden="false" customHeight="true" outlineLevel="0" collapsed="false">
      <c r="A688" s="26" t="n">
        <v>37681</v>
      </c>
      <c r="B688" s="1" t="n">
        <v>2003</v>
      </c>
      <c r="C688" s="1" t="n">
        <v>3</v>
      </c>
      <c r="D688" s="1" t="s">
        <v>44</v>
      </c>
      <c r="E688" s="1" t="s">
        <v>13</v>
      </c>
      <c r="F688" s="1" t="n">
        <v>55.82</v>
      </c>
      <c r="G688" s="1" t="n">
        <f aca="false">IF(E688=E687,F688/F687-1,"")</f>
        <v>-0.158069381598793</v>
      </c>
    </row>
    <row r="689" customFormat="false" ht="14.25" hidden="false" customHeight="true" outlineLevel="0" collapsed="false">
      <c r="A689" s="26" t="n">
        <v>37712</v>
      </c>
      <c r="B689" s="1" t="n">
        <v>2003</v>
      </c>
      <c r="C689" s="1" t="n">
        <v>4</v>
      </c>
      <c r="D689" s="1" t="s">
        <v>45</v>
      </c>
      <c r="E689" s="1" t="s">
        <v>13</v>
      </c>
      <c r="F689" s="1" t="n">
        <v>46.87</v>
      </c>
      <c r="G689" s="1" t="n">
        <f aca="false">IF(E689=E688,F689/F688-1,"")</f>
        <v>-0.160336796847008</v>
      </c>
    </row>
    <row r="690" customFormat="false" ht="14.25" hidden="false" customHeight="true" outlineLevel="0" collapsed="false">
      <c r="A690" s="26" t="n">
        <v>37742</v>
      </c>
      <c r="B690" s="1" t="n">
        <v>2003</v>
      </c>
      <c r="C690" s="1" t="n">
        <v>5</v>
      </c>
      <c r="D690" s="1" t="s">
        <v>46</v>
      </c>
      <c r="E690" s="1" t="s">
        <v>13</v>
      </c>
      <c r="F690" s="1" t="n">
        <v>53.19</v>
      </c>
      <c r="G690" s="1" t="n">
        <f aca="false">IF(E690=E689,F690/F689-1,"")</f>
        <v>0.134841049711969</v>
      </c>
    </row>
    <row r="691" customFormat="false" ht="14.25" hidden="false" customHeight="true" outlineLevel="0" collapsed="false">
      <c r="A691" s="26" t="n">
        <v>37773</v>
      </c>
      <c r="B691" s="1" t="n">
        <v>2003</v>
      </c>
      <c r="C691" s="1" t="n">
        <v>6</v>
      </c>
      <c r="D691" s="1" t="s">
        <v>47</v>
      </c>
      <c r="E691" s="1" t="s">
        <v>13</v>
      </c>
      <c r="F691" s="1" t="n">
        <v>54.2</v>
      </c>
      <c r="G691" s="1" t="n">
        <f aca="false">IF(E691=E690,F691/F690-1,"")</f>
        <v>0.0189885316788871</v>
      </c>
    </row>
    <row r="692" customFormat="false" ht="14.25" hidden="false" customHeight="true" outlineLevel="0" collapsed="false">
      <c r="A692" s="26" t="n">
        <v>37803</v>
      </c>
      <c r="B692" s="1" t="n">
        <v>2003</v>
      </c>
      <c r="C692" s="1" t="n">
        <v>7</v>
      </c>
      <c r="D692" s="1" t="s">
        <v>48</v>
      </c>
      <c r="E692" s="1" t="s">
        <v>13</v>
      </c>
      <c r="F692" s="1" t="n">
        <v>54.87</v>
      </c>
      <c r="G692" s="1" t="n">
        <f aca="false">IF(E692=E691,F692/F691-1,"")</f>
        <v>0.0123616236162361</v>
      </c>
    </row>
    <row r="693" customFormat="false" ht="14.25" hidden="false" customHeight="true" outlineLevel="0" collapsed="false">
      <c r="A693" s="26" t="n">
        <v>37834</v>
      </c>
      <c r="B693" s="1" t="n">
        <v>2003</v>
      </c>
      <c r="C693" s="1" t="n">
        <v>8</v>
      </c>
      <c r="D693" s="1" t="s">
        <v>49</v>
      </c>
      <c r="E693" s="1" t="s">
        <v>13</v>
      </c>
      <c r="F693" s="1" t="n">
        <v>56.81</v>
      </c>
      <c r="G693" s="1" t="n">
        <f aca="false">IF(E693=E692,F693/F692-1,"")</f>
        <v>0.0353562967012941</v>
      </c>
    </row>
    <row r="694" customFormat="false" ht="14.25" hidden="false" customHeight="true" outlineLevel="0" collapsed="false">
      <c r="A694" s="26" t="n">
        <v>37865</v>
      </c>
      <c r="B694" s="1" t="n">
        <v>2003</v>
      </c>
      <c r="C694" s="1" t="n">
        <v>9</v>
      </c>
      <c r="D694" s="1" t="s">
        <v>50</v>
      </c>
      <c r="E694" s="1" t="s">
        <v>13</v>
      </c>
      <c r="F694" s="1" t="n">
        <v>52.05</v>
      </c>
      <c r="G694" s="1" t="n">
        <f aca="false">IF(E694=E693,F694/F693-1,"")</f>
        <v>-0.0837880654814294</v>
      </c>
    </row>
    <row r="695" customFormat="false" ht="14.25" hidden="false" customHeight="true" outlineLevel="0" collapsed="false">
      <c r="A695" s="26" t="n">
        <v>37895</v>
      </c>
      <c r="B695" s="1" t="n">
        <v>2003</v>
      </c>
      <c r="C695" s="1" t="n">
        <v>10</v>
      </c>
      <c r="D695" s="1" t="s">
        <v>51</v>
      </c>
      <c r="E695" s="1" t="s">
        <v>13</v>
      </c>
      <c r="F695" s="1" t="n">
        <v>52.19</v>
      </c>
      <c r="G695" s="1" t="n">
        <f aca="false">IF(E695=E694,F695/F694-1,"")</f>
        <v>0.00268972142170987</v>
      </c>
    </row>
    <row r="696" customFormat="false" ht="14.25" hidden="false" customHeight="true" outlineLevel="0" collapsed="false">
      <c r="A696" s="26" t="n">
        <v>37926</v>
      </c>
      <c r="B696" s="1" t="n">
        <v>2003</v>
      </c>
      <c r="C696" s="1" t="n">
        <v>11</v>
      </c>
      <c r="D696" s="1" t="s">
        <v>52</v>
      </c>
      <c r="E696" s="1" t="s">
        <v>13</v>
      </c>
      <c r="F696" s="1" t="n">
        <v>54.28</v>
      </c>
      <c r="G696" s="1" t="n">
        <f aca="false">IF(E696=E695,F696/F695-1,"")</f>
        <v>0.0400459858210387</v>
      </c>
    </row>
    <row r="697" customFormat="false" ht="14.25" hidden="false" customHeight="true" outlineLevel="0" collapsed="false">
      <c r="A697" s="26" t="n">
        <v>37956</v>
      </c>
      <c r="B697" s="1" t="n">
        <v>2003</v>
      </c>
      <c r="C697" s="1" t="n">
        <v>12</v>
      </c>
      <c r="D697" s="1" t="s">
        <v>53</v>
      </c>
      <c r="E697" s="1" t="s">
        <v>13</v>
      </c>
      <c r="F697" s="1" t="n">
        <v>58.25</v>
      </c>
      <c r="G697" s="1" t="n">
        <f aca="false">IF(E697=E696,F697/F696-1,"")</f>
        <v>0.0731392778187177</v>
      </c>
    </row>
    <row r="698" customFormat="false" ht="14.25" hidden="false" customHeight="true" outlineLevel="0" collapsed="false">
      <c r="A698" s="26" t="n">
        <v>37987</v>
      </c>
      <c r="B698" s="1" t="n">
        <v>2004</v>
      </c>
      <c r="C698" s="1" t="n">
        <v>1</v>
      </c>
      <c r="D698" s="1" t="s">
        <v>42</v>
      </c>
      <c r="E698" s="1" t="s">
        <v>13</v>
      </c>
      <c r="F698" s="1" t="n">
        <v>59.12</v>
      </c>
      <c r="G698" s="1" t="n">
        <f aca="false">IF(E698=E697,F698/F697-1,"")</f>
        <v>0.0149356223175965</v>
      </c>
    </row>
    <row r="699" customFormat="false" ht="14.25" hidden="false" customHeight="true" outlineLevel="0" collapsed="false">
      <c r="A699" s="26" t="n">
        <v>38018</v>
      </c>
      <c r="B699" s="1" t="n">
        <v>2004</v>
      </c>
      <c r="C699" s="1" t="n">
        <v>2</v>
      </c>
      <c r="D699" s="1" t="s">
        <v>43</v>
      </c>
      <c r="E699" s="1" t="s">
        <v>13</v>
      </c>
      <c r="F699" s="1" t="n">
        <v>63.99</v>
      </c>
      <c r="G699" s="1" t="n">
        <f aca="false">IF(E699=E698,F699/F698-1,"")</f>
        <v>0.0823748308525034</v>
      </c>
    </row>
    <row r="700" customFormat="false" ht="14.25" hidden="false" customHeight="true" outlineLevel="0" collapsed="false">
      <c r="A700" s="26" t="n">
        <v>38047</v>
      </c>
      <c r="B700" s="1" t="n">
        <v>2004</v>
      </c>
      <c r="C700" s="1" t="n">
        <v>3</v>
      </c>
      <c r="D700" s="1" t="s">
        <v>44</v>
      </c>
      <c r="E700" s="1" t="s">
        <v>13</v>
      </c>
      <c r="F700" s="1" t="n">
        <v>62.99</v>
      </c>
      <c r="G700" s="1" t="n">
        <f aca="false">IF(E700=E699,F700/F699-1,"")</f>
        <v>-0.0156274417877793</v>
      </c>
    </row>
    <row r="701" customFormat="false" ht="14.25" hidden="false" customHeight="true" outlineLevel="0" collapsed="false">
      <c r="A701" s="26" t="n">
        <v>38078</v>
      </c>
      <c r="B701" s="1" t="n">
        <v>2004</v>
      </c>
      <c r="C701" s="1" t="n">
        <v>4</v>
      </c>
      <c r="D701" s="1" t="s">
        <v>45</v>
      </c>
      <c r="E701" s="1" t="s">
        <v>13</v>
      </c>
      <c r="F701" s="1" t="n">
        <v>65.53</v>
      </c>
      <c r="G701" s="1" t="n">
        <f aca="false">IF(E701=E700,F701/F700-1,"")</f>
        <v>0.0403238609303065</v>
      </c>
    </row>
    <row r="702" customFormat="false" ht="14.25" hidden="false" customHeight="true" outlineLevel="0" collapsed="false">
      <c r="A702" s="26" t="n">
        <v>38108</v>
      </c>
      <c r="B702" s="1" t="n">
        <v>2004</v>
      </c>
      <c r="C702" s="1" t="n">
        <v>5</v>
      </c>
      <c r="D702" s="1" t="s">
        <v>46</v>
      </c>
      <c r="E702" s="1" t="s">
        <v>13</v>
      </c>
      <c r="F702" s="1" t="n">
        <v>69.67</v>
      </c>
      <c r="G702" s="1" t="n">
        <f aca="false">IF(E702=E701,F702/F701-1,"")</f>
        <v>0.0631771707614832</v>
      </c>
    </row>
    <row r="703" customFormat="false" ht="14.25" hidden="false" customHeight="true" outlineLevel="0" collapsed="false">
      <c r="A703" s="26" t="n">
        <v>38139</v>
      </c>
      <c r="B703" s="1" t="n">
        <v>2004</v>
      </c>
      <c r="C703" s="1" t="n">
        <v>6</v>
      </c>
      <c r="D703" s="1" t="s">
        <v>47</v>
      </c>
      <c r="E703" s="1" t="s">
        <v>13</v>
      </c>
      <c r="F703" s="1" t="n">
        <v>64.27</v>
      </c>
      <c r="G703" s="1" t="n">
        <f aca="false">IF(E703=E702,F703/F702-1,"")</f>
        <v>-0.0775082531936272</v>
      </c>
    </row>
    <row r="704" customFormat="false" ht="14.25" hidden="false" customHeight="true" outlineLevel="0" collapsed="false">
      <c r="A704" s="26" t="n">
        <v>38169</v>
      </c>
      <c r="B704" s="1" t="n">
        <v>2004</v>
      </c>
      <c r="C704" s="1" t="n">
        <v>7</v>
      </c>
      <c r="D704" s="1" t="s">
        <v>48</v>
      </c>
      <c r="E704" s="1" t="s">
        <v>13</v>
      </c>
      <c r="F704" s="1" t="n">
        <v>76.22</v>
      </c>
      <c r="G704" s="1" t="n">
        <f aca="false">IF(E704=E703,F704/F703-1,"")</f>
        <v>0.185934339505212</v>
      </c>
    </row>
    <row r="705" customFormat="false" ht="14.25" hidden="false" customHeight="true" outlineLevel="0" collapsed="false">
      <c r="A705" s="26" t="n">
        <v>38200</v>
      </c>
      <c r="B705" s="1" t="n">
        <v>2004</v>
      </c>
      <c r="C705" s="1" t="n">
        <v>8</v>
      </c>
      <c r="D705" s="1" t="s">
        <v>49</v>
      </c>
      <c r="E705" s="1" t="s">
        <v>13</v>
      </c>
      <c r="F705" s="1" t="n">
        <v>73.59</v>
      </c>
      <c r="G705" s="1" t="n">
        <f aca="false">IF(E705=E704,F705/F704-1,"")</f>
        <v>-0.0345053791655733</v>
      </c>
    </row>
    <row r="706" customFormat="false" ht="14.25" hidden="false" customHeight="true" outlineLevel="0" collapsed="false">
      <c r="A706" s="26" t="n">
        <v>38231</v>
      </c>
      <c r="B706" s="1" t="n">
        <v>2004</v>
      </c>
      <c r="C706" s="1" t="n">
        <v>9</v>
      </c>
      <c r="D706" s="1" t="s">
        <v>50</v>
      </c>
      <c r="E706" s="1" t="s">
        <v>13</v>
      </c>
      <c r="F706" s="1" t="n">
        <v>86.18</v>
      </c>
      <c r="G706" s="1" t="n">
        <f aca="false">IF(E706=E705,F706/F705-1,"")</f>
        <v>0.17108302758527</v>
      </c>
    </row>
    <row r="707" customFormat="false" ht="14.25" hidden="false" customHeight="true" outlineLevel="0" collapsed="false">
      <c r="A707" s="26" t="n">
        <v>38261</v>
      </c>
      <c r="B707" s="1" t="n">
        <v>2004</v>
      </c>
      <c r="C707" s="1" t="n">
        <v>10</v>
      </c>
      <c r="D707" s="1" t="s">
        <v>51</v>
      </c>
      <c r="E707" s="1" t="s">
        <v>13</v>
      </c>
      <c r="F707" s="1" t="n">
        <v>89.57</v>
      </c>
      <c r="G707" s="1" t="n">
        <f aca="false">IF(E707=E706,F707/F706-1,"")</f>
        <v>0.03933627291715</v>
      </c>
    </row>
    <row r="708" customFormat="false" ht="14.25" hidden="false" customHeight="true" outlineLevel="0" collapsed="false">
      <c r="A708" s="26" t="n">
        <v>38292</v>
      </c>
      <c r="B708" s="1" t="n">
        <v>2004</v>
      </c>
      <c r="C708" s="1" t="n">
        <v>11</v>
      </c>
      <c r="D708" s="1" t="s">
        <v>52</v>
      </c>
      <c r="E708" s="1" t="s">
        <v>13</v>
      </c>
      <c r="F708" s="1" t="n">
        <v>84.99</v>
      </c>
      <c r="G708" s="1" t="n">
        <f aca="false">IF(E708=E707,F708/F707-1,"")</f>
        <v>-0.0511331919169364</v>
      </c>
    </row>
    <row r="709" customFormat="false" ht="14.25" hidden="false" customHeight="true" outlineLevel="0" collapsed="false">
      <c r="A709" s="26" t="n">
        <v>38322</v>
      </c>
      <c r="B709" s="1" t="n">
        <v>2004</v>
      </c>
      <c r="C709" s="1" t="n">
        <v>12</v>
      </c>
      <c r="D709" s="1" t="s">
        <v>53</v>
      </c>
      <c r="E709" s="1" t="s">
        <v>13</v>
      </c>
      <c r="F709" s="1" t="n">
        <v>75.24</v>
      </c>
      <c r="G709" s="1" t="n">
        <f aca="false">IF(E709=E708,F709/F708-1,"")</f>
        <v>-0.114719378750441</v>
      </c>
    </row>
    <row r="710" customFormat="false" ht="14.25" hidden="false" customHeight="true" outlineLevel="0" collapsed="false">
      <c r="A710" s="26" t="n">
        <v>38353</v>
      </c>
      <c r="B710" s="1" t="n">
        <v>2005</v>
      </c>
      <c r="C710" s="1" t="n">
        <v>1</v>
      </c>
      <c r="D710" s="1" t="s">
        <v>42</v>
      </c>
      <c r="E710" s="1" t="s">
        <v>13</v>
      </c>
      <c r="F710" s="1" t="n">
        <v>83.55</v>
      </c>
      <c r="G710" s="1" t="n">
        <f aca="false">IF(E710=E709,F710/F709-1,"")</f>
        <v>0.110446570972887</v>
      </c>
    </row>
    <row r="711" customFormat="false" ht="14.25" hidden="false" customHeight="true" outlineLevel="0" collapsed="false">
      <c r="A711" s="26" t="n">
        <v>38384</v>
      </c>
      <c r="B711" s="1" t="n">
        <v>2005</v>
      </c>
      <c r="C711" s="1" t="n">
        <v>2</v>
      </c>
      <c r="D711" s="1" t="s">
        <v>43</v>
      </c>
      <c r="E711" s="1" t="s">
        <v>13</v>
      </c>
      <c r="F711" s="1" t="n">
        <v>89.1</v>
      </c>
      <c r="G711" s="1" t="n">
        <f aca="false">IF(E711=E710,F711/F710-1,"")</f>
        <v>0.0664272890484738</v>
      </c>
    </row>
    <row r="712" customFormat="false" ht="14.25" hidden="false" customHeight="true" outlineLevel="0" collapsed="false">
      <c r="A712" s="26" t="n">
        <v>38412</v>
      </c>
      <c r="B712" s="1" t="n">
        <v>2005</v>
      </c>
      <c r="C712" s="1" t="n">
        <v>3</v>
      </c>
      <c r="D712" s="1" t="s">
        <v>44</v>
      </c>
      <c r="E712" s="1" t="s">
        <v>13</v>
      </c>
      <c r="F712" s="1" t="n">
        <v>94.49</v>
      </c>
      <c r="G712" s="1" t="n">
        <f aca="false">IF(E712=E711,F712/F711-1,"")</f>
        <v>0.0604938271604938</v>
      </c>
    </row>
    <row r="713" customFormat="false" ht="14.25" hidden="false" customHeight="true" outlineLevel="0" collapsed="false">
      <c r="A713" s="26" t="n">
        <v>38443</v>
      </c>
      <c r="B713" s="1" t="n">
        <v>2005</v>
      </c>
      <c r="C713" s="1" t="n">
        <v>4</v>
      </c>
      <c r="D713" s="1" t="s">
        <v>45</v>
      </c>
      <c r="E713" s="1" t="s">
        <v>13</v>
      </c>
      <c r="F713" s="1" t="n">
        <v>83.49</v>
      </c>
      <c r="G713" s="1" t="n">
        <f aca="false">IF(E713=E712,F713/F712-1,"")</f>
        <v>-0.116414435389988</v>
      </c>
    </row>
    <row r="714" customFormat="false" ht="14.25" hidden="false" customHeight="true" outlineLevel="0" collapsed="false">
      <c r="A714" s="26" t="n">
        <v>38473</v>
      </c>
      <c r="B714" s="1" t="n">
        <v>2005</v>
      </c>
      <c r="C714" s="1" t="n">
        <v>5</v>
      </c>
      <c r="D714" s="1" t="s">
        <v>46</v>
      </c>
      <c r="E714" s="1" t="s">
        <v>13</v>
      </c>
      <c r="F714" s="1" t="n">
        <v>88.46</v>
      </c>
      <c r="G714" s="1" t="n">
        <f aca="false">IF(E714=E713,F714/F713-1,"")</f>
        <v>0.0595280871960713</v>
      </c>
    </row>
    <row r="715" customFormat="false" ht="14.25" hidden="false" customHeight="true" outlineLevel="0" collapsed="false">
      <c r="A715" s="26" t="n">
        <v>38504</v>
      </c>
      <c r="B715" s="1" t="n">
        <v>2005</v>
      </c>
      <c r="C715" s="1" t="n">
        <v>6</v>
      </c>
      <c r="D715" s="1" t="s">
        <v>47</v>
      </c>
      <c r="E715" s="1" t="s">
        <v>13</v>
      </c>
      <c r="F715" s="1" t="n">
        <v>96.14</v>
      </c>
      <c r="G715" s="1" t="n">
        <f aca="false">IF(E715=E714,F715/F714-1,"")</f>
        <v>0.0868189011982818</v>
      </c>
    </row>
    <row r="716" customFormat="false" ht="14.25" hidden="false" customHeight="true" outlineLevel="0" collapsed="false">
      <c r="A716" s="26" t="n">
        <v>38534</v>
      </c>
      <c r="B716" s="1" t="n">
        <v>2005</v>
      </c>
      <c r="C716" s="1" t="n">
        <v>7</v>
      </c>
      <c r="D716" s="1" t="s">
        <v>48</v>
      </c>
      <c r="E716" s="1" t="s">
        <v>13</v>
      </c>
      <c r="F716" s="1" t="n">
        <v>102.6</v>
      </c>
      <c r="G716" s="1" t="n">
        <f aca="false">IF(E716=E715,F716/F715-1,"")</f>
        <v>0.0671936758893279</v>
      </c>
    </row>
    <row r="717" customFormat="false" ht="14.25" hidden="false" customHeight="true" outlineLevel="0" collapsed="false">
      <c r="A717" s="26" t="n">
        <v>38565</v>
      </c>
      <c r="B717" s="1" t="n">
        <v>2005</v>
      </c>
      <c r="C717" s="1" t="n">
        <v>8</v>
      </c>
      <c r="D717" s="1" t="s">
        <v>49</v>
      </c>
      <c r="E717" s="1" t="s">
        <v>13</v>
      </c>
      <c r="F717" s="1" t="n">
        <v>115.39</v>
      </c>
      <c r="G717" s="1" t="n">
        <f aca="false">IF(E717=E716,F717/F716-1,"")</f>
        <v>0.124658869395712</v>
      </c>
    </row>
    <row r="718" customFormat="false" ht="14.25" hidden="false" customHeight="true" outlineLevel="0" collapsed="false">
      <c r="A718" s="26" t="n">
        <v>38596</v>
      </c>
      <c r="B718" s="1" t="n">
        <v>2005</v>
      </c>
      <c r="C718" s="1" t="n">
        <v>9</v>
      </c>
      <c r="D718" s="1" t="s">
        <v>50</v>
      </c>
      <c r="E718" s="1" t="s">
        <v>13</v>
      </c>
      <c r="F718" s="1" t="n">
        <v>109.98</v>
      </c>
      <c r="G718" s="1" t="n">
        <f aca="false">IF(E718=E717,F718/F717-1,"")</f>
        <v>-0.0468844787243262</v>
      </c>
    </row>
    <row r="719" customFormat="false" ht="14.25" hidden="false" customHeight="true" outlineLevel="0" collapsed="false">
      <c r="A719" s="26" t="n">
        <v>38626</v>
      </c>
      <c r="B719" s="1" t="n">
        <v>2005</v>
      </c>
      <c r="C719" s="1" t="n">
        <v>10</v>
      </c>
      <c r="D719" s="1" t="s">
        <v>51</v>
      </c>
      <c r="E719" s="1" t="s">
        <v>13</v>
      </c>
      <c r="F719" s="1" t="n">
        <v>99.13</v>
      </c>
      <c r="G719" s="1" t="n">
        <f aca="false">IF(E719=E718,F719/F718-1,"")</f>
        <v>-0.0986543007819605</v>
      </c>
    </row>
    <row r="720" customFormat="false" ht="14.25" hidden="false" customHeight="true" outlineLevel="0" collapsed="false">
      <c r="A720" s="26" t="n">
        <v>38657</v>
      </c>
      <c r="B720" s="1" t="n">
        <v>2005</v>
      </c>
      <c r="C720" s="1" t="n">
        <v>11</v>
      </c>
      <c r="D720" s="1" t="s">
        <v>52</v>
      </c>
      <c r="E720" s="1" t="s">
        <v>13</v>
      </c>
      <c r="F720" s="1" t="n">
        <v>95.81</v>
      </c>
      <c r="G720" s="1" t="n">
        <f aca="false">IF(E720=E719,F720/F719-1,"")</f>
        <v>-0.0334913749621708</v>
      </c>
    </row>
    <row r="721" customFormat="false" ht="14.25" hidden="false" customHeight="true" outlineLevel="0" collapsed="false">
      <c r="A721" s="26" t="n">
        <v>38687</v>
      </c>
      <c r="B721" s="1" t="n">
        <v>2005</v>
      </c>
      <c r="C721" s="1" t="n">
        <v>12</v>
      </c>
      <c r="D721" s="1" t="s">
        <v>53</v>
      </c>
      <c r="E721" s="1" t="s">
        <v>13</v>
      </c>
      <c r="F721" s="1" t="n">
        <v>102.45</v>
      </c>
      <c r="G721" s="1" t="n">
        <f aca="false">IF(E721=E720,F721/F720-1,"")</f>
        <v>0.0693038304978604</v>
      </c>
    </row>
    <row r="722" customFormat="false" ht="14.25" hidden="false" customHeight="true" outlineLevel="0" collapsed="false">
      <c r="A722" s="26" t="n">
        <v>38718</v>
      </c>
      <c r="B722" s="1" t="n">
        <v>2006</v>
      </c>
      <c r="C722" s="1" t="n">
        <v>1</v>
      </c>
      <c r="D722" s="1" t="s">
        <v>42</v>
      </c>
      <c r="E722" s="1" t="s">
        <v>13</v>
      </c>
      <c r="F722" s="1" t="n">
        <v>113</v>
      </c>
      <c r="G722" s="1" t="n">
        <f aca="false">IF(E722=E721,F722/F721-1,"")</f>
        <v>0.102977061981454</v>
      </c>
    </row>
    <row r="723" customFormat="false" ht="14.25" hidden="false" customHeight="true" outlineLevel="0" collapsed="false">
      <c r="A723" s="26" t="n">
        <v>38749</v>
      </c>
      <c r="B723" s="1" t="n">
        <v>2006</v>
      </c>
      <c r="C723" s="1" t="n">
        <v>2</v>
      </c>
      <c r="D723" s="1" t="s">
        <v>43</v>
      </c>
      <c r="E723" s="1" t="s">
        <v>13</v>
      </c>
      <c r="F723" s="1" t="n">
        <v>101.99</v>
      </c>
      <c r="G723" s="1" t="n">
        <f aca="false">IF(E723=E722,F723/F722-1,"")</f>
        <v>-0.0974336283185842</v>
      </c>
    </row>
    <row r="724" customFormat="false" ht="14.25" hidden="false" customHeight="true" outlineLevel="0" collapsed="false">
      <c r="A724" s="26" t="n">
        <v>38777</v>
      </c>
      <c r="B724" s="1" t="n">
        <v>2006</v>
      </c>
      <c r="C724" s="1" t="n">
        <v>3</v>
      </c>
      <c r="D724" s="1" t="s">
        <v>44</v>
      </c>
      <c r="E724" s="1" t="s">
        <v>13</v>
      </c>
      <c r="F724" s="1" t="n">
        <v>109.49</v>
      </c>
      <c r="G724" s="1" t="n">
        <f aca="false">IF(E724=E723,F724/F723-1,"")</f>
        <v>0.0735366212373763</v>
      </c>
    </row>
    <row r="725" customFormat="false" ht="14.25" hidden="false" customHeight="true" outlineLevel="0" collapsed="false">
      <c r="A725" s="26" t="n">
        <v>38808</v>
      </c>
      <c r="B725" s="1" t="n">
        <v>2006</v>
      </c>
      <c r="C725" s="1" t="n">
        <v>4</v>
      </c>
      <c r="D725" s="1" t="s">
        <v>45</v>
      </c>
      <c r="E725" s="1" t="s">
        <v>13</v>
      </c>
      <c r="F725" s="1" t="n">
        <v>117.66</v>
      </c>
      <c r="G725" s="1" t="n">
        <f aca="false">IF(E725=E724,F725/F724-1,"")</f>
        <v>0.0746186866380492</v>
      </c>
    </row>
    <row r="726" customFormat="false" ht="14.25" hidden="false" customHeight="true" outlineLevel="0" collapsed="false">
      <c r="A726" s="26" t="n">
        <v>38838</v>
      </c>
      <c r="B726" s="1" t="n">
        <v>2006</v>
      </c>
      <c r="C726" s="1" t="n">
        <v>5</v>
      </c>
      <c r="D726" s="1" t="s">
        <v>46</v>
      </c>
      <c r="E726" s="1" t="s">
        <v>13</v>
      </c>
      <c r="F726" s="1" t="n">
        <v>116.46</v>
      </c>
      <c r="G726" s="1" t="n">
        <f aca="false">IF(E726=E725,F726/F725-1,"")</f>
        <v>-0.0101988781234065</v>
      </c>
    </row>
    <row r="727" customFormat="false" ht="14.25" hidden="false" customHeight="true" outlineLevel="0" collapsed="false">
      <c r="A727" s="26" t="n">
        <v>38869</v>
      </c>
      <c r="B727" s="1" t="n">
        <v>2006</v>
      </c>
      <c r="C727" s="1" t="n">
        <v>6</v>
      </c>
      <c r="D727" s="1" t="s">
        <v>47</v>
      </c>
      <c r="E727" s="1" t="s">
        <v>13</v>
      </c>
      <c r="F727" s="1" t="n">
        <v>120.33</v>
      </c>
      <c r="G727" s="1" t="n">
        <f aca="false">IF(E727=E726,F727/F726-1,"")</f>
        <v>0.0332302936630604</v>
      </c>
    </row>
    <row r="728" customFormat="false" ht="14.25" hidden="false" customHeight="true" outlineLevel="0" collapsed="false">
      <c r="A728" s="26" t="n">
        <v>38899</v>
      </c>
      <c r="B728" s="1" t="n">
        <v>2006</v>
      </c>
      <c r="C728" s="1" t="n">
        <v>7</v>
      </c>
      <c r="D728" s="1" t="s">
        <v>48</v>
      </c>
      <c r="E728" s="1" t="s">
        <v>13</v>
      </c>
      <c r="F728" s="1" t="n">
        <v>120.99</v>
      </c>
      <c r="G728" s="1" t="n">
        <f aca="false">IF(E728=E727,F728/F727-1,"")</f>
        <v>0.00548491647968086</v>
      </c>
    </row>
    <row r="729" customFormat="false" ht="14.25" hidden="false" customHeight="true" outlineLevel="0" collapsed="false">
      <c r="A729" s="26" t="n">
        <v>38930</v>
      </c>
      <c r="B729" s="1" t="n">
        <v>2006</v>
      </c>
      <c r="C729" s="1" t="n">
        <v>8</v>
      </c>
      <c r="D729" s="1" t="s">
        <v>49</v>
      </c>
      <c r="E729" s="1" t="s">
        <v>13</v>
      </c>
      <c r="F729" s="1" t="n">
        <v>113.98</v>
      </c>
      <c r="G729" s="1" t="n">
        <f aca="false">IF(E729=E728,F729/F728-1,"")</f>
        <v>-0.0579386726175716</v>
      </c>
    </row>
    <row r="730" customFormat="false" ht="14.25" hidden="false" customHeight="true" outlineLevel="0" collapsed="false">
      <c r="A730" s="26" t="n">
        <v>38961</v>
      </c>
      <c r="B730" s="1" t="n">
        <v>2006</v>
      </c>
      <c r="C730" s="1" t="n">
        <v>9</v>
      </c>
      <c r="D730" s="1" t="s">
        <v>50</v>
      </c>
      <c r="E730" s="1" t="s">
        <v>13</v>
      </c>
      <c r="F730" s="1" t="n">
        <v>102.37</v>
      </c>
      <c r="G730" s="1" t="n">
        <f aca="false">IF(E730=E729,F730/F729-1,"")</f>
        <v>-0.101859975434287</v>
      </c>
    </row>
    <row r="731" customFormat="false" ht="14.25" hidden="false" customHeight="true" outlineLevel="0" collapsed="false">
      <c r="A731" s="26" t="n">
        <v>38991</v>
      </c>
      <c r="B731" s="1" t="n">
        <v>2006</v>
      </c>
      <c r="C731" s="1" t="n">
        <v>10</v>
      </c>
      <c r="D731" s="1" t="s">
        <v>51</v>
      </c>
      <c r="E731" s="1" t="s">
        <v>13</v>
      </c>
      <c r="F731" s="1" t="n">
        <v>96.09</v>
      </c>
      <c r="G731" s="1" t="n">
        <f aca="false">IF(E731=E730,F731/F730-1,"")</f>
        <v>-0.0613460974894989</v>
      </c>
    </row>
    <row r="732" customFormat="false" ht="14.25" hidden="false" customHeight="true" outlineLevel="0" collapsed="false">
      <c r="A732" s="26" t="n">
        <v>39022</v>
      </c>
      <c r="B732" s="1" t="n">
        <v>2006</v>
      </c>
      <c r="C732" s="1" t="n">
        <v>11</v>
      </c>
      <c r="D732" s="1" t="s">
        <v>52</v>
      </c>
      <c r="E732" s="1" t="s">
        <v>13</v>
      </c>
      <c r="F732" s="1" t="n">
        <v>103.19</v>
      </c>
      <c r="G732" s="1" t="n">
        <f aca="false">IF(E732=E731,F732/F731-1,"")</f>
        <v>0.073889062337392</v>
      </c>
    </row>
    <row r="733" customFormat="false" ht="14.25" hidden="false" customHeight="true" outlineLevel="0" collapsed="false">
      <c r="A733" s="26" t="n">
        <v>39052</v>
      </c>
      <c r="B733" s="1" t="n">
        <v>2006</v>
      </c>
      <c r="C733" s="1" t="n">
        <v>12</v>
      </c>
      <c r="D733" s="1" t="s">
        <v>53</v>
      </c>
      <c r="E733" s="1" t="s">
        <v>13</v>
      </c>
      <c r="F733" s="1" t="n">
        <v>99.57</v>
      </c>
      <c r="G733" s="1" t="n">
        <f aca="false">IF(E733=E732,F733/F732-1,"")</f>
        <v>-0.0350809186936719</v>
      </c>
    </row>
    <row r="734" customFormat="false" ht="14.25" hidden="false" customHeight="true" outlineLevel="0" collapsed="false">
      <c r="A734" s="26" t="n">
        <v>39083</v>
      </c>
      <c r="B734" s="1" t="n">
        <v>2007</v>
      </c>
      <c r="C734" s="1" t="n">
        <v>1</v>
      </c>
      <c r="D734" s="1" t="s">
        <v>42</v>
      </c>
      <c r="E734" s="1" t="s">
        <v>13</v>
      </c>
      <c r="F734" s="1" t="n">
        <v>94.9</v>
      </c>
      <c r="G734" s="1" t="n">
        <f aca="false">IF(E734=E733,F734/F733-1,"")</f>
        <v>-0.0469016772120116</v>
      </c>
    </row>
    <row r="735" customFormat="false" ht="14.25" hidden="false" customHeight="true" outlineLevel="0" collapsed="false">
      <c r="A735" s="26" t="n">
        <v>39114</v>
      </c>
      <c r="B735" s="1" t="n">
        <v>2007</v>
      </c>
      <c r="C735" s="1" t="n">
        <v>2</v>
      </c>
      <c r="D735" s="1" t="s">
        <v>43</v>
      </c>
      <c r="E735" s="1" t="s">
        <v>13</v>
      </c>
      <c r="F735" s="1" t="n">
        <v>100.25</v>
      </c>
      <c r="G735" s="1" t="n">
        <f aca="false">IF(E735=E734,F735/F734-1,"")</f>
        <v>0.0563751317175973</v>
      </c>
    </row>
    <row r="736" customFormat="false" ht="14.25" hidden="false" customHeight="true" outlineLevel="0" collapsed="false">
      <c r="A736" s="26" t="n">
        <v>39142</v>
      </c>
      <c r="B736" s="1" t="n">
        <v>2007</v>
      </c>
      <c r="C736" s="1" t="n">
        <v>3</v>
      </c>
      <c r="D736" s="1" t="s">
        <v>44</v>
      </c>
      <c r="E736" s="1" t="s">
        <v>13</v>
      </c>
      <c r="F736" s="1" t="n">
        <v>106.03</v>
      </c>
      <c r="G736" s="1" t="n">
        <f aca="false">IF(E736=E735,F736/F735-1,"")</f>
        <v>0.0576558603491273</v>
      </c>
    </row>
    <row r="737" customFormat="false" ht="14.25" hidden="false" customHeight="true" outlineLevel="0" collapsed="false">
      <c r="A737" s="26" t="n">
        <v>39173</v>
      </c>
      <c r="B737" s="1" t="n">
        <v>2007</v>
      </c>
      <c r="C737" s="1" t="n">
        <v>4</v>
      </c>
      <c r="D737" s="1" t="s">
        <v>45</v>
      </c>
      <c r="E737" s="1" t="s">
        <v>13</v>
      </c>
      <c r="F737" s="1" t="n">
        <v>105.09</v>
      </c>
      <c r="G737" s="1" t="n">
        <f aca="false">IF(E737=E736,F737/F736-1,"")</f>
        <v>-0.00886541544845798</v>
      </c>
    </row>
    <row r="738" customFormat="false" ht="14.25" hidden="false" customHeight="true" outlineLevel="0" collapsed="false">
      <c r="A738" s="26" t="n">
        <v>39203</v>
      </c>
      <c r="B738" s="1" t="n">
        <v>2007</v>
      </c>
      <c r="C738" s="1" t="n">
        <v>5</v>
      </c>
      <c r="D738" s="1" t="s">
        <v>46</v>
      </c>
      <c r="E738" s="1" t="s">
        <v>13</v>
      </c>
      <c r="F738" s="1" t="n">
        <v>101.66</v>
      </c>
      <c r="G738" s="1" t="n">
        <f aca="false">IF(E738=E737,F738/F737-1,"")</f>
        <v>-0.0326386906461129</v>
      </c>
    </row>
    <row r="739" customFormat="false" ht="14.25" hidden="false" customHeight="true" outlineLevel="0" collapsed="false">
      <c r="A739" s="26" t="n">
        <v>39234</v>
      </c>
      <c r="B739" s="1" t="n">
        <v>2007</v>
      </c>
      <c r="C739" s="1" t="n">
        <v>6</v>
      </c>
      <c r="D739" s="1" t="s">
        <v>47</v>
      </c>
      <c r="E739" s="1" t="s">
        <v>13</v>
      </c>
      <c r="F739" s="1" t="n">
        <v>111.69</v>
      </c>
      <c r="G739" s="1" t="n">
        <f aca="false">IF(E739=E738,F739/F738-1,"")</f>
        <v>0.0986622073578596</v>
      </c>
    </row>
    <row r="740" customFormat="false" ht="14.25" hidden="false" customHeight="true" outlineLevel="0" collapsed="false">
      <c r="A740" s="26" t="n">
        <v>39264</v>
      </c>
      <c r="B740" s="1" t="n">
        <v>2007</v>
      </c>
      <c r="C740" s="1" t="n">
        <v>7</v>
      </c>
      <c r="D740" s="1" t="s">
        <v>48</v>
      </c>
      <c r="E740" s="1" t="s">
        <v>13</v>
      </c>
      <c r="F740" s="1" t="n">
        <v>123.97</v>
      </c>
      <c r="G740" s="1" t="n">
        <f aca="false">IF(E740=E739,F740/F739-1,"")</f>
        <v>0.109947175217119</v>
      </c>
    </row>
    <row r="741" customFormat="false" ht="14.25" hidden="false" customHeight="true" outlineLevel="0" collapsed="false">
      <c r="A741" s="26" t="n">
        <v>39295</v>
      </c>
      <c r="B741" s="1" t="n">
        <v>2007</v>
      </c>
      <c r="C741" s="1" t="n">
        <v>8</v>
      </c>
      <c r="D741" s="1" t="s">
        <v>49</v>
      </c>
      <c r="E741" s="1" t="s">
        <v>13</v>
      </c>
      <c r="F741" s="1" t="n">
        <v>117.49</v>
      </c>
      <c r="G741" s="1" t="n">
        <f aca="false">IF(E741=E740,F741/F740-1,"")</f>
        <v>-0.0522707106558039</v>
      </c>
    </row>
    <row r="742" customFormat="false" ht="14.25" hidden="false" customHeight="true" outlineLevel="0" collapsed="false">
      <c r="A742" s="26" t="n">
        <v>39326</v>
      </c>
      <c r="B742" s="1" t="n">
        <v>2007</v>
      </c>
      <c r="C742" s="1" t="n">
        <v>9</v>
      </c>
      <c r="D742" s="1" t="s">
        <v>50</v>
      </c>
      <c r="E742" s="1" t="s">
        <v>13</v>
      </c>
      <c r="F742" s="1" t="n">
        <v>129.3</v>
      </c>
      <c r="G742" s="1" t="n">
        <f aca="false">IF(E742=E741,F742/F741-1,"")</f>
        <v>0.100519193122819</v>
      </c>
    </row>
    <row r="743" customFormat="false" ht="14.25" hidden="false" customHeight="true" outlineLevel="0" collapsed="false">
      <c r="A743" s="26" t="n">
        <v>39356</v>
      </c>
      <c r="B743" s="1" t="n">
        <v>2007</v>
      </c>
      <c r="C743" s="1" t="n">
        <v>10</v>
      </c>
      <c r="D743" s="1" t="s">
        <v>51</v>
      </c>
      <c r="E743" s="1" t="s">
        <v>13</v>
      </c>
      <c r="F743" s="1" t="n">
        <v>148.82</v>
      </c>
      <c r="G743" s="1" t="n">
        <f aca="false">IF(E743=E742,F743/F742-1,"")</f>
        <v>0.150966744006187</v>
      </c>
    </row>
    <row r="744" customFormat="false" ht="14.25" hidden="false" customHeight="true" outlineLevel="0" collapsed="false">
      <c r="A744" s="26" t="n">
        <v>39387</v>
      </c>
      <c r="B744" s="1" t="n">
        <v>2007</v>
      </c>
      <c r="C744" s="1" t="n">
        <v>11</v>
      </c>
      <c r="D744" s="1" t="s">
        <v>52</v>
      </c>
      <c r="E744" s="1" t="s">
        <v>13</v>
      </c>
      <c r="F744" s="1" t="n">
        <v>139.2</v>
      </c>
      <c r="G744" s="1" t="n">
        <f aca="false">IF(E744=E743,F744/F743-1,"")</f>
        <v>-0.0646418492138153</v>
      </c>
    </row>
    <row r="745" customFormat="false" ht="14.25" hidden="false" customHeight="true" outlineLevel="0" collapsed="false">
      <c r="A745" s="26" t="n">
        <v>39417</v>
      </c>
      <c r="B745" s="1" t="n">
        <v>2007</v>
      </c>
      <c r="C745" s="1" t="n">
        <v>12</v>
      </c>
      <c r="D745" s="1" t="s">
        <v>53</v>
      </c>
      <c r="E745" s="1" t="s">
        <v>13</v>
      </c>
      <c r="F745" s="1" t="n">
        <v>150.85</v>
      </c>
      <c r="G745" s="1" t="n">
        <f aca="false">IF(E745=E744,F745/F744-1,"")</f>
        <v>0.0836925287356323</v>
      </c>
    </row>
    <row r="746" customFormat="false" ht="14.25" hidden="false" customHeight="true" outlineLevel="0" collapsed="false">
      <c r="A746" s="26" t="n">
        <v>39448</v>
      </c>
      <c r="B746" s="1" t="n">
        <v>2008</v>
      </c>
      <c r="C746" s="1" t="n">
        <v>1</v>
      </c>
      <c r="D746" s="1" t="s">
        <v>42</v>
      </c>
      <c r="E746" s="1" t="s">
        <v>13</v>
      </c>
      <c r="F746" s="1" t="n">
        <v>143.41</v>
      </c>
      <c r="G746" s="1" t="n">
        <f aca="false">IF(E746=E745,F746/F745-1,"")</f>
        <v>-0.049320517069937</v>
      </c>
    </row>
    <row r="747" customFormat="false" ht="14.25" hidden="false" customHeight="true" outlineLevel="0" collapsed="false">
      <c r="A747" s="26" t="n">
        <v>39479</v>
      </c>
      <c r="B747" s="1" t="n">
        <v>2008</v>
      </c>
      <c r="C747" s="1" t="n">
        <v>2</v>
      </c>
      <c r="D747" s="1" t="s">
        <v>43</v>
      </c>
      <c r="E747" s="1" t="s">
        <v>13</v>
      </c>
      <c r="F747" s="1" t="n">
        <v>158.76</v>
      </c>
      <c r="G747" s="1" t="n">
        <f aca="false">IF(E747=E746,F747/F746-1,"")</f>
        <v>0.107035771564047</v>
      </c>
    </row>
    <row r="748" customFormat="false" ht="14.25" hidden="false" customHeight="true" outlineLevel="0" collapsed="false">
      <c r="A748" s="26" t="n">
        <v>39508</v>
      </c>
      <c r="B748" s="1" t="n">
        <v>2008</v>
      </c>
      <c r="C748" s="1" t="n">
        <v>3</v>
      </c>
      <c r="D748" s="1" t="s">
        <v>44</v>
      </c>
      <c r="E748" s="1" t="s">
        <v>13</v>
      </c>
      <c r="F748" s="1" t="n">
        <v>157.03</v>
      </c>
      <c r="G748" s="1" t="n">
        <f aca="false">IF(E748=E747,F748/F747-1,"")</f>
        <v>-0.0108969513731418</v>
      </c>
    </row>
    <row r="749" customFormat="false" ht="14.25" hidden="false" customHeight="true" outlineLevel="0" collapsed="false">
      <c r="A749" s="26" t="n">
        <v>39539</v>
      </c>
      <c r="B749" s="1" t="n">
        <v>2008</v>
      </c>
      <c r="C749" s="1" t="n">
        <v>4</v>
      </c>
      <c r="D749" s="1" t="s">
        <v>45</v>
      </c>
      <c r="E749" s="1" t="s">
        <v>13</v>
      </c>
      <c r="F749" s="1" t="n">
        <v>174.77</v>
      </c>
      <c r="G749" s="1" t="n">
        <f aca="false">IF(E749=E748,F749/F748-1,"")</f>
        <v>0.112972043558556</v>
      </c>
    </row>
    <row r="750" customFormat="false" ht="14.25" hidden="false" customHeight="true" outlineLevel="0" collapsed="false">
      <c r="A750" s="26" t="n">
        <v>39569</v>
      </c>
      <c r="B750" s="1" t="n">
        <v>2008</v>
      </c>
      <c r="C750" s="1" t="n">
        <v>5</v>
      </c>
      <c r="D750" s="1" t="s">
        <v>46</v>
      </c>
      <c r="E750" s="1" t="s">
        <v>13</v>
      </c>
      <c r="F750" s="1" t="n">
        <v>194.12</v>
      </c>
      <c r="G750" s="1" t="n">
        <f aca="false">IF(E750=E749,F750/F749-1,"")</f>
        <v>0.110716942266979</v>
      </c>
    </row>
    <row r="751" customFormat="false" ht="14.25" hidden="false" customHeight="true" outlineLevel="0" collapsed="false">
      <c r="A751" s="26" t="n">
        <v>39600</v>
      </c>
      <c r="B751" s="1" t="n">
        <v>2008</v>
      </c>
      <c r="C751" s="1" t="n">
        <v>6</v>
      </c>
      <c r="D751" s="1" t="s">
        <v>47</v>
      </c>
      <c r="E751" s="1" t="s">
        <v>13</v>
      </c>
      <c r="F751" s="1" t="n">
        <v>211.21</v>
      </c>
      <c r="G751" s="1" t="n">
        <f aca="false">IF(E751=E750,F751/F750-1,"")</f>
        <v>0.0880383268081599</v>
      </c>
    </row>
    <row r="752" customFormat="false" ht="14.25" hidden="false" customHeight="true" outlineLevel="0" collapsed="false">
      <c r="A752" s="26" t="n">
        <v>39630</v>
      </c>
      <c r="B752" s="1" t="n">
        <v>2008</v>
      </c>
      <c r="C752" s="1" t="n">
        <v>7</v>
      </c>
      <c r="D752" s="1" t="s">
        <v>48</v>
      </c>
      <c r="E752" s="1" t="s">
        <v>13</v>
      </c>
      <c r="F752" s="1" t="n">
        <v>186.41</v>
      </c>
      <c r="G752" s="1" t="n">
        <f aca="false">IF(E752=E751,F752/F751-1,"")</f>
        <v>-0.117418682827518</v>
      </c>
    </row>
    <row r="753" customFormat="false" ht="14.25" hidden="false" customHeight="true" outlineLevel="0" collapsed="false">
      <c r="A753" s="26" t="n">
        <v>39661</v>
      </c>
      <c r="B753" s="1" t="n">
        <v>2008</v>
      </c>
      <c r="C753" s="1" t="n">
        <v>8</v>
      </c>
      <c r="D753" s="1" t="s">
        <v>49</v>
      </c>
      <c r="E753" s="1" t="s">
        <v>13</v>
      </c>
      <c r="F753" s="1" t="n">
        <v>174.16</v>
      </c>
      <c r="G753" s="1" t="n">
        <f aca="false">IF(E753=E752,F753/F752-1,"")</f>
        <v>-0.0657153586180999</v>
      </c>
    </row>
    <row r="754" customFormat="false" ht="14.25" hidden="false" customHeight="true" outlineLevel="0" collapsed="false">
      <c r="A754" s="26" t="n">
        <v>39692</v>
      </c>
      <c r="B754" s="1" t="n">
        <v>2008</v>
      </c>
      <c r="C754" s="1" t="n">
        <v>9</v>
      </c>
      <c r="D754" s="1" t="s">
        <v>50</v>
      </c>
      <c r="E754" s="1" t="s">
        <v>13</v>
      </c>
      <c r="F754" s="1" t="n">
        <v>151.99</v>
      </c>
      <c r="G754" s="1" t="n">
        <f aca="false">IF(E754=E753,F754/F753-1,"")</f>
        <v>-0.127296738631144</v>
      </c>
    </row>
    <row r="755" customFormat="false" ht="14.25" hidden="false" customHeight="true" outlineLevel="0" collapsed="false">
      <c r="A755" s="26" t="n">
        <v>39722</v>
      </c>
      <c r="B755" s="1" t="n">
        <v>2008</v>
      </c>
      <c r="C755" s="1" t="n">
        <v>10</v>
      </c>
      <c r="D755" s="1" t="s">
        <v>51</v>
      </c>
      <c r="E755" s="1" t="s">
        <v>13</v>
      </c>
      <c r="F755" s="1" t="n">
        <v>103.83</v>
      </c>
      <c r="G755" s="1" t="n">
        <f aca="false">IF(E755=E754,F755/F754-1,"")</f>
        <v>-0.316862951509968</v>
      </c>
    </row>
    <row r="756" customFormat="false" ht="14.25" hidden="false" customHeight="true" outlineLevel="0" collapsed="false">
      <c r="A756" s="26" t="n">
        <v>39753</v>
      </c>
      <c r="B756" s="1" t="n">
        <v>2008</v>
      </c>
      <c r="C756" s="1" t="n">
        <v>11</v>
      </c>
      <c r="D756" s="1" t="s">
        <v>52</v>
      </c>
      <c r="E756" s="1" t="s">
        <v>13</v>
      </c>
      <c r="F756" s="1" t="n">
        <v>85.82</v>
      </c>
      <c r="G756" s="1" t="n">
        <f aca="false">IF(E756=E755,F756/F755-1,"")</f>
        <v>-0.173456611769238</v>
      </c>
    </row>
    <row r="757" customFormat="false" ht="14.25" hidden="false" customHeight="true" outlineLevel="0" collapsed="false">
      <c r="A757" s="26" t="n">
        <v>39783</v>
      </c>
      <c r="B757" s="1" t="n">
        <v>2008</v>
      </c>
      <c r="C757" s="1" t="n">
        <v>12</v>
      </c>
      <c r="D757" s="1" t="s">
        <v>53</v>
      </c>
      <c r="E757" s="1" t="s">
        <v>13</v>
      </c>
      <c r="F757" s="1" t="n">
        <v>70.05</v>
      </c>
      <c r="G757" s="1" t="n">
        <f aca="false">IF(E757=E756,F757/F756-1,"")</f>
        <v>-0.183756700069914</v>
      </c>
    </row>
    <row r="758" customFormat="false" ht="14.25" hidden="false" customHeight="true" outlineLevel="0" collapsed="false">
      <c r="A758" s="26" t="n">
        <v>39814</v>
      </c>
      <c r="B758" s="1" t="n">
        <v>2009</v>
      </c>
      <c r="C758" s="1" t="n">
        <v>1</v>
      </c>
      <c r="D758" s="1" t="s">
        <v>42</v>
      </c>
      <c r="E758" s="1" t="s">
        <v>13</v>
      </c>
      <c r="F758" s="1" t="n">
        <v>65.26</v>
      </c>
      <c r="G758" s="1" t="n">
        <f aca="false">IF(E758=E757,F758/F757-1,"")</f>
        <v>-0.0683797287651676</v>
      </c>
    </row>
    <row r="759" customFormat="false" ht="14.25" hidden="false" customHeight="true" outlineLevel="0" collapsed="false">
      <c r="A759" s="26" t="n">
        <v>39845</v>
      </c>
      <c r="B759" s="1" t="n">
        <v>2009</v>
      </c>
      <c r="C759" s="1" t="n">
        <v>2</v>
      </c>
      <c r="D759" s="1" t="s">
        <v>43</v>
      </c>
      <c r="E759" s="1" t="s">
        <v>13</v>
      </c>
      <c r="F759" s="1" t="n">
        <v>68.71</v>
      </c>
      <c r="G759" s="1" t="n">
        <f aca="false">IF(E759=E758,F759/F758-1,"")</f>
        <v>0.052865461231995</v>
      </c>
    </row>
    <row r="760" customFormat="false" ht="14.25" hidden="false" customHeight="true" outlineLevel="0" collapsed="false">
      <c r="A760" s="26" t="n">
        <v>39873</v>
      </c>
      <c r="B760" s="1" t="n">
        <v>2009</v>
      </c>
      <c r="C760" s="1" t="n">
        <v>3</v>
      </c>
      <c r="D760" s="1" t="s">
        <v>44</v>
      </c>
      <c r="E760" s="1" t="s">
        <v>13</v>
      </c>
      <c r="F760" s="1" t="n">
        <v>77.06</v>
      </c>
      <c r="G760" s="1" t="n">
        <f aca="false">IF(E760=E759,F760/F759-1,"")</f>
        <v>0.121525251055159</v>
      </c>
    </row>
    <row r="761" customFormat="false" ht="14.25" hidden="false" customHeight="true" outlineLevel="0" collapsed="false">
      <c r="A761" s="26" t="n">
        <v>39904</v>
      </c>
      <c r="B761" s="1" t="n">
        <v>2009</v>
      </c>
      <c r="C761" s="1" t="n">
        <v>4</v>
      </c>
      <c r="D761" s="1" t="s">
        <v>45</v>
      </c>
      <c r="E761" s="1" t="s">
        <v>13</v>
      </c>
      <c r="F761" s="1" t="n">
        <v>77.97</v>
      </c>
      <c r="G761" s="1" t="n">
        <f aca="false">IF(E761=E760,F761/F760-1,"")</f>
        <v>0.0118089800155723</v>
      </c>
    </row>
    <row r="762" customFormat="false" ht="14.25" hidden="false" customHeight="true" outlineLevel="0" collapsed="false">
      <c r="A762" s="26" t="n">
        <v>39934</v>
      </c>
      <c r="B762" s="1" t="n">
        <v>2009</v>
      </c>
      <c r="C762" s="1" t="n">
        <v>5</v>
      </c>
      <c r="D762" s="1" t="s">
        <v>46</v>
      </c>
      <c r="E762" s="1" t="s">
        <v>13</v>
      </c>
      <c r="F762" s="1" t="n">
        <v>102.39</v>
      </c>
      <c r="G762" s="1" t="n">
        <f aca="false">IF(E762=E761,F762/F761-1,"")</f>
        <v>0.31319738360908</v>
      </c>
    </row>
    <row r="763" customFormat="false" ht="14.25" hidden="false" customHeight="true" outlineLevel="0" collapsed="false">
      <c r="A763" s="26" t="n">
        <v>39965</v>
      </c>
      <c r="B763" s="1" t="n">
        <v>2009</v>
      </c>
      <c r="C763" s="1" t="n">
        <v>6</v>
      </c>
      <c r="D763" s="1" t="s">
        <v>47</v>
      </c>
      <c r="E763" s="1" t="s">
        <v>13</v>
      </c>
      <c r="F763" s="1" t="n">
        <v>106.89</v>
      </c>
      <c r="G763" s="1" t="n">
        <f aca="false">IF(E763=E762,F763/F762-1,"")</f>
        <v>0.0439496044535599</v>
      </c>
    </row>
    <row r="764" customFormat="false" ht="14.25" hidden="false" customHeight="true" outlineLevel="0" collapsed="false">
      <c r="A764" s="26" t="n">
        <v>39995</v>
      </c>
      <c r="B764" s="1" t="n">
        <v>2009</v>
      </c>
      <c r="C764" s="1" t="n">
        <v>7</v>
      </c>
      <c r="D764" s="1" t="s">
        <v>48</v>
      </c>
      <c r="E764" s="1" t="s">
        <v>13</v>
      </c>
      <c r="F764" s="1" t="n">
        <v>106.2</v>
      </c>
      <c r="G764" s="1" t="n">
        <f aca="false">IF(E764=E763,F764/F763-1,"")</f>
        <v>-0.00645523435307327</v>
      </c>
    </row>
    <row r="765" customFormat="false" ht="14.25" hidden="false" customHeight="true" outlineLevel="0" collapsed="false">
      <c r="A765" s="26" t="n">
        <v>40026</v>
      </c>
      <c r="B765" s="1" t="n">
        <v>2009</v>
      </c>
      <c r="C765" s="1" t="n">
        <v>8</v>
      </c>
      <c r="D765" s="1" t="s">
        <v>49</v>
      </c>
      <c r="E765" s="1" t="s">
        <v>13</v>
      </c>
      <c r="F765" s="1" t="n">
        <v>107.05</v>
      </c>
      <c r="G765" s="1" t="n">
        <f aca="false">IF(E765=E764,F765/F764-1,"")</f>
        <v>0.00800376647834278</v>
      </c>
    </row>
    <row r="766" customFormat="false" ht="14.25" hidden="false" customHeight="true" outlineLevel="0" collapsed="false">
      <c r="A766" s="26" t="n">
        <v>40057</v>
      </c>
      <c r="B766" s="1" t="n">
        <v>2009</v>
      </c>
      <c r="C766" s="1" t="n">
        <v>9</v>
      </c>
      <c r="D766" s="1" t="s">
        <v>50</v>
      </c>
      <c r="E766" s="1" t="s">
        <v>13</v>
      </c>
      <c r="F766" s="1" t="n">
        <v>107.73</v>
      </c>
      <c r="G766" s="1" t="n">
        <f aca="false">IF(E766=E765,F766/F765-1,"")</f>
        <v>0.00635217188229809</v>
      </c>
    </row>
    <row r="767" customFormat="false" ht="14.25" hidden="false" customHeight="true" outlineLevel="0" collapsed="false">
      <c r="A767" s="26" t="n">
        <v>40087</v>
      </c>
      <c r="B767" s="1" t="n">
        <v>2009</v>
      </c>
      <c r="C767" s="1" t="n">
        <v>10</v>
      </c>
      <c r="D767" s="1" t="s">
        <v>51</v>
      </c>
      <c r="E767" s="1" t="s">
        <v>13</v>
      </c>
      <c r="F767" s="1" t="n">
        <v>117.68</v>
      </c>
      <c r="G767" s="1" t="n">
        <f aca="false">IF(E767=E766,F767/F766-1,"")</f>
        <v>0.0923605309570221</v>
      </c>
    </row>
    <row r="768" customFormat="false" ht="14.25" hidden="false" customHeight="true" outlineLevel="0" collapsed="false">
      <c r="A768" s="26" t="n">
        <v>40118</v>
      </c>
      <c r="B768" s="1" t="n">
        <v>2009</v>
      </c>
      <c r="C768" s="1" t="n">
        <v>11</v>
      </c>
      <c r="D768" s="1" t="s">
        <v>52</v>
      </c>
      <c r="E768" s="1" t="s">
        <v>13</v>
      </c>
      <c r="F768" s="1" t="n">
        <v>117.83</v>
      </c>
      <c r="G768" s="1" t="n">
        <f aca="false">IF(E768=E767,F768/F767-1,"")</f>
        <v>0.00127464309993197</v>
      </c>
    </row>
    <row r="769" customFormat="false" ht="14.25" hidden="false" customHeight="true" outlineLevel="0" collapsed="false">
      <c r="A769" s="26" t="n">
        <v>40148</v>
      </c>
      <c r="B769" s="1" t="n">
        <v>2009</v>
      </c>
      <c r="C769" s="1" t="n">
        <v>12</v>
      </c>
      <c r="D769" s="1" t="s">
        <v>53</v>
      </c>
      <c r="E769" s="1" t="s">
        <v>13</v>
      </c>
      <c r="F769" s="1" t="n">
        <v>121.4</v>
      </c>
      <c r="G769" s="1" t="n">
        <f aca="false">IF(E769=E768,F769/F768-1,"")</f>
        <v>0.0302978867860477</v>
      </c>
    </row>
    <row r="770" customFormat="false" ht="14.25" hidden="false" customHeight="true" outlineLevel="0" collapsed="false">
      <c r="A770" s="26" t="n">
        <v>40179</v>
      </c>
      <c r="B770" s="1" t="n">
        <v>2010</v>
      </c>
      <c r="C770" s="1" t="n">
        <v>1</v>
      </c>
      <c r="D770" s="1" t="s">
        <v>42</v>
      </c>
      <c r="E770" s="1" t="s">
        <v>13</v>
      </c>
      <c r="F770" s="1" t="n">
        <v>111.02</v>
      </c>
      <c r="G770" s="1" t="n">
        <f aca="false">IF(E770=E769,F770/F769-1,"")</f>
        <v>-0.085502471169687</v>
      </c>
    </row>
    <row r="771" customFormat="false" ht="14.25" hidden="false" customHeight="true" outlineLevel="0" collapsed="false">
      <c r="A771" s="26" t="n">
        <v>40210</v>
      </c>
      <c r="B771" s="1" t="n">
        <v>2010</v>
      </c>
      <c r="C771" s="1" t="n">
        <v>2</v>
      </c>
      <c r="D771" s="1" t="s">
        <v>43</v>
      </c>
      <c r="E771" s="1" t="s">
        <v>13</v>
      </c>
      <c r="F771" s="1" t="n">
        <v>121.46</v>
      </c>
      <c r="G771" s="1" t="n">
        <f aca="false">IF(E771=E770,F771/F770-1,"")</f>
        <v>0.0940371104305531</v>
      </c>
    </row>
    <row r="772" customFormat="false" ht="14.25" hidden="false" customHeight="true" outlineLevel="0" collapsed="false">
      <c r="A772" s="26" t="n">
        <v>40238</v>
      </c>
      <c r="B772" s="1" t="n">
        <v>2010</v>
      </c>
      <c r="C772" s="1" t="n">
        <v>3</v>
      </c>
      <c r="D772" s="1" t="s">
        <v>44</v>
      </c>
      <c r="E772" s="1" t="s">
        <v>13</v>
      </c>
      <c r="F772" s="1" t="n">
        <v>126.62</v>
      </c>
      <c r="G772" s="1" t="n">
        <f aca="false">IF(E772=E771,F772/F771-1,"")</f>
        <v>0.0424831220154784</v>
      </c>
    </row>
    <row r="773" customFormat="false" ht="14.25" hidden="false" customHeight="true" outlineLevel="0" collapsed="false">
      <c r="A773" s="26" t="n">
        <v>40269</v>
      </c>
      <c r="B773" s="1" t="n">
        <v>2010</v>
      </c>
      <c r="C773" s="1" t="n">
        <v>4</v>
      </c>
      <c r="D773" s="1" t="s">
        <v>45</v>
      </c>
      <c r="E773" s="1" t="s">
        <v>13</v>
      </c>
      <c r="F773" s="1" t="n">
        <v>130.37</v>
      </c>
      <c r="G773" s="1" t="n">
        <f aca="false">IF(E773=E772,F773/F772-1,"")</f>
        <v>0.0296161743800347</v>
      </c>
    </row>
    <row r="774" customFormat="false" ht="14.25" hidden="false" customHeight="true" outlineLevel="0" collapsed="false">
      <c r="A774" s="26" t="n">
        <v>40299</v>
      </c>
      <c r="B774" s="1" t="n">
        <v>2010</v>
      </c>
      <c r="C774" s="1" t="n">
        <v>5</v>
      </c>
      <c r="D774" s="1" t="s">
        <v>46</v>
      </c>
      <c r="E774" s="1" t="s">
        <v>13</v>
      </c>
      <c r="F774" s="1" t="n">
        <v>112</v>
      </c>
      <c r="G774" s="1" t="n">
        <f aca="false">IF(E774=E773,F774/F773-1,"")</f>
        <v>-0.140906650302984</v>
      </c>
    </row>
    <row r="775" customFormat="false" ht="14.25" hidden="false" customHeight="true" outlineLevel="0" collapsed="false">
      <c r="A775" s="26" t="n">
        <v>40330</v>
      </c>
      <c r="B775" s="1" t="n">
        <v>2010</v>
      </c>
      <c r="C775" s="1" t="n">
        <v>6</v>
      </c>
      <c r="D775" s="1" t="s">
        <v>47</v>
      </c>
      <c r="E775" s="1" t="s">
        <v>13</v>
      </c>
      <c r="F775" s="1" t="n">
        <v>114.52</v>
      </c>
      <c r="G775" s="1" t="n">
        <f aca="false">IF(E775=E774,F775/F774-1,"")</f>
        <v>0.0225</v>
      </c>
    </row>
    <row r="776" customFormat="false" ht="14.25" hidden="false" customHeight="true" outlineLevel="0" collapsed="false">
      <c r="A776" s="26" t="n">
        <v>40360</v>
      </c>
      <c r="B776" s="1" t="n">
        <v>2010</v>
      </c>
      <c r="C776" s="1" t="n">
        <v>7</v>
      </c>
      <c r="D776" s="1" t="s">
        <v>48</v>
      </c>
      <c r="E776" s="1" t="s">
        <v>13</v>
      </c>
      <c r="F776" s="1" t="n">
        <v>119.43</v>
      </c>
      <c r="G776" s="1" t="n">
        <f aca="false">IF(E776=E775,F776/F775-1,"")</f>
        <v>0.0428746070555361</v>
      </c>
    </row>
    <row r="777" customFormat="false" ht="14.25" hidden="false" customHeight="true" outlineLevel="0" collapsed="false">
      <c r="A777" s="26" t="n">
        <v>40391</v>
      </c>
      <c r="B777" s="1" t="n">
        <v>2010</v>
      </c>
      <c r="C777" s="1" t="n">
        <v>8</v>
      </c>
      <c r="D777" s="1" t="s">
        <v>49</v>
      </c>
      <c r="E777" s="1" t="s">
        <v>13</v>
      </c>
      <c r="F777" s="1" t="n">
        <v>108.8</v>
      </c>
      <c r="G777" s="1" t="n">
        <f aca="false">IF(E777=E776,F777/F776-1,"")</f>
        <v>-0.089006112367077</v>
      </c>
    </row>
    <row r="778" customFormat="false" ht="14.25" hidden="false" customHeight="true" outlineLevel="0" collapsed="false">
      <c r="A778" s="26" t="n">
        <v>40422</v>
      </c>
      <c r="B778" s="1" t="n">
        <v>2010</v>
      </c>
      <c r="C778" s="1" t="n">
        <v>9</v>
      </c>
      <c r="D778" s="1" t="s">
        <v>50</v>
      </c>
      <c r="E778" s="1" t="s">
        <v>13</v>
      </c>
      <c r="F778" s="1" t="n">
        <v>120.86</v>
      </c>
      <c r="G778" s="1" t="n">
        <f aca="false">IF(E778=E777,F778/F777-1,"")</f>
        <v>0.110845588235294</v>
      </c>
    </row>
    <row r="779" customFormat="false" ht="14.25" hidden="false" customHeight="true" outlineLevel="0" collapsed="false">
      <c r="A779" s="26" t="n">
        <v>40452</v>
      </c>
      <c r="B779" s="1" t="n">
        <v>2010</v>
      </c>
      <c r="C779" s="1" t="n">
        <v>10</v>
      </c>
      <c r="D779" s="1" t="s">
        <v>51</v>
      </c>
      <c r="E779" s="1" t="s">
        <v>13</v>
      </c>
      <c r="F779" s="1" t="n">
        <v>122.97</v>
      </c>
      <c r="G779" s="1" t="n">
        <f aca="false">IF(E779=E778,F779/F778-1,"")</f>
        <v>0.0174582161178223</v>
      </c>
    </row>
    <row r="780" customFormat="false" ht="14.25" hidden="false" customHeight="true" outlineLevel="0" collapsed="false">
      <c r="A780" s="26" t="n">
        <v>40483</v>
      </c>
      <c r="B780" s="1" t="n">
        <v>2010</v>
      </c>
      <c r="C780" s="1" t="n">
        <v>11</v>
      </c>
      <c r="D780" s="1" t="s">
        <v>52</v>
      </c>
      <c r="E780" s="1" t="s">
        <v>13</v>
      </c>
      <c r="F780" s="1" t="n">
        <v>126.95</v>
      </c>
      <c r="G780" s="1" t="n">
        <f aca="false">IF(E780=E779,F780/F779-1,"")</f>
        <v>0.0323656176303164</v>
      </c>
    </row>
    <row r="781" customFormat="false" ht="14.25" hidden="false" customHeight="true" outlineLevel="0" collapsed="false">
      <c r="A781" s="26" t="n">
        <v>40513</v>
      </c>
      <c r="B781" s="1" t="n">
        <v>2010</v>
      </c>
      <c r="C781" s="1" t="n">
        <v>12</v>
      </c>
      <c r="D781" s="1" t="s">
        <v>53</v>
      </c>
      <c r="E781" s="1" t="s">
        <v>13</v>
      </c>
      <c r="F781" s="1" t="n">
        <v>137.67</v>
      </c>
      <c r="G781" s="1" t="n">
        <f aca="false">IF(E781=E780,F781/F780-1,"")</f>
        <v>0.0844426939740055</v>
      </c>
    </row>
    <row r="782" customFormat="false" ht="14.25" hidden="false" customHeight="true" outlineLevel="0" collapsed="false">
      <c r="A782" s="26" t="n">
        <v>40544</v>
      </c>
      <c r="B782" s="1" t="n">
        <v>2011</v>
      </c>
      <c r="C782" s="1" t="n">
        <v>1</v>
      </c>
      <c r="D782" s="1" t="s">
        <v>42</v>
      </c>
      <c r="E782" s="1" t="s">
        <v>13</v>
      </c>
      <c r="F782" s="1" t="n">
        <v>136.43</v>
      </c>
      <c r="G782" s="1" t="n">
        <f aca="false">IF(E782=E781,F782/F781-1,"")</f>
        <v>-0.00900704583424117</v>
      </c>
    </row>
    <row r="783" customFormat="false" ht="14.25" hidden="false" customHeight="true" outlineLevel="0" collapsed="false">
      <c r="A783" s="26" t="n">
        <v>40575</v>
      </c>
      <c r="B783" s="1" t="n">
        <v>2011</v>
      </c>
      <c r="C783" s="1" t="n">
        <v>2</v>
      </c>
      <c r="D783" s="1" t="s">
        <v>43</v>
      </c>
      <c r="E783" s="1" t="s">
        <v>13</v>
      </c>
      <c r="F783" s="1" t="n">
        <v>144.88</v>
      </c>
      <c r="G783" s="1" t="n">
        <f aca="false">IF(E783=E782,F783/F782-1,"")</f>
        <v>0.0619365242248771</v>
      </c>
    </row>
    <row r="784" customFormat="false" ht="14.25" hidden="false" customHeight="true" outlineLevel="0" collapsed="false">
      <c r="A784" s="26" t="n">
        <v>40603</v>
      </c>
      <c r="B784" s="1" t="n">
        <v>2011</v>
      </c>
      <c r="C784" s="1" t="n">
        <v>3</v>
      </c>
      <c r="D784" s="1" t="s">
        <v>44</v>
      </c>
      <c r="E784" s="1" t="s">
        <v>13</v>
      </c>
      <c r="F784" s="1" t="n">
        <v>156.91</v>
      </c>
      <c r="G784" s="1" t="n">
        <f aca="false">IF(E784=E783,F784/F783-1,"")</f>
        <v>0.0830342352291551</v>
      </c>
    </row>
    <row r="785" customFormat="false" ht="14.25" hidden="false" customHeight="true" outlineLevel="0" collapsed="false">
      <c r="A785" s="26" t="n">
        <v>40634</v>
      </c>
      <c r="B785" s="1" t="n">
        <v>2011</v>
      </c>
      <c r="C785" s="1" t="n">
        <v>4</v>
      </c>
      <c r="D785" s="1" t="s">
        <v>45</v>
      </c>
      <c r="E785" s="1" t="s">
        <v>13</v>
      </c>
      <c r="F785" s="1" t="n">
        <v>166.48</v>
      </c>
      <c r="G785" s="1" t="n">
        <f aca="false">IF(E785=E784,F785/F784-1,"")</f>
        <v>0.0609903766490345</v>
      </c>
    </row>
    <row r="786" customFormat="false" ht="14.25" hidden="false" customHeight="true" outlineLevel="0" collapsed="false">
      <c r="A786" s="26" t="n">
        <v>40664</v>
      </c>
      <c r="B786" s="1" t="n">
        <v>2011</v>
      </c>
      <c r="C786" s="1" t="n">
        <v>5</v>
      </c>
      <c r="D786" s="1" t="s">
        <v>46</v>
      </c>
      <c r="E786" s="1" t="s">
        <v>13</v>
      </c>
      <c r="F786" s="1" t="n">
        <v>150.08</v>
      </c>
      <c r="G786" s="1" t="n">
        <f aca="false">IF(E786=E785,F786/F785-1,"")</f>
        <v>-0.0985103315713598</v>
      </c>
    </row>
    <row r="787" customFormat="false" ht="14.25" hidden="false" customHeight="true" outlineLevel="0" collapsed="false">
      <c r="A787" s="26" t="n">
        <v>40695</v>
      </c>
      <c r="B787" s="1" t="n">
        <v>2011</v>
      </c>
      <c r="C787" s="1" t="n">
        <v>6</v>
      </c>
      <c r="D787" s="1" t="s">
        <v>47</v>
      </c>
      <c r="E787" s="1" t="s">
        <v>13</v>
      </c>
      <c r="F787" s="1" t="n">
        <v>139.42</v>
      </c>
      <c r="G787" s="1" t="n">
        <f aca="false">IF(E787=E786,F787/F786-1,"")</f>
        <v>-0.0710287846481879</v>
      </c>
    </row>
    <row r="788" customFormat="false" ht="14.25" hidden="false" customHeight="true" outlineLevel="0" collapsed="false">
      <c r="A788" s="26" t="n">
        <v>40725</v>
      </c>
      <c r="B788" s="1" t="n">
        <v>2011</v>
      </c>
      <c r="C788" s="1" t="n">
        <v>7</v>
      </c>
      <c r="D788" s="1" t="s">
        <v>48</v>
      </c>
      <c r="E788" s="1" t="s">
        <v>13</v>
      </c>
      <c r="F788" s="1" t="n">
        <v>139.85</v>
      </c>
      <c r="G788" s="1" t="n">
        <f aca="false">IF(E788=E787,F788/F787-1,"")</f>
        <v>0.00308420599627035</v>
      </c>
    </row>
    <row r="789" customFormat="false" ht="14.25" hidden="false" customHeight="true" outlineLevel="0" collapsed="false">
      <c r="A789" s="26" t="n">
        <v>40756</v>
      </c>
      <c r="B789" s="1" t="n">
        <v>2011</v>
      </c>
      <c r="C789" s="1" t="n">
        <v>8</v>
      </c>
      <c r="D789" s="1" t="s">
        <v>49</v>
      </c>
      <c r="E789" s="1" t="s">
        <v>13</v>
      </c>
      <c r="F789" s="1" t="n">
        <v>129.45</v>
      </c>
      <c r="G789" s="1" t="n">
        <f aca="false">IF(E789=E788,F789/F788-1,"")</f>
        <v>-0.0743653914908832</v>
      </c>
    </row>
    <row r="790" customFormat="false" ht="14.25" hidden="false" customHeight="true" outlineLevel="0" collapsed="false">
      <c r="A790" s="26" t="n">
        <v>40787</v>
      </c>
      <c r="B790" s="1" t="n">
        <v>2011</v>
      </c>
      <c r="C790" s="1" t="n">
        <v>9</v>
      </c>
      <c r="D790" s="1" t="s">
        <v>50</v>
      </c>
      <c r="E790" s="1" t="s">
        <v>13</v>
      </c>
      <c r="F790" s="1" t="n">
        <v>114.87</v>
      </c>
      <c r="G790" s="1" t="n">
        <f aca="false">IF(E790=E789,F790/F789-1,"")</f>
        <v>-0.112630359212051</v>
      </c>
    </row>
    <row r="791" customFormat="false" ht="14.25" hidden="false" customHeight="true" outlineLevel="0" collapsed="false">
      <c r="A791" s="26" t="n">
        <v>40817</v>
      </c>
      <c r="B791" s="1" t="n">
        <v>2011</v>
      </c>
      <c r="C791" s="1" t="n">
        <v>10</v>
      </c>
      <c r="D791" s="1" t="s">
        <v>51</v>
      </c>
      <c r="E791" s="1" t="s">
        <v>13</v>
      </c>
      <c r="F791" s="1" t="n">
        <v>135.91</v>
      </c>
      <c r="G791" s="1" t="n">
        <f aca="false">IF(E791=E790,F791/F790-1,"")</f>
        <v>0.183163576216593</v>
      </c>
    </row>
    <row r="792" customFormat="false" ht="14.25" hidden="false" customHeight="true" outlineLevel="0" collapsed="false">
      <c r="A792" s="26" t="n">
        <v>40848</v>
      </c>
      <c r="B792" s="1" t="n">
        <v>2011</v>
      </c>
      <c r="C792" s="1" t="n">
        <v>11</v>
      </c>
      <c r="D792" s="1" t="s">
        <v>52</v>
      </c>
      <c r="E792" s="1" t="s">
        <v>13</v>
      </c>
      <c r="F792" s="1" t="n">
        <v>146.49</v>
      </c>
      <c r="G792" s="1" t="n">
        <f aca="false">IF(E792=E791,F792/F791-1,"")</f>
        <v>0.0778456331395778</v>
      </c>
    </row>
    <row r="793" customFormat="false" ht="14.25" hidden="false" customHeight="true" outlineLevel="0" collapsed="false">
      <c r="A793" s="26" t="n">
        <v>40878</v>
      </c>
      <c r="B793" s="1" t="n">
        <v>2011</v>
      </c>
      <c r="C793" s="1" t="n">
        <v>12</v>
      </c>
      <c r="D793" s="1" t="s">
        <v>53</v>
      </c>
      <c r="E793" s="1" t="s">
        <v>13</v>
      </c>
      <c r="F793" s="1" t="n">
        <v>144.61</v>
      </c>
      <c r="G793" s="1" t="n">
        <f aca="false">IF(E793=E792,F793/F792-1,"")</f>
        <v>-0.0128336405215372</v>
      </c>
    </row>
    <row r="794" customFormat="false" ht="14.25" hidden="false" customHeight="true" outlineLevel="0" collapsed="false">
      <c r="A794" s="26" t="n">
        <v>40909</v>
      </c>
      <c r="B794" s="1" t="n">
        <v>2012</v>
      </c>
      <c r="C794" s="1" t="n">
        <v>1</v>
      </c>
      <c r="D794" s="1" t="s">
        <v>42</v>
      </c>
      <c r="E794" s="1" t="s">
        <v>13</v>
      </c>
      <c r="F794" s="1" t="n">
        <v>143.44</v>
      </c>
      <c r="G794" s="1" t="n">
        <f aca="false">IF(E794=E793,F794/F793-1,"")</f>
        <v>-0.00809072678238032</v>
      </c>
    </row>
    <row r="795" customFormat="false" ht="14.25" hidden="false" customHeight="true" outlineLevel="0" collapsed="false">
      <c r="A795" s="26" t="n">
        <v>40940</v>
      </c>
      <c r="B795" s="1" t="n">
        <v>2012</v>
      </c>
      <c r="C795" s="1" t="n">
        <v>2</v>
      </c>
      <c r="D795" s="1" t="s">
        <v>43</v>
      </c>
      <c r="E795" s="1" t="s">
        <v>13</v>
      </c>
      <c r="F795" s="1" t="n">
        <v>155.31</v>
      </c>
      <c r="G795" s="1" t="n">
        <f aca="false">IF(E795=E794,F795/F794-1,"")</f>
        <v>0.0827523703290576</v>
      </c>
    </row>
    <row r="796" customFormat="false" ht="14.25" hidden="false" customHeight="true" outlineLevel="0" collapsed="false">
      <c r="A796" s="26" t="n">
        <v>40969</v>
      </c>
      <c r="B796" s="1" t="n">
        <v>2012</v>
      </c>
      <c r="C796" s="1" t="n">
        <v>3</v>
      </c>
      <c r="D796" s="1" t="s">
        <v>44</v>
      </c>
      <c r="E796" s="1" t="s">
        <v>13</v>
      </c>
      <c r="F796" s="1" t="n">
        <v>148.31</v>
      </c>
      <c r="G796" s="1" t="n">
        <f aca="false">IF(E796=E795,F796/F795-1,"")</f>
        <v>-0.0450711480265276</v>
      </c>
    </row>
    <row r="797" customFormat="false" ht="14.25" hidden="false" customHeight="true" outlineLevel="0" collapsed="false">
      <c r="A797" s="26" t="n">
        <v>41000</v>
      </c>
      <c r="B797" s="1" t="n">
        <v>2012</v>
      </c>
      <c r="C797" s="1" t="n">
        <v>4</v>
      </c>
      <c r="D797" s="1" t="s">
        <v>45</v>
      </c>
      <c r="E797" s="1" t="s">
        <v>13</v>
      </c>
      <c r="F797" s="1" t="n">
        <v>150.54</v>
      </c>
      <c r="G797" s="1" t="n">
        <f aca="false">IF(E797=E796,F797/F796-1,"")</f>
        <v>0.0150360730901489</v>
      </c>
    </row>
    <row r="798" customFormat="false" ht="14.25" hidden="false" customHeight="true" outlineLevel="0" collapsed="false">
      <c r="A798" s="26" t="n">
        <v>41030</v>
      </c>
      <c r="B798" s="1" t="n">
        <v>2012</v>
      </c>
      <c r="C798" s="1" t="n">
        <v>5</v>
      </c>
      <c r="D798" s="1" t="s">
        <v>46</v>
      </c>
      <c r="E798" s="1" t="s">
        <v>13</v>
      </c>
      <c r="F798" s="1" t="n">
        <v>124.32</v>
      </c>
      <c r="G798" s="1" t="n">
        <f aca="false">IF(E798=E797,F798/F797-1,"")</f>
        <v>-0.174172977281786</v>
      </c>
    </row>
    <row r="799" customFormat="false" ht="14.25" hidden="false" customHeight="true" outlineLevel="0" collapsed="false">
      <c r="A799" s="26" t="n">
        <v>41061</v>
      </c>
      <c r="B799" s="1" t="n">
        <v>2012</v>
      </c>
      <c r="C799" s="1" t="n">
        <v>6</v>
      </c>
      <c r="D799" s="1" t="s">
        <v>47</v>
      </c>
      <c r="E799" s="1" t="s">
        <v>13</v>
      </c>
      <c r="F799" s="1" t="n">
        <v>122.37</v>
      </c>
      <c r="G799" s="1" t="n">
        <f aca="false">IF(E799=E798,F799/F798-1,"")</f>
        <v>-0.0156853281853281</v>
      </c>
    </row>
    <row r="800" customFormat="false" ht="14.25" hidden="false" customHeight="true" outlineLevel="0" collapsed="false">
      <c r="A800" s="26" t="n">
        <v>41091</v>
      </c>
      <c r="B800" s="1" t="n">
        <v>2012</v>
      </c>
      <c r="C800" s="1" t="n">
        <v>7</v>
      </c>
      <c r="D800" s="1" t="s">
        <v>48</v>
      </c>
      <c r="E800" s="1" t="s">
        <v>13</v>
      </c>
      <c r="F800" s="1" t="n">
        <v>126.95</v>
      </c>
      <c r="G800" s="1" t="n">
        <f aca="false">IF(E800=E799,F800/F799-1,"")</f>
        <v>0.0374274740540983</v>
      </c>
    </row>
    <row r="801" customFormat="false" ht="14.25" hidden="false" customHeight="true" outlineLevel="0" collapsed="false">
      <c r="A801" s="26" t="n">
        <v>41122</v>
      </c>
      <c r="B801" s="1" t="n">
        <v>2012</v>
      </c>
      <c r="C801" s="1" t="n">
        <v>8</v>
      </c>
      <c r="D801" s="1" t="s">
        <v>49</v>
      </c>
      <c r="E801" s="1" t="s">
        <v>13</v>
      </c>
      <c r="F801" s="1" t="n">
        <v>138.27</v>
      </c>
      <c r="G801" s="1" t="n">
        <f aca="false">IF(E801=E800,F801/F800-1,"")</f>
        <v>0.0891689641591178</v>
      </c>
    </row>
    <row r="802" customFormat="false" ht="14.25" hidden="false" customHeight="true" outlineLevel="0" collapsed="false">
      <c r="A802" s="26" t="n">
        <v>41153</v>
      </c>
      <c r="B802" s="1" t="n">
        <v>2012</v>
      </c>
      <c r="C802" s="1" t="n">
        <v>9</v>
      </c>
      <c r="D802" s="1" t="s">
        <v>50</v>
      </c>
      <c r="E802" s="1" t="s">
        <v>13</v>
      </c>
      <c r="F802" s="1" t="n">
        <v>131.54</v>
      </c>
      <c r="G802" s="1" t="n">
        <f aca="false">IF(E802=E801,F802/F801-1,"")</f>
        <v>-0.0486728863817171</v>
      </c>
    </row>
    <row r="803" customFormat="false" ht="14.25" hidden="false" customHeight="true" outlineLevel="0" collapsed="false">
      <c r="A803" s="26" t="n">
        <v>41183</v>
      </c>
      <c r="B803" s="1" t="n">
        <v>2012</v>
      </c>
      <c r="C803" s="1" t="n">
        <v>10</v>
      </c>
      <c r="D803" s="1" t="s">
        <v>51</v>
      </c>
      <c r="E803" s="1" t="s">
        <v>13</v>
      </c>
      <c r="F803" s="1" t="n">
        <v>123.1</v>
      </c>
      <c r="G803" s="1" t="n">
        <f aca="false">IF(E803=E802,F803/F802-1,"")</f>
        <v>-0.0641629922457048</v>
      </c>
    </row>
    <row r="804" customFormat="false" ht="14.25" hidden="false" customHeight="true" outlineLevel="0" collapsed="false">
      <c r="A804" s="26" t="n">
        <v>41214</v>
      </c>
      <c r="B804" s="1" t="n">
        <v>2012</v>
      </c>
      <c r="C804" s="1" t="n">
        <v>11</v>
      </c>
      <c r="D804" s="1" t="s">
        <v>52</v>
      </c>
      <c r="E804" s="1" t="s">
        <v>13</v>
      </c>
      <c r="F804" s="1" t="n">
        <v>127</v>
      </c>
      <c r="G804" s="1" t="n">
        <f aca="false">IF(E804=E803,F804/F803-1,"")</f>
        <v>0.0316815597075548</v>
      </c>
    </row>
    <row r="805" customFormat="false" ht="14.25" hidden="false" customHeight="true" outlineLevel="0" collapsed="false">
      <c r="A805" s="26" t="n">
        <v>41244</v>
      </c>
      <c r="B805" s="1" t="n">
        <v>2012</v>
      </c>
      <c r="C805" s="1" t="n">
        <v>12</v>
      </c>
      <c r="D805" s="1" t="s">
        <v>53</v>
      </c>
      <c r="E805" s="1" t="s">
        <v>13</v>
      </c>
      <c r="F805" s="1" t="n">
        <v>132.07</v>
      </c>
      <c r="G805" s="1" t="n">
        <f aca="false">IF(E805=E804,F805/F804-1,"")</f>
        <v>0.0399212598425196</v>
      </c>
    </row>
    <row r="806" customFormat="false" ht="14.25" hidden="false" customHeight="true" outlineLevel="0" collapsed="false">
      <c r="A806" s="26" t="n">
        <v>41275</v>
      </c>
      <c r="B806" s="1" t="n">
        <v>2013</v>
      </c>
      <c r="C806" s="1" t="n">
        <v>1</v>
      </c>
      <c r="D806" s="1" t="s">
        <v>42</v>
      </c>
      <c r="E806" s="1" t="s">
        <v>13</v>
      </c>
      <c r="F806" s="1" t="n">
        <v>140.03</v>
      </c>
      <c r="G806" s="1" t="n">
        <f aca="false">IF(E806=E805,F806/F805-1,"")</f>
        <v>0.0602710683728327</v>
      </c>
    </row>
    <row r="807" customFormat="false" ht="14.25" hidden="false" customHeight="true" outlineLevel="0" collapsed="false">
      <c r="A807" s="26" t="n">
        <v>41306</v>
      </c>
      <c r="B807" s="1" t="n">
        <v>2013</v>
      </c>
      <c r="C807" s="1" t="n">
        <v>2</v>
      </c>
      <c r="D807" s="1" t="s">
        <v>43</v>
      </c>
      <c r="E807" s="1" t="s">
        <v>13</v>
      </c>
      <c r="F807" s="1" t="n">
        <v>130.9</v>
      </c>
      <c r="G807" s="1" t="n">
        <f aca="false">IF(E807=E806,F807/F806-1,"")</f>
        <v>-0.0652003142183818</v>
      </c>
    </row>
    <row r="808" customFormat="false" ht="14.25" hidden="false" customHeight="true" outlineLevel="0" collapsed="false">
      <c r="A808" s="26" t="n">
        <v>41334</v>
      </c>
      <c r="B808" s="1" t="n">
        <v>2013</v>
      </c>
      <c r="C808" s="1" t="n">
        <v>3</v>
      </c>
      <c r="D808" s="1" t="s">
        <v>44</v>
      </c>
      <c r="E808" s="1" t="s">
        <v>13</v>
      </c>
      <c r="F808" s="1" t="n">
        <v>137.95</v>
      </c>
      <c r="G808" s="1" t="n">
        <f aca="false">IF(E808=E807,F808/F807-1,"")</f>
        <v>0.0538579067990832</v>
      </c>
    </row>
    <row r="809" customFormat="false" ht="14.25" hidden="false" customHeight="true" outlineLevel="0" collapsed="false">
      <c r="A809" s="26" t="n">
        <v>41365</v>
      </c>
      <c r="B809" s="1" t="n">
        <v>2013</v>
      </c>
      <c r="C809" s="1" t="n">
        <v>4</v>
      </c>
      <c r="D809" s="1" t="s">
        <v>45</v>
      </c>
      <c r="E809" s="1" t="s">
        <v>13</v>
      </c>
      <c r="F809" s="1" t="n">
        <v>132.38</v>
      </c>
      <c r="G809" s="1" t="n">
        <f aca="false">IF(E809=E808,F809/F808-1,"")</f>
        <v>-0.0403769481696267</v>
      </c>
    </row>
    <row r="810" customFormat="false" ht="14.25" hidden="false" customHeight="true" outlineLevel="0" collapsed="false">
      <c r="A810" s="26" t="n">
        <v>41395</v>
      </c>
      <c r="B810" s="1" t="n">
        <v>2013</v>
      </c>
      <c r="C810" s="1" t="n">
        <v>5</v>
      </c>
      <c r="D810" s="1" t="s">
        <v>46</v>
      </c>
      <c r="E810" s="1" t="s">
        <v>13</v>
      </c>
      <c r="F810" s="1" t="n">
        <v>130.32</v>
      </c>
      <c r="G810" s="1" t="n">
        <f aca="false">IF(E810=E809,F810/F809-1,"")</f>
        <v>-0.0155612630306693</v>
      </c>
    </row>
    <row r="811" customFormat="false" ht="14.25" hidden="false" customHeight="true" outlineLevel="0" collapsed="false">
      <c r="A811" s="26" t="n">
        <v>41426</v>
      </c>
      <c r="B811" s="1" t="n">
        <v>2013</v>
      </c>
      <c r="C811" s="1" t="n">
        <v>6</v>
      </c>
      <c r="D811" s="1" t="s">
        <v>47</v>
      </c>
      <c r="E811" s="1" t="s">
        <v>13</v>
      </c>
      <c r="F811" s="1" t="n">
        <v>136.27</v>
      </c>
      <c r="G811" s="1" t="n">
        <f aca="false">IF(E811=E810,F811/F810-1,"")</f>
        <v>0.0456568446899941</v>
      </c>
    </row>
    <row r="812" customFormat="false" ht="14.25" hidden="false" customHeight="true" outlineLevel="0" collapsed="false">
      <c r="A812" s="26" t="n">
        <v>41456</v>
      </c>
      <c r="B812" s="1" t="n">
        <v>2013</v>
      </c>
      <c r="C812" s="1" t="n">
        <v>7</v>
      </c>
      <c r="D812" s="1" t="s">
        <v>48</v>
      </c>
      <c r="E812" s="1" t="s">
        <v>13</v>
      </c>
      <c r="F812" s="1" t="n">
        <v>148.57</v>
      </c>
      <c r="G812" s="1" t="n">
        <f aca="false">IF(E812=E811,F812/F811-1,"")</f>
        <v>0.0902619798928597</v>
      </c>
    </row>
    <row r="813" customFormat="false" ht="14.25" hidden="false" customHeight="true" outlineLevel="0" collapsed="false">
      <c r="A813" s="26" t="n">
        <v>41487</v>
      </c>
      <c r="B813" s="1" t="n">
        <v>2013</v>
      </c>
      <c r="C813" s="1" t="n">
        <v>8</v>
      </c>
      <c r="D813" s="1" t="s">
        <v>49</v>
      </c>
      <c r="E813" s="1" t="s">
        <v>13</v>
      </c>
      <c r="F813" s="1" t="n">
        <v>152.46</v>
      </c>
      <c r="G813" s="1" t="n">
        <f aca="false">IF(E813=E812,F813/F812-1,"")</f>
        <v>0.02618294406677</v>
      </c>
    </row>
    <row r="814" customFormat="false" ht="14.25" hidden="false" customHeight="true" outlineLevel="0" collapsed="false">
      <c r="A814" s="26" t="n">
        <v>41518</v>
      </c>
      <c r="B814" s="1" t="n">
        <v>2013</v>
      </c>
      <c r="C814" s="1" t="n">
        <v>9</v>
      </c>
      <c r="D814" s="1" t="s">
        <v>50</v>
      </c>
      <c r="E814" s="1" t="s">
        <v>13</v>
      </c>
      <c r="F814" s="1" t="n">
        <v>144.36</v>
      </c>
      <c r="G814" s="1" t="n">
        <f aca="false">IF(E814=E813,F814/F813-1,"")</f>
        <v>-0.0531286894923259</v>
      </c>
    </row>
    <row r="815" customFormat="false" ht="14.25" hidden="false" customHeight="true" outlineLevel="0" collapsed="false">
      <c r="A815" s="26" t="n">
        <v>41548</v>
      </c>
      <c r="B815" s="1" t="n">
        <v>2013</v>
      </c>
      <c r="C815" s="1" t="n">
        <v>10</v>
      </c>
      <c r="D815" s="1" t="s">
        <v>51</v>
      </c>
      <c r="E815" s="1" t="s">
        <v>13</v>
      </c>
      <c r="F815" s="1" t="n">
        <v>136.15</v>
      </c>
      <c r="G815" s="1" t="n">
        <f aca="false">IF(E815=E814,F815/F814-1,"")</f>
        <v>-0.0568717096148518</v>
      </c>
    </row>
    <row r="816" customFormat="false" ht="14.25" hidden="false" customHeight="true" outlineLevel="0" collapsed="false">
      <c r="A816" s="26" t="n">
        <v>41579</v>
      </c>
      <c r="B816" s="1" t="n">
        <v>2013</v>
      </c>
      <c r="C816" s="1" t="n">
        <v>11</v>
      </c>
      <c r="D816" s="1" t="s">
        <v>52</v>
      </c>
      <c r="E816" s="1" t="s">
        <v>13</v>
      </c>
      <c r="F816" s="1" t="n">
        <v>131.13</v>
      </c>
      <c r="G816" s="1" t="n">
        <f aca="false">IF(E816=E815,F816/F815-1,"")</f>
        <v>-0.0368710980536174</v>
      </c>
    </row>
    <row r="817" customFormat="false" ht="14.25" hidden="false" customHeight="true" outlineLevel="0" collapsed="false">
      <c r="A817" s="26" t="n">
        <v>41609</v>
      </c>
      <c r="B817" s="1" t="n">
        <v>2013</v>
      </c>
      <c r="C817" s="1" t="n">
        <v>12</v>
      </c>
      <c r="D817" s="1" t="s">
        <v>53</v>
      </c>
      <c r="E817" s="1" t="s">
        <v>13</v>
      </c>
      <c r="F817" s="1" t="n">
        <v>139.1</v>
      </c>
      <c r="G817" s="1" t="n">
        <f aca="false">IF(E817=E816,F817/F816-1,"")</f>
        <v>0.0607793792419735</v>
      </c>
    </row>
    <row r="818" customFormat="false" ht="14.25" hidden="false" customHeight="true" outlineLevel="0" collapsed="false">
      <c r="A818" s="26" t="n">
        <v>41640</v>
      </c>
      <c r="B818" s="1" t="n">
        <v>2014</v>
      </c>
      <c r="C818" s="1" t="n">
        <v>1</v>
      </c>
      <c r="D818" s="1" t="s">
        <v>42</v>
      </c>
      <c r="E818" s="1" t="s">
        <v>13</v>
      </c>
      <c r="F818" s="1" t="n">
        <v>137.71</v>
      </c>
      <c r="G818" s="1" t="n">
        <f aca="false">IF(E818=E817,F818/F817-1,"")</f>
        <v>-0.00999281092739024</v>
      </c>
    </row>
    <row r="819" customFormat="false" ht="14.25" hidden="false" customHeight="true" outlineLevel="0" collapsed="false">
      <c r="A819" s="26" t="n">
        <v>41671</v>
      </c>
      <c r="B819" s="1" t="n">
        <v>2014</v>
      </c>
      <c r="C819" s="1" t="n">
        <v>2</v>
      </c>
      <c r="D819" s="1" t="s">
        <v>43</v>
      </c>
      <c r="E819" s="1" t="s">
        <v>13</v>
      </c>
      <c r="F819" s="1" t="n">
        <v>144.7</v>
      </c>
      <c r="G819" s="1" t="n">
        <f aca="false">IF(E819=E818,F819/F818-1,"")</f>
        <v>0.0507588410427708</v>
      </c>
    </row>
    <row r="820" customFormat="false" ht="14.25" hidden="false" customHeight="true" outlineLevel="0" collapsed="false">
      <c r="A820" s="26" t="n">
        <v>41699</v>
      </c>
      <c r="B820" s="1" t="n">
        <v>2014</v>
      </c>
      <c r="C820" s="1" t="n">
        <v>3</v>
      </c>
      <c r="D820" s="1" t="s">
        <v>44</v>
      </c>
      <c r="E820" s="1" t="s">
        <v>13</v>
      </c>
      <c r="F820" s="1" t="n">
        <v>141.94</v>
      </c>
      <c r="G820" s="1" t="n">
        <f aca="false">IF(E820=E819,F820/F819-1,"")</f>
        <v>-0.0190739460953697</v>
      </c>
    </row>
    <row r="821" customFormat="false" ht="14.25" hidden="false" customHeight="true" outlineLevel="0" collapsed="false">
      <c r="A821" s="26" t="n">
        <v>41730</v>
      </c>
      <c r="B821" s="1" t="n">
        <v>2014</v>
      </c>
      <c r="C821" s="1" t="n">
        <v>4</v>
      </c>
      <c r="D821" s="1" t="s">
        <v>45</v>
      </c>
      <c r="E821" s="1" t="s">
        <v>13</v>
      </c>
      <c r="F821" s="1" t="n">
        <v>139.39</v>
      </c>
      <c r="G821" s="1" t="n">
        <f aca="false">IF(E821=E820,F821/F820-1,"")</f>
        <v>-0.0179653374665353</v>
      </c>
    </row>
    <row r="822" customFormat="false" ht="14.25" hidden="false" customHeight="true" outlineLevel="0" collapsed="false">
      <c r="A822" s="26" t="n">
        <v>41760</v>
      </c>
      <c r="B822" s="1" t="n">
        <v>2014</v>
      </c>
      <c r="C822" s="1" t="n">
        <v>5</v>
      </c>
      <c r="D822" s="1" t="s">
        <v>46</v>
      </c>
      <c r="E822" s="1" t="s">
        <v>13</v>
      </c>
      <c r="F822" s="1" t="n">
        <v>143.52</v>
      </c>
      <c r="G822" s="1" t="n">
        <f aca="false">IF(E822=E821,F822/F821-1,"")</f>
        <v>0.0296290982136453</v>
      </c>
    </row>
    <row r="823" customFormat="false" ht="14.25" hidden="false" customHeight="true" outlineLevel="0" collapsed="false">
      <c r="A823" s="26" t="n">
        <v>41791</v>
      </c>
      <c r="B823" s="1" t="n">
        <v>2014</v>
      </c>
      <c r="C823" s="1" t="n">
        <v>6</v>
      </c>
      <c r="D823" s="1" t="s">
        <v>47</v>
      </c>
      <c r="E823" s="1" t="s">
        <v>13</v>
      </c>
      <c r="F823" s="1" t="n">
        <v>146.95</v>
      </c>
      <c r="G823" s="1" t="n">
        <f aca="false">IF(E823=E822,F823/F822-1,"")</f>
        <v>0.0238991081382385</v>
      </c>
    </row>
    <row r="824" customFormat="false" ht="14.25" hidden="false" customHeight="true" outlineLevel="0" collapsed="false">
      <c r="A824" s="26" t="n">
        <v>41821</v>
      </c>
      <c r="B824" s="1" t="n">
        <v>2014</v>
      </c>
      <c r="C824" s="1" t="n">
        <v>7</v>
      </c>
      <c r="D824" s="1" t="s">
        <v>48</v>
      </c>
      <c r="E824" s="1" t="s">
        <v>13</v>
      </c>
      <c r="F824" s="1" t="n">
        <v>136.15</v>
      </c>
      <c r="G824" s="1" t="n">
        <f aca="false">IF(E824=E823,F824/F823-1,"")</f>
        <v>-0.0734943858455256</v>
      </c>
    </row>
    <row r="825" customFormat="false" ht="14.25" hidden="false" customHeight="true" outlineLevel="0" collapsed="false">
      <c r="A825" s="26" t="n">
        <v>41852</v>
      </c>
      <c r="B825" s="1" t="n">
        <v>2014</v>
      </c>
      <c r="C825" s="1" t="n">
        <v>8</v>
      </c>
      <c r="D825" s="1" t="s">
        <v>49</v>
      </c>
      <c r="E825" s="1" t="s">
        <v>13</v>
      </c>
      <c r="F825" s="1" t="n">
        <v>135.86</v>
      </c>
      <c r="G825" s="1" t="n">
        <f aca="false">IF(E825=E824,F825/F824-1,"")</f>
        <v>-0.00213000367242011</v>
      </c>
    </row>
    <row r="826" customFormat="false" ht="14.25" hidden="false" customHeight="true" outlineLevel="0" collapsed="false">
      <c r="A826" s="26" t="n">
        <v>41883</v>
      </c>
      <c r="B826" s="1" t="n">
        <v>2014</v>
      </c>
      <c r="C826" s="1" t="n">
        <v>9</v>
      </c>
      <c r="D826" s="1" t="s">
        <v>50</v>
      </c>
      <c r="E826" s="1" t="s">
        <v>13</v>
      </c>
      <c r="F826" s="1" t="n">
        <v>126.48</v>
      </c>
      <c r="G826" s="1" t="n">
        <f aca="false">IF(E826=E825,F826/F825-1,"")</f>
        <v>-0.0690416605329016</v>
      </c>
    </row>
    <row r="827" customFormat="false" ht="14.25" hidden="false" customHeight="true" outlineLevel="0" collapsed="false">
      <c r="A827" s="26" t="n">
        <v>41913</v>
      </c>
      <c r="B827" s="1" t="n">
        <v>2014</v>
      </c>
      <c r="C827" s="1" t="n">
        <v>10</v>
      </c>
      <c r="D827" s="1" t="s">
        <v>51</v>
      </c>
      <c r="E827" s="1" t="s">
        <v>13</v>
      </c>
      <c r="F827" s="1" t="n">
        <v>112</v>
      </c>
      <c r="G827" s="1" t="n">
        <f aca="false">IF(E827=E826,F827/F826-1,"")</f>
        <v>-0.114484503478811</v>
      </c>
    </row>
    <row r="828" customFormat="false" ht="14.25" hidden="false" customHeight="true" outlineLevel="0" collapsed="false">
      <c r="A828" s="26" t="n">
        <v>41944</v>
      </c>
      <c r="B828" s="1" t="n">
        <v>2014</v>
      </c>
      <c r="C828" s="1" t="n">
        <v>11</v>
      </c>
      <c r="D828" s="1" t="s">
        <v>52</v>
      </c>
      <c r="E828" s="1" t="s">
        <v>13</v>
      </c>
      <c r="F828" s="1" t="n">
        <v>92.2</v>
      </c>
      <c r="G828" s="1" t="n">
        <f aca="false">IF(E828=E827,F828/F827-1,"")</f>
        <v>-0.176785714285714</v>
      </c>
    </row>
    <row r="829" customFormat="false" ht="14.25" hidden="false" customHeight="true" outlineLevel="0" collapsed="false">
      <c r="A829" s="26" t="n">
        <v>41974</v>
      </c>
      <c r="B829" s="1" t="n">
        <v>2014</v>
      </c>
      <c r="C829" s="1" t="n">
        <v>12</v>
      </c>
      <c r="D829" s="1" t="s">
        <v>53</v>
      </c>
      <c r="E829" s="1" t="s">
        <v>13</v>
      </c>
      <c r="F829" s="1" t="n">
        <v>75.17</v>
      </c>
      <c r="G829" s="1" t="n">
        <f aca="false">IF(E829=E828,F829/F828-1,"")</f>
        <v>-0.18470715835141</v>
      </c>
    </row>
    <row r="830" customFormat="false" ht="14.25" hidden="false" customHeight="true" outlineLevel="0" collapsed="false">
      <c r="A830" s="26" t="n">
        <v>42005</v>
      </c>
      <c r="B830" s="1" t="n">
        <v>2015</v>
      </c>
      <c r="C830" s="1" t="n">
        <v>1</v>
      </c>
      <c r="D830" s="1" t="s">
        <v>42</v>
      </c>
      <c r="E830" s="1" t="s">
        <v>13</v>
      </c>
      <c r="F830" s="1" t="n">
        <v>67.52</v>
      </c>
      <c r="G830" s="1" t="n">
        <f aca="false">IF(E830=E829,F830/F829-1,"")</f>
        <v>-0.101769322868166</v>
      </c>
    </row>
    <row r="831" customFormat="false" ht="14.25" hidden="false" customHeight="true" outlineLevel="0" collapsed="false">
      <c r="A831" s="26" t="n">
        <v>42036</v>
      </c>
      <c r="B831" s="1" t="n">
        <v>2015</v>
      </c>
      <c r="C831" s="1" t="n">
        <v>2</v>
      </c>
      <c r="D831" s="1" t="s">
        <v>43</v>
      </c>
      <c r="E831" s="1" t="s">
        <v>13</v>
      </c>
      <c r="F831" s="1" t="n">
        <v>70.12</v>
      </c>
      <c r="G831" s="1" t="n">
        <f aca="false">IF(E831=E830,F831/F830-1,"")</f>
        <v>0.0385071090047395</v>
      </c>
    </row>
    <row r="832" customFormat="false" ht="14.25" hidden="false" customHeight="true" outlineLevel="0" collapsed="false">
      <c r="A832" s="26" t="n">
        <v>42064</v>
      </c>
      <c r="B832" s="1" t="n">
        <v>2015</v>
      </c>
      <c r="C832" s="1" t="n">
        <v>3</v>
      </c>
      <c r="D832" s="1" t="s">
        <v>44</v>
      </c>
      <c r="E832" s="1" t="s">
        <v>13</v>
      </c>
      <c r="F832" s="1" t="n">
        <v>66.74</v>
      </c>
      <c r="G832" s="1" t="n">
        <f aca="false">IF(E832=E831,F832/F831-1,"")</f>
        <v>-0.0482030804335426</v>
      </c>
    </row>
    <row r="833" customFormat="false" ht="14.25" hidden="false" customHeight="true" outlineLevel="0" collapsed="false">
      <c r="A833" s="26" t="n">
        <v>42095</v>
      </c>
      <c r="B833" s="1" t="n">
        <v>2015</v>
      </c>
      <c r="C833" s="1" t="n">
        <v>4</v>
      </c>
      <c r="D833" s="1" t="s">
        <v>45</v>
      </c>
      <c r="E833" s="1" t="s">
        <v>13</v>
      </c>
      <c r="F833" s="1" t="n">
        <v>83.21</v>
      </c>
      <c r="G833" s="1" t="n">
        <f aca="false">IF(E833=E832,F833/F832-1,"")</f>
        <v>0.246778543602038</v>
      </c>
    </row>
    <row r="834" customFormat="false" ht="14.25" hidden="false" customHeight="true" outlineLevel="0" collapsed="false">
      <c r="A834" s="26" t="n">
        <v>42125</v>
      </c>
      <c r="B834" s="1" t="n">
        <v>2015</v>
      </c>
      <c r="C834" s="1" t="n">
        <v>5</v>
      </c>
      <c r="D834" s="1" t="s">
        <v>46</v>
      </c>
      <c r="E834" s="1" t="s">
        <v>13</v>
      </c>
      <c r="F834" s="1" t="n">
        <v>83.66</v>
      </c>
      <c r="G834" s="1" t="n">
        <f aca="false">IF(E834=E833,F834/F833-1,"")</f>
        <v>0.00540800384569162</v>
      </c>
    </row>
    <row r="835" customFormat="false" ht="14.25" hidden="false" customHeight="true" outlineLevel="0" collapsed="false">
      <c r="A835" s="26" t="n">
        <v>42156</v>
      </c>
      <c r="B835" s="1" t="n">
        <v>2015</v>
      </c>
      <c r="C835" s="1" t="n">
        <v>6</v>
      </c>
      <c r="D835" s="1" t="s">
        <v>47</v>
      </c>
      <c r="E835" s="1" t="s">
        <v>13</v>
      </c>
      <c r="F835" s="1" t="n">
        <v>82.3</v>
      </c>
      <c r="G835" s="1" t="n">
        <f aca="false">IF(E835=E834,F835/F834-1,"")</f>
        <v>-0.0162562754004303</v>
      </c>
    </row>
    <row r="836" customFormat="false" ht="14.25" hidden="false" customHeight="true" outlineLevel="0" collapsed="false">
      <c r="A836" s="26" t="n">
        <v>42186</v>
      </c>
      <c r="B836" s="1" t="n">
        <v>2015</v>
      </c>
      <c r="C836" s="1" t="n">
        <v>7</v>
      </c>
      <c r="D836" s="1" t="s">
        <v>48</v>
      </c>
      <c r="E836" s="1" t="s">
        <v>13</v>
      </c>
      <c r="F836" s="1" t="n">
        <v>65.18</v>
      </c>
      <c r="G836" s="1" t="n">
        <f aca="false">IF(E836=E835,F836/F835-1,"")</f>
        <v>-0.208019441069259</v>
      </c>
    </row>
    <row r="837" customFormat="false" ht="14.25" hidden="false" customHeight="true" outlineLevel="0" collapsed="false">
      <c r="A837" s="26" t="n">
        <v>42217</v>
      </c>
      <c r="B837" s="1" t="n">
        <v>2015</v>
      </c>
      <c r="C837" s="1" t="n">
        <v>8</v>
      </c>
      <c r="D837" s="1" t="s">
        <v>49</v>
      </c>
      <c r="E837" s="1" t="s">
        <v>13</v>
      </c>
      <c r="F837" s="1" t="n">
        <v>68.17</v>
      </c>
      <c r="G837" s="1" t="n">
        <f aca="false">IF(E837=E836,F837/F836-1,"")</f>
        <v>0.0458729671678428</v>
      </c>
    </row>
    <row r="838" customFormat="false" ht="14.25" hidden="false" customHeight="true" outlineLevel="0" collapsed="false">
      <c r="A838" s="26" t="n">
        <v>42248</v>
      </c>
      <c r="B838" s="1" t="n">
        <v>2015</v>
      </c>
      <c r="C838" s="1" t="n">
        <v>9</v>
      </c>
      <c r="D838" s="1" t="s">
        <v>50</v>
      </c>
      <c r="E838" s="1" t="s">
        <v>13</v>
      </c>
      <c r="F838" s="1" t="n">
        <v>62.53</v>
      </c>
      <c r="G838" s="1" t="n">
        <f aca="false">IF(E838=E837,F838/F837-1,"")</f>
        <v>-0.0827343406190406</v>
      </c>
    </row>
    <row r="839" customFormat="false" ht="14.25" hidden="false" customHeight="true" outlineLevel="0" collapsed="false">
      <c r="A839" s="26" t="n">
        <v>42278</v>
      </c>
      <c r="B839" s="1" t="n">
        <v>2015</v>
      </c>
      <c r="C839" s="1" t="n">
        <v>10</v>
      </c>
      <c r="D839" s="1" t="s">
        <v>51</v>
      </c>
      <c r="E839" s="1" t="s">
        <v>13</v>
      </c>
      <c r="F839" s="1" t="n">
        <v>64.7</v>
      </c>
      <c r="G839" s="1" t="n">
        <f aca="false">IF(E839=E838,F839/F838-1,"")</f>
        <v>0.0347033423956502</v>
      </c>
    </row>
    <row r="840" customFormat="false" ht="14.25" hidden="false" customHeight="true" outlineLevel="0" collapsed="false">
      <c r="A840" s="26" t="n">
        <v>42309</v>
      </c>
      <c r="B840" s="1" t="n">
        <v>2015</v>
      </c>
      <c r="C840" s="1" t="n">
        <v>11</v>
      </c>
      <c r="D840" s="1" t="s">
        <v>52</v>
      </c>
      <c r="E840" s="1" t="s">
        <v>13</v>
      </c>
      <c r="F840" s="1" t="n">
        <v>56.25</v>
      </c>
      <c r="G840" s="1" t="n">
        <f aca="false">IF(E840=E839,F840/F839-1,"")</f>
        <v>-0.130602782071097</v>
      </c>
    </row>
    <row r="841" customFormat="false" ht="14.25" hidden="false" customHeight="true" outlineLevel="0" collapsed="false">
      <c r="A841" s="26" t="n">
        <v>42339</v>
      </c>
      <c r="B841" s="1" t="n">
        <v>2015</v>
      </c>
      <c r="C841" s="1" t="n">
        <v>12</v>
      </c>
      <c r="D841" s="1" t="s">
        <v>53</v>
      </c>
      <c r="E841" s="1" t="s">
        <v>13</v>
      </c>
      <c r="F841" s="1" t="n">
        <v>51.84</v>
      </c>
      <c r="G841" s="1" t="n">
        <f aca="false">IF(E841=E840,F841/F840-1,"")</f>
        <v>-0.0783999999999999</v>
      </c>
    </row>
    <row r="842" customFormat="false" ht="14.25" hidden="false" customHeight="true" outlineLevel="0" collapsed="false">
      <c r="A842" s="26" t="n">
        <v>42370</v>
      </c>
      <c r="B842" s="1" t="n">
        <v>2016</v>
      </c>
      <c r="C842" s="1" t="n">
        <v>1</v>
      </c>
      <c r="D842" s="1" t="s">
        <v>42</v>
      </c>
      <c r="E842" s="1" t="s">
        <v>13</v>
      </c>
      <c r="F842" s="1" t="n">
        <v>46.92</v>
      </c>
      <c r="G842" s="1" t="n">
        <f aca="false">IF(E842=E841,F842/F841-1,"")</f>
        <v>-0.0949074074074074</v>
      </c>
    </row>
    <row r="843" customFormat="false" ht="14.25" hidden="false" customHeight="true" outlineLevel="0" collapsed="false">
      <c r="A843" s="26" t="n">
        <v>42401</v>
      </c>
      <c r="B843" s="1" t="n">
        <v>2016</v>
      </c>
      <c r="C843" s="1" t="n">
        <v>2</v>
      </c>
      <c r="D843" s="1" t="s">
        <v>43</v>
      </c>
      <c r="E843" s="1" t="s">
        <v>13</v>
      </c>
      <c r="F843" s="1" t="n">
        <v>45.6</v>
      </c>
      <c r="G843" s="1" t="n">
        <f aca="false">IF(E843=E842,F843/F842-1,"")</f>
        <v>-0.0281329923273658</v>
      </c>
    </row>
    <row r="844" customFormat="false" ht="14.25" hidden="false" customHeight="true" outlineLevel="0" collapsed="false">
      <c r="A844" s="26" t="n">
        <v>42430</v>
      </c>
      <c r="B844" s="1" t="n">
        <v>2016</v>
      </c>
      <c r="C844" s="1" t="n">
        <v>3</v>
      </c>
      <c r="D844" s="1" t="s">
        <v>44</v>
      </c>
      <c r="E844" s="1" t="s">
        <v>13</v>
      </c>
      <c r="F844" s="1" t="n">
        <v>51.22</v>
      </c>
      <c r="G844" s="1" t="n">
        <f aca="false">IF(E844=E843,F844/F843-1,"")</f>
        <v>0.123245614035088</v>
      </c>
    </row>
    <row r="845" customFormat="false" ht="14.25" hidden="false" customHeight="true" outlineLevel="0" collapsed="false">
      <c r="A845" s="26" t="n">
        <v>42461</v>
      </c>
      <c r="B845" s="1" t="n">
        <v>2016</v>
      </c>
      <c r="C845" s="1" t="n">
        <v>4</v>
      </c>
      <c r="D845" s="1" t="s">
        <v>45</v>
      </c>
      <c r="E845" s="1" t="s">
        <v>13</v>
      </c>
      <c r="F845" s="1" t="n">
        <v>63.46</v>
      </c>
      <c r="G845" s="1" t="n">
        <f aca="false">IF(E845=E844,F845/F844-1,"")</f>
        <v>0.238969152674736</v>
      </c>
    </row>
    <row r="846" customFormat="false" ht="14.25" hidden="false" customHeight="true" outlineLevel="0" collapsed="false">
      <c r="A846" s="26" t="n">
        <v>42491</v>
      </c>
      <c r="B846" s="1" t="n">
        <v>2016</v>
      </c>
      <c r="C846" s="1" t="n">
        <v>5</v>
      </c>
      <c r="D846" s="1" t="s">
        <v>46</v>
      </c>
      <c r="E846" s="1" t="s">
        <v>13</v>
      </c>
      <c r="F846" s="1" t="n">
        <v>67.49</v>
      </c>
      <c r="G846" s="1" t="n">
        <f aca="false">IF(E846=E845,F846/F845-1,"")</f>
        <v>0.0635045698077528</v>
      </c>
    </row>
    <row r="847" customFormat="false" ht="14.25" hidden="false" customHeight="true" outlineLevel="0" collapsed="false">
      <c r="A847" s="26" t="n">
        <v>42522</v>
      </c>
      <c r="B847" s="1" t="n">
        <v>2016</v>
      </c>
      <c r="C847" s="1" t="n">
        <v>6</v>
      </c>
      <c r="D847" s="1" t="s">
        <v>47</v>
      </c>
      <c r="E847" s="1" t="s">
        <v>13</v>
      </c>
      <c r="F847" s="1" t="n">
        <v>66.13</v>
      </c>
      <c r="G847" s="1" t="n">
        <f aca="false">IF(E847=E846,F847/F846-1,"")</f>
        <v>-0.0201511335012594</v>
      </c>
    </row>
    <row r="848" customFormat="false" ht="14.25" hidden="false" customHeight="true" outlineLevel="0" collapsed="false">
      <c r="A848" s="26" t="n">
        <v>42552</v>
      </c>
      <c r="B848" s="1" t="n">
        <v>2016</v>
      </c>
      <c r="C848" s="1" t="n">
        <v>7</v>
      </c>
      <c r="D848" s="1" t="s">
        <v>48</v>
      </c>
      <c r="E848" s="1" t="s">
        <v>13</v>
      </c>
      <c r="F848" s="1" t="n">
        <v>57.01</v>
      </c>
      <c r="G848" s="1" t="n">
        <f aca="false">IF(E848=E847,F848/F847-1,"")</f>
        <v>-0.13791017692424</v>
      </c>
    </row>
    <row r="849" customFormat="false" ht="14.25" hidden="false" customHeight="true" outlineLevel="0" collapsed="false">
      <c r="A849" s="26" t="n">
        <v>42583</v>
      </c>
      <c r="B849" s="1" t="n">
        <v>2016</v>
      </c>
      <c r="C849" s="1" t="n">
        <v>8</v>
      </c>
      <c r="D849" s="1" t="s">
        <v>49</v>
      </c>
      <c r="E849" s="1" t="s">
        <v>13</v>
      </c>
      <c r="F849" s="1" t="n">
        <v>61.26</v>
      </c>
      <c r="G849" s="1" t="n">
        <f aca="false">IF(E849=E848,F849/F848-1,"")</f>
        <v>0.0745483248552885</v>
      </c>
    </row>
    <row r="850" customFormat="false" ht="14.25" hidden="false" customHeight="true" outlineLevel="0" collapsed="false">
      <c r="A850" s="26" t="n">
        <v>42614</v>
      </c>
      <c r="B850" s="1" t="n">
        <v>2016</v>
      </c>
      <c r="C850" s="1" t="n">
        <v>9</v>
      </c>
      <c r="D850" s="1" t="s">
        <v>50</v>
      </c>
      <c r="E850" s="1" t="s">
        <v>13</v>
      </c>
      <c r="F850" s="1" t="n">
        <v>65.27</v>
      </c>
      <c r="G850" s="1" t="n">
        <f aca="false">IF(E850=E849,F850/F849-1,"")</f>
        <v>0.0654587006203069</v>
      </c>
    </row>
    <row r="851" customFormat="false" ht="14.25" hidden="false" customHeight="true" outlineLevel="0" collapsed="false">
      <c r="A851" s="26" t="n">
        <v>42644</v>
      </c>
      <c r="B851" s="1" t="n">
        <v>2016</v>
      </c>
      <c r="C851" s="1" t="n">
        <v>10</v>
      </c>
      <c r="D851" s="1" t="s">
        <v>51</v>
      </c>
      <c r="E851" s="1" t="s">
        <v>13</v>
      </c>
      <c r="F851" s="1" t="n">
        <v>63.97</v>
      </c>
      <c r="G851" s="1" t="n">
        <f aca="false">IF(E851=E850,F851/F850-1,"")</f>
        <v>-0.0199172667381645</v>
      </c>
    </row>
    <row r="852" customFormat="false" ht="14.25" hidden="false" customHeight="true" outlineLevel="0" collapsed="false">
      <c r="A852" s="26" t="n">
        <v>42675</v>
      </c>
      <c r="B852" s="1" t="n">
        <v>2016</v>
      </c>
      <c r="C852" s="1" t="n">
        <v>11</v>
      </c>
      <c r="D852" s="1" t="s">
        <v>52</v>
      </c>
      <c r="E852" s="1" t="s">
        <v>13</v>
      </c>
      <c r="F852" s="1" t="n">
        <v>67.6</v>
      </c>
      <c r="G852" s="1" t="n">
        <f aca="false">IF(E852=E851,F852/F851-1,"")</f>
        <v>0.056745349382523</v>
      </c>
    </row>
    <row r="853" customFormat="false" ht="14.25" hidden="false" customHeight="true" outlineLevel="0" collapsed="false">
      <c r="A853" s="26" t="n">
        <v>42705</v>
      </c>
      <c r="B853" s="1" t="n">
        <v>2016</v>
      </c>
      <c r="C853" s="1" t="n">
        <v>12</v>
      </c>
      <c r="D853" s="1" t="s">
        <v>53</v>
      </c>
      <c r="E853" s="1" t="s">
        <v>13</v>
      </c>
      <c r="F853" s="1" t="n">
        <v>73.52</v>
      </c>
      <c r="G853" s="1" t="n">
        <f aca="false">IF(E853=E852,F853/F852-1,"")</f>
        <v>0.0875739644970415</v>
      </c>
    </row>
    <row r="854" customFormat="false" ht="14.25" hidden="false" customHeight="true" outlineLevel="0" collapsed="false">
      <c r="A854" s="26" t="n">
        <v>42736</v>
      </c>
      <c r="B854" s="1" t="n">
        <v>2017</v>
      </c>
      <c r="C854" s="1" t="n">
        <v>1</v>
      </c>
      <c r="D854" s="1" t="s">
        <v>42</v>
      </c>
      <c r="E854" s="1" t="s">
        <v>13</v>
      </c>
      <c r="F854" s="1" t="n">
        <v>71.73</v>
      </c>
      <c r="G854" s="1" t="n">
        <f aca="false">IF(E854=E853,F854/F853-1,"")</f>
        <v>-0.024347116430903</v>
      </c>
    </row>
    <row r="855" customFormat="false" ht="14.25" hidden="false" customHeight="true" outlineLevel="0" collapsed="false">
      <c r="A855" s="26" t="n">
        <v>42767</v>
      </c>
      <c r="B855" s="1" t="n">
        <v>2017</v>
      </c>
      <c r="C855" s="1" t="n">
        <v>2</v>
      </c>
      <c r="D855" s="1" t="s">
        <v>43</v>
      </c>
      <c r="E855" s="1" t="s">
        <v>13</v>
      </c>
      <c r="F855" s="1" t="n">
        <v>73.2</v>
      </c>
      <c r="G855" s="1" t="n">
        <f aca="false">IF(E855=E854,F855/F854-1,"")</f>
        <v>0.0204935173567544</v>
      </c>
    </row>
    <row r="856" customFormat="false" ht="14.25" hidden="false" customHeight="true" outlineLevel="0" collapsed="false">
      <c r="A856" s="26" t="n">
        <v>42795</v>
      </c>
      <c r="B856" s="1" t="n">
        <v>2017</v>
      </c>
      <c r="C856" s="1" t="n">
        <v>3</v>
      </c>
      <c r="D856" s="1" t="s">
        <v>44</v>
      </c>
      <c r="E856" s="1" t="s">
        <v>13</v>
      </c>
      <c r="F856" s="1" t="n">
        <v>68.45</v>
      </c>
      <c r="G856" s="1" t="n">
        <f aca="false">IF(E856=E855,F856/F855-1,"")</f>
        <v>-0.0648907103825137</v>
      </c>
    </row>
    <row r="857" customFormat="false" ht="14.25" hidden="false" customHeight="true" outlineLevel="0" collapsed="false">
      <c r="A857" s="26" t="n">
        <v>42826</v>
      </c>
      <c r="B857" s="1" t="n">
        <v>2017</v>
      </c>
      <c r="C857" s="1" t="n">
        <v>4</v>
      </c>
      <c r="D857" s="1" t="s">
        <v>45</v>
      </c>
      <c r="E857" s="1" t="s">
        <v>13</v>
      </c>
      <c r="F857" s="1" t="n">
        <v>66.59</v>
      </c>
      <c r="G857" s="1" t="n">
        <f aca="false">IF(E857=E856,F857/F856-1,"")</f>
        <v>-0.027173119065011</v>
      </c>
    </row>
    <row r="858" customFormat="false" ht="14.25" hidden="false" customHeight="true" outlineLevel="0" collapsed="false">
      <c r="A858" s="26" t="n">
        <v>42856</v>
      </c>
      <c r="B858" s="1" t="n">
        <v>2017</v>
      </c>
      <c r="C858" s="1" t="n">
        <v>5</v>
      </c>
      <c r="D858" s="1" t="s">
        <v>46</v>
      </c>
      <c r="E858" s="1" t="s">
        <v>13</v>
      </c>
      <c r="F858" s="1" t="n">
        <v>65.16</v>
      </c>
      <c r="G858" s="1" t="n">
        <f aca="false">IF(E858=E857,F858/F857-1,"")</f>
        <v>-0.0214746959002854</v>
      </c>
    </row>
    <row r="859" customFormat="false" ht="14.25" hidden="false" customHeight="true" outlineLevel="0" collapsed="false">
      <c r="A859" s="26" t="n">
        <v>42887</v>
      </c>
      <c r="B859" s="1" t="n">
        <v>2017</v>
      </c>
      <c r="C859" s="1" t="n">
        <v>6</v>
      </c>
      <c r="D859" s="1" t="s">
        <v>47</v>
      </c>
      <c r="E859" s="1" t="s">
        <v>13</v>
      </c>
      <c r="F859" s="1" t="n">
        <v>62.04</v>
      </c>
      <c r="G859" s="1" t="n">
        <f aca="false">IF(E859=E858,F859/F858-1,"")</f>
        <v>-0.0478821362799263</v>
      </c>
    </row>
    <row r="860" customFormat="false" ht="14.25" hidden="false" customHeight="true" outlineLevel="0" collapsed="false">
      <c r="A860" s="26" t="n">
        <v>42917</v>
      </c>
      <c r="B860" s="1" t="n">
        <v>2017</v>
      </c>
      <c r="C860" s="1" t="n">
        <v>7</v>
      </c>
      <c r="D860" s="1" t="s">
        <v>48</v>
      </c>
      <c r="E860" s="1" t="s">
        <v>13</v>
      </c>
      <c r="F860" s="1" t="n">
        <v>67.73</v>
      </c>
      <c r="G860" s="1" t="n">
        <f aca="false">IF(E860=E859,F860/F859-1,"")</f>
        <v>0.0917150225660866</v>
      </c>
    </row>
    <row r="861" customFormat="false" ht="14.25" hidden="false" customHeight="true" outlineLevel="0" collapsed="false">
      <c r="A861" s="26" t="n">
        <v>42948</v>
      </c>
      <c r="B861" s="1" t="n">
        <v>2017</v>
      </c>
      <c r="C861" s="1" t="n">
        <v>8</v>
      </c>
      <c r="D861" s="1" t="s">
        <v>49</v>
      </c>
      <c r="E861" s="1" t="s">
        <v>13</v>
      </c>
      <c r="F861" s="1" t="n">
        <v>63.56</v>
      </c>
      <c r="G861" s="1" t="n">
        <f aca="false">IF(E861=E860,F861/F860-1,"")</f>
        <v>-0.061567990550716</v>
      </c>
    </row>
    <row r="862" customFormat="false" ht="14.25" hidden="false" customHeight="true" outlineLevel="0" collapsed="false">
      <c r="A862" s="26" t="n">
        <v>42979</v>
      </c>
      <c r="B862" s="1" t="n">
        <v>2017</v>
      </c>
      <c r="C862" s="1" t="n">
        <v>9</v>
      </c>
      <c r="D862" s="1" t="s">
        <v>50</v>
      </c>
      <c r="E862" s="1" t="s">
        <v>13</v>
      </c>
      <c r="F862" s="1" t="n">
        <v>69.13</v>
      </c>
      <c r="G862" s="1" t="n">
        <f aca="false">IF(E862=E861,F862/F861-1,"")</f>
        <v>0.0876337319068596</v>
      </c>
    </row>
    <row r="863" customFormat="false" ht="14.25" hidden="false" customHeight="true" outlineLevel="0" collapsed="false">
      <c r="A863" s="26" t="n">
        <v>43009</v>
      </c>
      <c r="B863" s="1" t="n">
        <v>2017</v>
      </c>
      <c r="C863" s="1" t="n">
        <v>10</v>
      </c>
      <c r="D863" s="1" t="s">
        <v>51</v>
      </c>
      <c r="E863" s="1" t="s">
        <v>13</v>
      </c>
      <c r="F863" s="1" t="n">
        <v>72.77</v>
      </c>
      <c r="G863" s="1" t="n">
        <f aca="false">IF(E863=E862,F863/F862-1,"")</f>
        <v>0.0526544192101837</v>
      </c>
    </row>
    <row r="864" customFormat="false" ht="14.25" hidden="false" customHeight="true" outlineLevel="0" collapsed="false">
      <c r="A864" s="26" t="n">
        <v>43040</v>
      </c>
      <c r="B864" s="1" t="n">
        <v>2017</v>
      </c>
      <c r="C864" s="1" t="n">
        <v>11</v>
      </c>
      <c r="D864" s="1" t="s">
        <v>52</v>
      </c>
      <c r="E864" s="1" t="s">
        <v>13</v>
      </c>
      <c r="F864" s="1" t="n">
        <v>76.84</v>
      </c>
      <c r="G864" s="1" t="n">
        <f aca="false">IF(E864=E863,F864/F863-1,"")</f>
        <v>0.0559296413357153</v>
      </c>
    </row>
    <row r="865" customFormat="false" ht="14.25" hidden="false" customHeight="true" outlineLevel="0" collapsed="false">
      <c r="A865" s="26" t="n">
        <v>43070</v>
      </c>
      <c r="B865" s="1" t="n">
        <v>2017</v>
      </c>
      <c r="C865" s="1" t="n">
        <v>12</v>
      </c>
      <c r="D865" s="1" t="s">
        <v>53</v>
      </c>
      <c r="E865" s="1" t="s">
        <v>13</v>
      </c>
      <c r="F865" s="1" t="n">
        <v>80.98</v>
      </c>
      <c r="G865" s="1" t="n">
        <f aca="false">IF(E865=E864,F865/F864-1,"")</f>
        <v>0.0538781884435191</v>
      </c>
    </row>
    <row r="866" customFormat="false" ht="14.25" hidden="false" customHeight="true" outlineLevel="0" collapsed="false">
      <c r="A866" s="26" t="n">
        <v>43101</v>
      </c>
      <c r="B866" s="1" t="n">
        <v>2018</v>
      </c>
      <c r="C866" s="1" t="n">
        <v>1</v>
      </c>
      <c r="D866" s="1" t="s">
        <v>42</v>
      </c>
      <c r="E866" s="1" t="s">
        <v>13</v>
      </c>
      <c r="F866" s="1" t="n">
        <v>86.35</v>
      </c>
      <c r="G866" s="1" t="n">
        <f aca="false">IF(E866=E865,F866/F865-1,"")</f>
        <v>0.0663126697950109</v>
      </c>
    </row>
    <row r="867" customFormat="false" ht="14.25" hidden="false" customHeight="true" outlineLevel="0" collapsed="false">
      <c r="A867" s="26" t="n">
        <v>43132</v>
      </c>
      <c r="B867" s="1" t="n">
        <v>2018</v>
      </c>
      <c r="C867" s="1" t="n">
        <v>2</v>
      </c>
      <c r="D867" s="1" t="s">
        <v>43</v>
      </c>
      <c r="E867" s="1" t="s">
        <v>13</v>
      </c>
      <c r="F867" s="1" t="n">
        <v>81.47</v>
      </c>
      <c r="G867" s="1" t="n">
        <f aca="false">IF(E867=E866,F867/F866-1,"")</f>
        <v>-0.0565141864504921</v>
      </c>
    </row>
    <row r="868" customFormat="false" ht="14.25" hidden="false" customHeight="true" outlineLevel="0" collapsed="false">
      <c r="A868" s="26" t="n">
        <v>43160</v>
      </c>
      <c r="B868" s="1" t="n">
        <v>2018</v>
      </c>
      <c r="C868" s="1" t="n">
        <v>3</v>
      </c>
      <c r="D868" s="1" t="s">
        <v>44</v>
      </c>
      <c r="E868" s="1" t="s">
        <v>13</v>
      </c>
      <c r="F868" s="1" t="n">
        <v>85.84</v>
      </c>
      <c r="G868" s="1" t="n">
        <f aca="false">IF(E868=E867,F868/F867-1,"")</f>
        <v>0.0536393764575918</v>
      </c>
    </row>
    <row r="869" customFormat="false" ht="14.25" hidden="false" customHeight="true" outlineLevel="0" collapsed="false">
      <c r="A869" s="26" t="n">
        <v>43191</v>
      </c>
      <c r="B869" s="1" t="n">
        <v>2018</v>
      </c>
      <c r="C869" s="1" t="n">
        <v>4</v>
      </c>
      <c r="D869" s="1" t="s">
        <v>45</v>
      </c>
      <c r="E869" s="1" t="s">
        <v>13</v>
      </c>
      <c r="F869" s="1" t="n">
        <v>90.36</v>
      </c>
      <c r="G869" s="1" t="n">
        <f aca="false">IF(E869=E868,F869/F868-1,"")</f>
        <v>0.0526561043802423</v>
      </c>
    </row>
    <row r="870" customFormat="false" ht="14.25" hidden="false" customHeight="true" outlineLevel="0" collapsed="false">
      <c r="A870" s="26" t="n">
        <v>43221</v>
      </c>
      <c r="B870" s="1" t="n">
        <v>2018</v>
      </c>
      <c r="C870" s="1" t="n">
        <v>5</v>
      </c>
      <c r="D870" s="1" t="s">
        <v>46</v>
      </c>
      <c r="E870" s="1" t="s">
        <v>13</v>
      </c>
      <c r="F870" s="1" t="n">
        <v>87.91</v>
      </c>
      <c r="G870" s="1" t="n">
        <f aca="false">IF(E870=E869,F870/F869-1,"")</f>
        <v>-0.0271137671536078</v>
      </c>
    </row>
    <row r="871" customFormat="false" ht="14.25" hidden="false" customHeight="true" outlineLevel="0" collapsed="false">
      <c r="A871" s="26" t="n">
        <v>43252</v>
      </c>
      <c r="B871" s="1" t="n">
        <v>2018</v>
      </c>
      <c r="C871" s="1" t="n">
        <v>6</v>
      </c>
      <c r="D871" s="1" t="s">
        <v>47</v>
      </c>
      <c r="E871" s="1" t="s">
        <v>13</v>
      </c>
      <c r="F871" s="1" t="n">
        <v>97.14</v>
      </c>
      <c r="G871" s="1" t="n">
        <f aca="false">IF(E871=E870,F871/F870-1,"")</f>
        <v>0.104993743601411</v>
      </c>
    </row>
    <row r="872" customFormat="false" ht="14.25" hidden="false" customHeight="true" outlineLevel="0" collapsed="false">
      <c r="A872" s="26" t="n">
        <v>43282</v>
      </c>
      <c r="B872" s="1" t="n">
        <v>2018</v>
      </c>
      <c r="C872" s="1" t="n">
        <v>7</v>
      </c>
      <c r="D872" s="1" t="s">
        <v>48</v>
      </c>
      <c r="E872" s="1" t="s">
        <v>13</v>
      </c>
      <c r="F872" s="1" t="n">
        <v>91.57</v>
      </c>
      <c r="G872" s="1" t="n">
        <f aca="false">IF(E872=E871,F872/F871-1,"")</f>
        <v>-0.0573399217624049</v>
      </c>
    </row>
    <row r="873" customFormat="false" ht="14.25" hidden="false" customHeight="true" outlineLevel="0" collapsed="false">
      <c r="A873" s="26" t="n">
        <v>43313</v>
      </c>
      <c r="B873" s="1" t="n">
        <v>2018</v>
      </c>
      <c r="C873" s="1" t="n">
        <v>8</v>
      </c>
      <c r="D873" s="1" t="s">
        <v>49</v>
      </c>
      <c r="E873" s="1" t="s">
        <v>13</v>
      </c>
      <c r="F873" s="1" t="n">
        <v>91.46</v>
      </c>
      <c r="G873" s="1" t="n">
        <f aca="false">IF(E873=E872,F873/F872-1,"")</f>
        <v>-0.00120126679043353</v>
      </c>
    </row>
    <row r="874" customFormat="false" ht="14.25" hidden="false" customHeight="true" outlineLevel="0" collapsed="false">
      <c r="A874" s="26" t="n">
        <v>43344</v>
      </c>
      <c r="B874" s="1" t="n">
        <v>2018</v>
      </c>
      <c r="C874" s="1" t="n">
        <v>9</v>
      </c>
      <c r="D874" s="1" t="s">
        <v>50</v>
      </c>
      <c r="E874" s="1" t="s">
        <v>13</v>
      </c>
      <c r="F874" s="1" t="n">
        <v>95.7</v>
      </c>
      <c r="G874" s="1" t="n">
        <f aca="false">IF(E874=E873,F874/F873-1,"")</f>
        <v>0.0463590640717255</v>
      </c>
    </row>
    <row r="875" customFormat="false" ht="14.25" hidden="false" customHeight="true" outlineLevel="0" collapsed="false">
      <c r="A875" s="26" t="n">
        <v>43374</v>
      </c>
      <c r="B875" s="1" t="n">
        <v>2018</v>
      </c>
      <c r="C875" s="1" t="n">
        <v>10</v>
      </c>
      <c r="D875" s="1" t="s">
        <v>51</v>
      </c>
      <c r="E875" s="1" t="s">
        <v>13</v>
      </c>
      <c r="F875" s="1" t="n">
        <v>85.28</v>
      </c>
      <c r="G875" s="1" t="n">
        <f aca="false">IF(E875=E874,F875/F874-1,"")</f>
        <v>-0.108881922675026</v>
      </c>
    </row>
    <row r="876" customFormat="false" ht="14.25" hidden="false" customHeight="true" outlineLevel="0" collapsed="false">
      <c r="A876" s="26" t="n">
        <v>43405</v>
      </c>
      <c r="B876" s="1" t="n">
        <v>2018</v>
      </c>
      <c r="C876" s="1" t="n">
        <v>11</v>
      </c>
      <c r="D876" s="1" t="s">
        <v>52</v>
      </c>
      <c r="E876" s="1" t="s">
        <v>13</v>
      </c>
      <c r="F876" s="1" t="n">
        <v>66.53</v>
      </c>
      <c r="G876" s="1" t="n">
        <f aca="false">IF(E876=E875,F876/F875-1,"")</f>
        <v>-0.219863977485929</v>
      </c>
    </row>
    <row r="877" customFormat="false" ht="14.25" hidden="false" customHeight="true" outlineLevel="0" collapsed="false">
      <c r="A877" s="26" t="n">
        <v>43435</v>
      </c>
      <c r="B877" s="1" t="n">
        <v>2018</v>
      </c>
      <c r="C877" s="1" t="n">
        <v>12</v>
      </c>
      <c r="D877" s="1" t="s">
        <v>53</v>
      </c>
      <c r="E877" s="1" t="s">
        <v>13</v>
      </c>
      <c r="F877" s="1" t="n">
        <v>59.34</v>
      </c>
      <c r="G877" s="1" t="n">
        <f aca="false">IF(E877=E876,F877/F876-1,"")</f>
        <v>-0.108071546670675</v>
      </c>
    </row>
    <row r="878" customFormat="false" ht="14.25" hidden="false" customHeight="true" outlineLevel="0" collapsed="false">
      <c r="A878" s="26" t="n">
        <v>43466</v>
      </c>
      <c r="B878" s="1" t="n">
        <v>2019</v>
      </c>
      <c r="C878" s="1" t="n">
        <v>1</v>
      </c>
      <c r="D878" s="1" t="s">
        <v>42</v>
      </c>
      <c r="E878" s="1" t="s">
        <v>13</v>
      </c>
      <c r="F878" s="1" t="n">
        <v>70.63</v>
      </c>
      <c r="G878" s="1" t="n">
        <f aca="false">IF(E878=E877,F878/F877-1,"")</f>
        <v>0.190259521402089</v>
      </c>
    </row>
    <row r="879" customFormat="false" ht="14.25" hidden="false" customHeight="true" outlineLevel="0" collapsed="false">
      <c r="A879" s="26" t="n">
        <v>43497</v>
      </c>
      <c r="B879" s="1" t="n">
        <v>2019</v>
      </c>
      <c r="C879" s="1" t="n">
        <v>2</v>
      </c>
      <c r="D879" s="1" t="s">
        <v>43</v>
      </c>
      <c r="E879" s="1" t="s">
        <v>13</v>
      </c>
      <c r="F879" s="1" t="n">
        <v>74.74</v>
      </c>
      <c r="G879" s="1" t="n">
        <f aca="false">IF(E879=E878,F879/F878-1,"")</f>
        <v>0.058190570579074</v>
      </c>
    </row>
    <row r="880" customFormat="false" ht="14.25" hidden="false" customHeight="true" outlineLevel="0" collapsed="false">
      <c r="A880" s="26" t="n">
        <v>43525</v>
      </c>
      <c r="B880" s="1" t="n">
        <v>2019</v>
      </c>
      <c r="C880" s="1" t="n">
        <v>3</v>
      </c>
      <c r="D880" s="1" t="s">
        <v>44</v>
      </c>
      <c r="E880" s="1" t="s">
        <v>13</v>
      </c>
      <c r="F880" s="1" t="n">
        <v>78.19</v>
      </c>
      <c r="G880" s="1" t="n">
        <f aca="false">IF(E880=E879,F880/F879-1,"")</f>
        <v>0.0461600214075462</v>
      </c>
    </row>
    <row r="881" customFormat="false" ht="14.25" hidden="false" customHeight="true" outlineLevel="0" collapsed="false">
      <c r="A881" s="26" t="n">
        <v>43556</v>
      </c>
      <c r="B881" s="1" t="n">
        <v>2019</v>
      </c>
      <c r="C881" s="1" t="n">
        <v>4</v>
      </c>
      <c r="D881" s="1" t="s">
        <v>45</v>
      </c>
      <c r="E881" s="1" t="s">
        <v>13</v>
      </c>
      <c r="F881" s="1" t="n">
        <v>82.48</v>
      </c>
      <c r="G881" s="1" t="n">
        <f aca="false">IF(E881=E880,F881/F880-1,"")</f>
        <v>0.0548663511958052</v>
      </c>
    </row>
    <row r="882" customFormat="false" ht="14.25" hidden="false" customHeight="true" outlineLevel="0" collapsed="false">
      <c r="A882" s="26" t="n">
        <v>43586</v>
      </c>
      <c r="B882" s="1" t="n">
        <v>2019</v>
      </c>
      <c r="C882" s="1" t="n">
        <v>5</v>
      </c>
      <c r="D882" s="1" t="s">
        <v>46</v>
      </c>
      <c r="E882" s="1" t="s">
        <v>13</v>
      </c>
      <c r="F882" s="1" t="n">
        <v>68.97</v>
      </c>
      <c r="G882" s="1" t="n">
        <f aca="false">IF(E882=E881,F882/F881-1,"")</f>
        <v>-0.163797284190107</v>
      </c>
    </row>
    <row r="883" customFormat="false" ht="14.25" hidden="false" customHeight="true" outlineLevel="0" collapsed="false">
      <c r="A883" s="26" t="n">
        <v>43617</v>
      </c>
      <c r="B883" s="1" t="n">
        <v>2019</v>
      </c>
      <c r="C883" s="1" t="n">
        <v>6</v>
      </c>
      <c r="D883" s="1" t="s">
        <v>47</v>
      </c>
      <c r="E883" s="1" t="s">
        <v>13</v>
      </c>
      <c r="F883" s="1" t="n">
        <v>75.03</v>
      </c>
      <c r="G883" s="1" t="n">
        <f aca="false">IF(E883=E882,F883/F882-1,"")</f>
        <v>0.0878642888212267</v>
      </c>
    </row>
    <row r="884" customFormat="false" ht="14.25" hidden="false" customHeight="true" outlineLevel="0" collapsed="false">
      <c r="A884" s="26" t="n">
        <v>43647</v>
      </c>
      <c r="B884" s="1" t="n">
        <v>2019</v>
      </c>
      <c r="C884" s="1" t="n">
        <v>7</v>
      </c>
      <c r="D884" s="1" t="s">
        <v>48</v>
      </c>
      <c r="E884" s="1" t="s">
        <v>13</v>
      </c>
      <c r="F884" s="1" t="n">
        <v>75.33</v>
      </c>
      <c r="G884" s="1" t="n">
        <f aca="false">IF(E884=E883,F884/F883-1,"")</f>
        <v>0.00399840063974399</v>
      </c>
    </row>
    <row r="885" customFormat="false" ht="14.25" hidden="false" customHeight="true" outlineLevel="0" collapsed="false">
      <c r="A885" s="26" t="n">
        <v>43678</v>
      </c>
      <c r="B885" s="1" t="n">
        <v>2019</v>
      </c>
      <c r="C885" s="1" t="n">
        <v>8</v>
      </c>
      <c r="D885" s="1" t="s">
        <v>49</v>
      </c>
      <c r="E885" s="1" t="s">
        <v>13</v>
      </c>
      <c r="F885" s="1" t="n">
        <v>70.88</v>
      </c>
      <c r="G885" s="1" t="n">
        <f aca="false">IF(E885=E884,F885/F884-1,"")</f>
        <v>-0.0590734103278907</v>
      </c>
    </row>
    <row r="886" customFormat="false" ht="14.25" hidden="false" customHeight="true" outlineLevel="0" collapsed="false">
      <c r="A886" s="26" t="n">
        <v>43709</v>
      </c>
      <c r="B886" s="1" t="n">
        <v>2019</v>
      </c>
      <c r="C886" s="1" t="n">
        <v>9</v>
      </c>
      <c r="D886" s="1" t="s">
        <v>50</v>
      </c>
      <c r="E886" s="1" t="s">
        <v>13</v>
      </c>
      <c r="F886" s="1" t="n">
        <v>69.56</v>
      </c>
      <c r="G886" s="1" t="n">
        <f aca="false">IF(E886=E885,F886/F885-1,"")</f>
        <v>-0.0186230248306997</v>
      </c>
    </row>
    <row r="887" customFormat="false" ht="14.25" hidden="false" customHeight="true" outlineLevel="0" collapsed="false">
      <c r="A887" s="26" t="n">
        <v>43739</v>
      </c>
      <c r="B887" s="1" t="n">
        <v>2019</v>
      </c>
      <c r="C887" s="1" t="n">
        <v>10</v>
      </c>
      <c r="D887" s="1" t="s">
        <v>51</v>
      </c>
      <c r="E887" s="1" t="s">
        <v>13</v>
      </c>
      <c r="F887" s="1" t="n">
        <v>69.32</v>
      </c>
      <c r="G887" s="1" t="n">
        <f aca="false">IF(E887=E886,F887/F886-1,"")</f>
        <v>-0.00345025876940785</v>
      </c>
    </row>
    <row r="888" customFormat="false" ht="14.25" hidden="false" customHeight="true" outlineLevel="0" collapsed="false">
      <c r="A888" s="26" t="n">
        <v>43770</v>
      </c>
      <c r="B888" s="1" t="n">
        <v>2019</v>
      </c>
      <c r="C888" s="1" t="n">
        <v>11</v>
      </c>
      <c r="D888" s="1" t="s">
        <v>52</v>
      </c>
      <c r="E888" s="1" t="s">
        <v>13</v>
      </c>
      <c r="F888" s="1" t="n">
        <v>74.62</v>
      </c>
      <c r="G888" s="1" t="n">
        <f aca="false">IF(E888=E887,F888/F887-1,"")</f>
        <v>0.0764570109636471</v>
      </c>
    </row>
    <row r="889" customFormat="false" ht="14.25" hidden="false" customHeight="true" outlineLevel="0" collapsed="false">
      <c r="A889" s="26" t="n">
        <v>43800</v>
      </c>
      <c r="B889" s="1" t="n">
        <v>2019</v>
      </c>
      <c r="C889" s="1" t="n">
        <v>12</v>
      </c>
      <c r="D889" s="1" t="s">
        <v>53</v>
      </c>
      <c r="E889" s="1" t="s">
        <v>13</v>
      </c>
      <c r="F889" s="1" t="n">
        <v>78.57</v>
      </c>
      <c r="G889" s="1" t="n">
        <f aca="false">IF(E889=E888,F889/F888-1,"")</f>
        <v>0.0529348700080405</v>
      </c>
    </row>
    <row r="890" customFormat="false" ht="14.25" hidden="false" customHeight="true" outlineLevel="0" collapsed="false">
      <c r="A890" s="26" t="n">
        <v>43831</v>
      </c>
      <c r="B890" s="1" t="n">
        <v>2020</v>
      </c>
      <c r="C890" s="1" t="n">
        <v>1</v>
      </c>
      <c r="D890" s="1" t="s">
        <v>42</v>
      </c>
      <c r="E890" s="1" t="s">
        <v>13</v>
      </c>
      <c r="F890" s="1" t="n">
        <v>66.02</v>
      </c>
      <c r="G890" s="1" t="n">
        <f aca="false">IF(E890=E889,F890/F889-1,"")</f>
        <v>-0.159730176912308</v>
      </c>
    </row>
    <row r="891" customFormat="false" ht="14.25" hidden="false" customHeight="true" outlineLevel="0" collapsed="false">
      <c r="A891" s="26" t="n">
        <v>43862</v>
      </c>
      <c r="B891" s="1" t="n">
        <v>2020</v>
      </c>
      <c r="C891" s="1" t="n">
        <v>2</v>
      </c>
      <c r="D891" s="1" t="s">
        <v>43</v>
      </c>
      <c r="E891" s="1" t="s">
        <v>13</v>
      </c>
      <c r="F891" s="1" t="n">
        <v>57.23</v>
      </c>
      <c r="G891" s="1" t="n">
        <f aca="false">IF(E891=E890,F891/F890-1,"")</f>
        <v>-0.133141472281127</v>
      </c>
    </row>
    <row r="892" customFormat="false" ht="14.25" hidden="false" customHeight="true" outlineLevel="0" collapsed="false">
      <c r="A892" s="26" t="n">
        <v>43891</v>
      </c>
      <c r="B892" s="1" t="n">
        <v>2020</v>
      </c>
      <c r="C892" s="1" t="n">
        <v>3</v>
      </c>
      <c r="D892" s="1" t="s">
        <v>44</v>
      </c>
      <c r="E892" s="1" t="s">
        <v>13</v>
      </c>
      <c r="F892" s="1" t="n">
        <v>26.24</v>
      </c>
      <c r="G892" s="1" t="n">
        <f aca="false">IF(E892=E891,F892/F891-1,"")</f>
        <v>-0.541499213699109</v>
      </c>
    </row>
    <row r="893" customFormat="false" ht="14.25" hidden="false" customHeight="true" outlineLevel="0" collapsed="false">
      <c r="A893" s="26" t="n">
        <v>43922</v>
      </c>
      <c r="B893" s="1" t="n">
        <v>2020</v>
      </c>
      <c r="C893" s="1" t="n">
        <v>4</v>
      </c>
      <c r="D893" s="1" t="s">
        <v>45</v>
      </c>
      <c r="E893" s="1" t="s">
        <v>13</v>
      </c>
      <c r="F893" s="1" t="n">
        <v>24.77</v>
      </c>
      <c r="G893" s="1" t="n">
        <f aca="false">IF(E893=E892,F893/F892-1,"")</f>
        <v>-0.0560213414634146</v>
      </c>
    </row>
    <row r="894" customFormat="false" ht="14.25" hidden="false" customHeight="true" outlineLevel="0" collapsed="false">
      <c r="A894" s="26" t="n">
        <v>43952</v>
      </c>
      <c r="B894" s="1" t="n">
        <v>2020</v>
      </c>
      <c r="C894" s="1" t="n">
        <v>5</v>
      </c>
      <c r="D894" s="1" t="s">
        <v>46</v>
      </c>
      <c r="E894" s="1" t="s">
        <v>13</v>
      </c>
      <c r="F894" s="1" t="n">
        <v>45.81</v>
      </c>
      <c r="G894" s="1" t="n">
        <f aca="false">IF(E894=E893,F894/F893-1,"")</f>
        <v>0.849414614452968</v>
      </c>
    </row>
    <row r="895" customFormat="false" ht="14.25" hidden="false" customHeight="true" outlineLevel="0" collapsed="false">
      <c r="A895" s="26" t="n">
        <v>43983</v>
      </c>
      <c r="B895" s="1" t="n">
        <v>2020</v>
      </c>
      <c r="C895" s="1" t="n">
        <v>6</v>
      </c>
      <c r="D895" s="1" t="s">
        <v>47</v>
      </c>
      <c r="E895" s="1" t="s">
        <v>13</v>
      </c>
      <c r="F895" s="1" t="n">
        <v>50.3</v>
      </c>
      <c r="G895" s="1" t="n">
        <f aca="false">IF(E895=E894,F895/F894-1,"")</f>
        <v>0.0980135341628465</v>
      </c>
    </row>
    <row r="896" customFormat="false" ht="14.25" hidden="false" customHeight="true" outlineLevel="0" collapsed="false">
      <c r="A896" s="26" t="n">
        <v>44013</v>
      </c>
      <c r="B896" s="1" t="n">
        <v>2020</v>
      </c>
      <c r="C896" s="1" t="n">
        <v>7</v>
      </c>
      <c r="D896" s="1" t="s">
        <v>48</v>
      </c>
      <c r="E896" s="1" t="s">
        <v>13</v>
      </c>
      <c r="F896" s="1" t="n">
        <v>51.11</v>
      </c>
      <c r="G896" s="1" t="n">
        <f aca="false">IF(E896=E895,F896/F895-1,"")</f>
        <v>0.0161033797216701</v>
      </c>
    </row>
    <row r="897" customFormat="false" ht="14.25" hidden="false" customHeight="true" outlineLevel="0" collapsed="false">
      <c r="A897" s="26" t="n">
        <v>44044</v>
      </c>
      <c r="B897" s="1" t="n">
        <v>2020</v>
      </c>
      <c r="C897" s="1" t="n">
        <v>8</v>
      </c>
      <c r="D897" s="1" t="s">
        <v>49</v>
      </c>
      <c r="E897" s="1" t="s">
        <v>13</v>
      </c>
      <c r="F897" s="1" t="n">
        <v>54.13</v>
      </c>
      <c r="G897" s="1" t="n">
        <f aca="false">IF(E897=E896,F897/F896-1,"")</f>
        <v>0.0590882410487186</v>
      </c>
    </row>
    <row r="898" customFormat="false" ht="14.25" hidden="false" customHeight="true" outlineLevel="0" collapsed="false">
      <c r="A898" s="26" t="n">
        <v>44075</v>
      </c>
      <c r="B898" s="1" t="n">
        <v>2020</v>
      </c>
      <c r="C898" s="1" t="n">
        <v>9</v>
      </c>
      <c r="D898" s="1" t="s">
        <v>50</v>
      </c>
      <c r="E898" s="1" t="s">
        <v>13</v>
      </c>
      <c r="F898" s="1" t="n">
        <v>50.81</v>
      </c>
      <c r="G898" s="1" t="n">
        <f aca="false">IF(E898=E897,F898/F897-1,"")</f>
        <v>-0.0613338259745059</v>
      </c>
    </row>
    <row r="899" customFormat="false" ht="14.25" hidden="false" customHeight="true" outlineLevel="0" collapsed="false">
      <c r="A899" s="26" t="n">
        <v>44105</v>
      </c>
      <c r="B899" s="1" t="n">
        <v>2020</v>
      </c>
      <c r="C899" s="1" t="n">
        <v>10</v>
      </c>
      <c r="D899" s="1" t="s">
        <v>51</v>
      </c>
      <c r="E899" s="1" t="s">
        <v>13</v>
      </c>
      <c r="F899" s="1" t="n">
        <v>45.2</v>
      </c>
      <c r="G899" s="1" t="n">
        <f aca="false">IF(E899=E898,F899/F898-1,"")</f>
        <v>-0.110411336351112</v>
      </c>
    </row>
    <row r="900" customFormat="false" ht="14.25" hidden="false" customHeight="true" outlineLevel="0" collapsed="false">
      <c r="A900" s="26" t="n">
        <v>44136</v>
      </c>
      <c r="B900" s="1" t="n">
        <v>2020</v>
      </c>
      <c r="C900" s="1" t="n">
        <v>11</v>
      </c>
      <c r="D900" s="1" t="s">
        <v>52</v>
      </c>
      <c r="E900" s="1" t="s">
        <v>13</v>
      </c>
      <c r="F900" s="1" t="n">
        <v>57.36</v>
      </c>
      <c r="G900" s="1" t="n">
        <f aca="false">IF(E900=E899,F900/F899-1,"")</f>
        <v>0.269026548672566</v>
      </c>
    </row>
    <row r="901" customFormat="false" ht="14.25" hidden="false" customHeight="true" outlineLevel="0" collapsed="false">
      <c r="A901" s="26" t="n">
        <v>44166</v>
      </c>
      <c r="B901" s="1" t="n">
        <v>2020</v>
      </c>
      <c r="C901" s="1" t="n">
        <v>12</v>
      </c>
      <c r="D901" s="1" t="s">
        <v>53</v>
      </c>
      <c r="E901" s="1" t="s">
        <v>13</v>
      </c>
      <c r="F901" s="1" t="n">
        <v>61.3</v>
      </c>
      <c r="G901" s="1" t="n">
        <f aca="false">IF(E901=E900,F901/F900-1,"")</f>
        <v>0.0686889818688981</v>
      </c>
    </row>
    <row r="902" customFormat="false" ht="14.25" hidden="false" customHeight="true" outlineLevel="0" collapsed="false">
      <c r="A902" s="26" t="n">
        <v>44197</v>
      </c>
      <c r="B902" s="1" t="n">
        <v>2021</v>
      </c>
      <c r="C902" s="1" t="n">
        <v>1</v>
      </c>
      <c r="D902" s="1" t="s">
        <v>42</v>
      </c>
      <c r="E902" s="1" t="s">
        <v>13</v>
      </c>
      <c r="F902" s="1" t="n">
        <v>65.85</v>
      </c>
      <c r="G902" s="1" t="n">
        <f aca="false">IF(E902=E901,F902/F901-1,"")</f>
        <v>0.0742251223491028</v>
      </c>
    </row>
    <row r="903" customFormat="false" ht="14.25" hidden="false" customHeight="true" outlineLevel="0" collapsed="false">
      <c r="A903" s="26" t="n">
        <v>44228</v>
      </c>
      <c r="B903" s="1" t="n">
        <v>2021</v>
      </c>
      <c r="C903" s="1" t="n">
        <v>2</v>
      </c>
      <c r="D903" s="1" t="s">
        <v>43</v>
      </c>
      <c r="E903" s="1" t="s">
        <v>13</v>
      </c>
      <c r="F903" s="1" t="n">
        <v>77.28</v>
      </c>
      <c r="G903" s="1" t="n">
        <f aca="false">IF(E903=E902,F903/F902-1,"")</f>
        <v>0.173576309794989</v>
      </c>
    </row>
    <row r="904" customFormat="false" ht="14.25" hidden="false" customHeight="true" outlineLevel="0" collapsed="false">
      <c r="A904" s="26" t="n">
        <v>44256</v>
      </c>
      <c r="B904" s="1" t="n">
        <v>2021</v>
      </c>
      <c r="C904" s="1" t="n">
        <v>3</v>
      </c>
      <c r="D904" s="1" t="s">
        <v>44</v>
      </c>
      <c r="E904" s="1" t="s">
        <v>13</v>
      </c>
      <c r="F904" s="1" t="n">
        <v>73.79</v>
      </c>
      <c r="G904" s="1" t="n">
        <f aca="false">IF(E904=E903,F904/F903-1,"")</f>
        <v>-0.0451604554865424</v>
      </c>
    </row>
    <row r="905" customFormat="false" ht="14.25" hidden="false" customHeight="true" outlineLevel="0" collapsed="false">
      <c r="A905" s="26" t="n">
        <v>44287</v>
      </c>
      <c r="B905" s="1" t="n">
        <v>2021</v>
      </c>
      <c r="C905" s="1" t="n">
        <v>4</v>
      </c>
      <c r="D905" s="1" t="s">
        <v>45</v>
      </c>
      <c r="E905" s="1" t="s">
        <v>13</v>
      </c>
      <c r="F905" s="1" t="n">
        <v>78.52</v>
      </c>
      <c r="G905" s="1" t="n">
        <f aca="false">IF(E905=E904,F905/F904-1,"")</f>
        <v>0.0641008266702803</v>
      </c>
    </row>
    <row r="906" customFormat="false" ht="14.25" hidden="false" customHeight="true" outlineLevel="0" collapsed="false">
      <c r="A906" s="26" t="n">
        <v>44317</v>
      </c>
      <c r="B906" s="1" t="n">
        <v>2021</v>
      </c>
      <c r="C906" s="1" t="n">
        <v>5</v>
      </c>
      <c r="D906" s="1" t="s">
        <v>46</v>
      </c>
      <c r="E906" s="1" t="s">
        <v>13</v>
      </c>
      <c r="F906" s="1" t="n">
        <v>81.34</v>
      </c>
      <c r="G906" s="1" t="n">
        <f aca="false">IF(E906=E905,F906/F905-1,"")</f>
        <v>0.0359144167091188</v>
      </c>
    </row>
    <row r="907" customFormat="false" ht="14.25" hidden="false" customHeight="true" outlineLevel="0" collapsed="false">
      <c r="A907" s="26" t="n">
        <v>44348</v>
      </c>
      <c r="B907" s="1" t="n">
        <v>2021</v>
      </c>
      <c r="C907" s="1" t="n">
        <v>6</v>
      </c>
      <c r="D907" s="1" t="s">
        <v>47</v>
      </c>
      <c r="E907" s="1" t="s">
        <v>13</v>
      </c>
      <c r="F907" s="1" t="n">
        <v>89.35</v>
      </c>
      <c r="G907" s="1" t="n">
        <f aca="false">IF(E907=E906,F907/F906-1,"")</f>
        <v>0.0984755347922299</v>
      </c>
    </row>
    <row r="908" customFormat="false" ht="14.25" hidden="false" customHeight="true" outlineLevel="0" collapsed="false">
      <c r="A908" s="26" t="n">
        <v>44378</v>
      </c>
      <c r="B908" s="1" t="n">
        <v>2021</v>
      </c>
      <c r="C908" s="1" t="n">
        <v>7</v>
      </c>
      <c r="D908" s="1" t="s">
        <v>48</v>
      </c>
      <c r="E908" s="1" t="s">
        <v>13</v>
      </c>
      <c r="F908" s="1" t="n">
        <v>89.42</v>
      </c>
      <c r="G908" s="1" t="n">
        <f aca="false">IF(E908=E907,F908/F907-1,"")</f>
        <v>0.000783435926133169</v>
      </c>
    </row>
    <row r="909" customFormat="false" ht="14.25" hidden="false" customHeight="true" outlineLevel="0" collapsed="false">
      <c r="A909" s="26" t="n">
        <v>44409</v>
      </c>
      <c r="B909" s="1" t="n">
        <v>2021</v>
      </c>
      <c r="C909" s="1" t="n">
        <v>8</v>
      </c>
      <c r="D909" s="1" t="s">
        <v>49</v>
      </c>
      <c r="E909" s="1" t="s">
        <v>13</v>
      </c>
      <c r="F909" s="1" t="n">
        <v>82.6</v>
      </c>
      <c r="G909" s="1" t="n">
        <f aca="false">IF(E909=E908,F909/F908-1,"")</f>
        <v>-0.0762692909863566</v>
      </c>
    </row>
    <row r="910" customFormat="false" ht="14.25" hidden="false" customHeight="true" outlineLevel="0" collapsed="false">
      <c r="A910" s="26" t="n">
        <v>44440</v>
      </c>
      <c r="B910" s="1" t="n">
        <v>2021</v>
      </c>
      <c r="C910" s="1" t="n">
        <v>9</v>
      </c>
      <c r="D910" s="1" t="s">
        <v>50</v>
      </c>
      <c r="E910" s="1" t="s">
        <v>13</v>
      </c>
      <c r="F910" s="1" t="n">
        <v>90.55</v>
      </c>
      <c r="G910" s="1" t="n">
        <f aca="false">IF(E910=E909,F910/F909-1,"")</f>
        <v>0.0962469733656175</v>
      </c>
    </row>
    <row r="911" customFormat="false" ht="14.25" hidden="false" customHeight="true" outlineLevel="0" collapsed="false">
      <c r="A911" s="26" t="n">
        <v>44470</v>
      </c>
      <c r="B911" s="1" t="n">
        <v>2021</v>
      </c>
      <c r="C911" s="1" t="n">
        <v>10</v>
      </c>
      <c r="D911" s="1" t="s">
        <v>51</v>
      </c>
      <c r="E911" s="1" t="s">
        <v>13</v>
      </c>
      <c r="F911" s="1" t="n">
        <v>99.69</v>
      </c>
      <c r="G911" s="1" t="n">
        <f aca="false">IF(E911=E910,F911/F910-1,"")</f>
        <v>0.10093870789619</v>
      </c>
    </row>
    <row r="912" customFormat="false" ht="14.25" hidden="false" customHeight="true" outlineLevel="0" collapsed="false">
      <c r="A912" s="26" t="n">
        <v>44501</v>
      </c>
      <c r="B912" s="1" t="n">
        <v>2021</v>
      </c>
      <c r="C912" s="1" t="n">
        <v>11</v>
      </c>
      <c r="D912" s="1" t="s">
        <v>52</v>
      </c>
      <c r="E912" s="1" t="s">
        <v>13</v>
      </c>
      <c r="F912" s="1" t="n">
        <v>78.58</v>
      </c>
      <c r="G912" s="1" t="n">
        <f aca="false">IF(E912=E911,F912/F911-1,"")</f>
        <v>-0.211756444979436</v>
      </c>
    </row>
    <row r="913" customFormat="false" ht="14.25" hidden="false" customHeight="true" outlineLevel="0" collapsed="false">
      <c r="A913" s="26" t="n">
        <v>44531</v>
      </c>
      <c r="B913" s="1" t="n">
        <v>2021</v>
      </c>
      <c r="C913" s="1" t="n">
        <v>12</v>
      </c>
      <c r="D913" s="1" t="s">
        <v>53</v>
      </c>
      <c r="E913" s="1" t="s">
        <v>13</v>
      </c>
      <c r="F913" s="1" t="n">
        <v>89.22</v>
      </c>
      <c r="G913" s="1" t="n">
        <f aca="false">IF(E913=E912,F913/F912-1,"")</f>
        <v>0.135403410537032</v>
      </c>
    </row>
    <row r="914" customFormat="false" ht="14.25" hidden="false" customHeight="true" outlineLevel="0" collapsed="false">
      <c r="A914" s="26" t="n">
        <v>44562</v>
      </c>
      <c r="B914" s="1" t="n">
        <v>2022</v>
      </c>
      <c r="C914" s="1" t="n">
        <v>1</v>
      </c>
      <c r="D914" s="1" t="s">
        <v>42</v>
      </c>
      <c r="E914" s="1" t="s">
        <v>13</v>
      </c>
      <c r="F914" s="1" t="n">
        <v>104.72</v>
      </c>
      <c r="G914" s="1" t="n">
        <f aca="false">IF(E914=E913,F914/F913-1,"")</f>
        <v>0.173727863707689</v>
      </c>
    </row>
    <row r="915" customFormat="false" ht="14.25" hidden="false" customHeight="true" outlineLevel="0" collapsed="false">
      <c r="A915" s="26" t="n">
        <v>44593</v>
      </c>
      <c r="B915" s="1" t="n">
        <v>2022</v>
      </c>
      <c r="C915" s="1" t="n">
        <v>2</v>
      </c>
      <c r="D915" s="1" t="s">
        <v>43</v>
      </c>
      <c r="E915" s="1" t="s">
        <v>13</v>
      </c>
      <c r="F915" s="1" t="n">
        <v>111.88</v>
      </c>
      <c r="G915" s="1" t="n">
        <f aca="false">IF(E915=E914,F915/F914-1,"")</f>
        <v>0.0683728036669213</v>
      </c>
    </row>
    <row r="916" customFormat="false" ht="14.25" hidden="false" customHeight="true" outlineLevel="0" collapsed="false">
      <c r="A916" s="26" t="n">
        <v>44621</v>
      </c>
      <c r="B916" s="1" t="n">
        <v>2022</v>
      </c>
      <c r="C916" s="1" t="n">
        <v>3</v>
      </c>
      <c r="D916" s="1" t="s">
        <v>44</v>
      </c>
      <c r="E916" s="1" t="s">
        <v>13</v>
      </c>
      <c r="F916" s="1" t="n">
        <v>115.46</v>
      </c>
      <c r="G916" s="1" t="n">
        <f aca="false">IF(E916=E915,F916/F915-1,"")</f>
        <v>0.0319985698963174</v>
      </c>
    </row>
    <row r="917" customFormat="false" ht="14.25" hidden="false" customHeight="true" outlineLevel="0" collapsed="false">
      <c r="A917" s="26" t="n">
        <v>44652</v>
      </c>
      <c r="B917" s="1" t="n">
        <v>2022</v>
      </c>
      <c r="C917" s="1" t="n">
        <v>4</v>
      </c>
      <c r="D917" s="1" t="s">
        <v>45</v>
      </c>
      <c r="E917" s="1" t="s">
        <v>13</v>
      </c>
      <c r="F917" s="1" t="n">
        <v>119.46</v>
      </c>
      <c r="G917" s="1" t="n">
        <f aca="false">IF(E917=E916,F917/F916-1,"")</f>
        <v>0.0346440325653905</v>
      </c>
    </row>
    <row r="918" customFormat="false" ht="14.25" hidden="false" customHeight="true" outlineLevel="0" collapsed="false">
      <c r="A918" s="26" t="n">
        <v>44682</v>
      </c>
      <c r="B918" s="1" t="n">
        <v>2022</v>
      </c>
      <c r="C918" s="1" t="n">
        <v>5</v>
      </c>
      <c r="D918" s="1" t="s">
        <v>46</v>
      </c>
      <c r="E918" s="1" t="s">
        <v>13</v>
      </c>
      <c r="F918" s="1" t="n">
        <v>129.22</v>
      </c>
      <c r="G918" s="1" t="n">
        <f aca="false">IF(E918=E917,F918/F917-1,"")</f>
        <v>0.0817009877783359</v>
      </c>
    </row>
    <row r="919" customFormat="false" ht="14.25" hidden="false" customHeight="true" outlineLevel="0" collapsed="false">
      <c r="A919" s="26" t="n">
        <v>44713</v>
      </c>
      <c r="B919" s="1" t="n">
        <v>2022</v>
      </c>
      <c r="C919" s="1" t="n">
        <v>6</v>
      </c>
      <c r="D919" s="1" t="s">
        <v>47</v>
      </c>
      <c r="E919" s="1" t="s">
        <v>13</v>
      </c>
      <c r="F919" s="1" t="n">
        <v>120.09</v>
      </c>
      <c r="G919" s="1" t="n">
        <f aca="false">IF(E919=E918,F919/F918-1,"")</f>
        <v>-0.0706546974152608</v>
      </c>
    </row>
    <row r="920" customFormat="false" ht="14.25" hidden="false" customHeight="true" outlineLevel="0" collapsed="false">
      <c r="A920" s="26" t="n">
        <v>44743</v>
      </c>
      <c r="B920" s="1" t="n">
        <v>2022</v>
      </c>
      <c r="C920" s="1" t="n">
        <v>7</v>
      </c>
      <c r="D920" s="1" t="s">
        <v>48</v>
      </c>
      <c r="E920" s="1" t="s">
        <v>13</v>
      </c>
      <c r="F920" s="1" t="n">
        <v>112.91</v>
      </c>
      <c r="G920" s="1" t="n">
        <f aca="false">IF(E920=E919,F920/F919-1,"")</f>
        <v>-0.0597884919643601</v>
      </c>
    </row>
    <row r="921" customFormat="false" ht="14.25" hidden="false" customHeight="true" outlineLevel="0" collapsed="false">
      <c r="A921" s="26" t="n">
        <v>44774</v>
      </c>
      <c r="B921" s="1" t="n">
        <v>2022</v>
      </c>
      <c r="C921" s="1" t="n">
        <v>8</v>
      </c>
      <c r="D921" s="1" t="s">
        <v>49</v>
      </c>
      <c r="E921" s="1" t="s">
        <v>13</v>
      </c>
      <c r="F921" s="1" t="n">
        <v>100.44</v>
      </c>
      <c r="G921" s="1" t="n">
        <f aca="false">IF(E921=E920,F921/F920-1,"")</f>
        <v>-0.110441944911877</v>
      </c>
    </row>
    <row r="922" customFormat="false" ht="14.25" hidden="false" customHeight="true" outlineLevel="0" collapsed="false">
      <c r="A922" s="26" t="n">
        <v>44805</v>
      </c>
      <c r="B922" s="1" t="n">
        <v>2022</v>
      </c>
      <c r="C922" s="1" t="n">
        <v>9</v>
      </c>
      <c r="D922" s="1" t="s">
        <v>50</v>
      </c>
      <c r="E922" s="1" t="s">
        <v>13</v>
      </c>
      <c r="F922" s="1" t="n">
        <v>88.9</v>
      </c>
      <c r="G922" s="1" t="n">
        <f aca="false">IF(E922=E921,F922/F921-1,"")</f>
        <v>-0.11489446435683</v>
      </c>
    </row>
    <row r="923" customFormat="false" ht="14.25" hidden="false" customHeight="true" outlineLevel="0" collapsed="false">
      <c r="A923" s="26" t="n">
        <v>44835</v>
      </c>
      <c r="B923" s="1" t="n">
        <v>2022</v>
      </c>
      <c r="C923" s="1" t="n">
        <v>10</v>
      </c>
      <c r="D923" s="1" t="s">
        <v>51</v>
      </c>
      <c r="E923" s="1" t="s">
        <v>13</v>
      </c>
      <c r="F923" s="1" t="n">
        <v>95.89</v>
      </c>
      <c r="G923" s="1" t="n">
        <f aca="false">IF(E923=E922,F923/F922-1,"")</f>
        <v>0.0786276715410572</v>
      </c>
    </row>
    <row r="924" customFormat="false" ht="14.25" hidden="false" customHeight="true" outlineLevel="0" collapsed="false">
      <c r="A924" s="26" t="n">
        <v>44866</v>
      </c>
      <c r="B924" s="1" t="n">
        <v>2022</v>
      </c>
      <c r="C924" s="1" t="n">
        <v>11</v>
      </c>
      <c r="D924" s="1" t="s">
        <v>52</v>
      </c>
      <c r="E924" s="1" t="s">
        <v>13</v>
      </c>
      <c r="F924" s="1" t="n">
        <v>89.27</v>
      </c>
      <c r="G924" s="1" t="n">
        <f aca="false">IF(E924=E923,F924/F923-1,"")</f>
        <v>-0.0690374387318803</v>
      </c>
    </row>
    <row r="925" customFormat="false" ht="14.25" hidden="false" customHeight="true" outlineLevel="0" collapsed="false">
      <c r="A925" s="26" t="n">
        <v>44896</v>
      </c>
      <c r="B925" s="1" t="n">
        <v>2022</v>
      </c>
      <c r="C925" s="1" t="n">
        <v>12</v>
      </c>
      <c r="D925" s="1" t="s">
        <v>53</v>
      </c>
      <c r="E925" s="1" t="s">
        <v>13</v>
      </c>
      <c r="F925" s="1" t="n">
        <v>89.19</v>
      </c>
      <c r="G925" s="1" t="n">
        <f aca="false">IF(E925=E924,F925/F924-1,"")</f>
        <v>-0.000896157723759394</v>
      </c>
    </row>
    <row r="926" customFormat="false" ht="14.25" hidden="false" customHeight="true" outlineLevel="0" collapsed="false">
      <c r="A926" s="26" t="n">
        <v>44927</v>
      </c>
      <c r="B926" s="1" t="n">
        <v>2023</v>
      </c>
      <c r="C926" s="1" t="n">
        <v>1</v>
      </c>
      <c r="D926" s="1" t="s">
        <v>42</v>
      </c>
      <c r="E926" s="1" t="s">
        <v>13</v>
      </c>
      <c r="F926" s="1" t="n">
        <v>87.14</v>
      </c>
      <c r="G926" s="1" t="n">
        <f aca="false">IF(E926=E925,F926/F925-1,"")</f>
        <v>-0.02298463953358</v>
      </c>
    </row>
    <row r="927" customFormat="false" ht="14.25" hidden="false" customHeight="true" outlineLevel="0" collapsed="false">
      <c r="A927" s="26" t="n">
        <v>44958</v>
      </c>
      <c r="B927" s="1" t="n">
        <v>2023</v>
      </c>
      <c r="C927" s="1" t="n">
        <v>2</v>
      </c>
      <c r="D927" s="1" t="s">
        <v>43</v>
      </c>
      <c r="E927" s="1" t="s">
        <v>13</v>
      </c>
      <c r="F927" s="1" t="n">
        <v>84.39</v>
      </c>
      <c r="G927" s="1" t="n">
        <f aca="false">IF(E927=E926,F927/F926-1,"")</f>
        <v>-0.031558411751205</v>
      </c>
    </row>
    <row r="928" customFormat="false" ht="14.25" hidden="false" customHeight="true" outlineLevel="0" collapsed="false">
      <c r="A928" s="26" t="n">
        <v>44986</v>
      </c>
      <c r="B928" s="1" t="n">
        <v>2023</v>
      </c>
      <c r="C928" s="1" t="n">
        <v>3</v>
      </c>
      <c r="D928" s="1" t="s">
        <v>44</v>
      </c>
      <c r="E928" s="1" t="s">
        <v>13</v>
      </c>
      <c r="F928" s="1" t="n">
        <v>82.8</v>
      </c>
      <c r="G928" s="1" t="n">
        <f aca="false">IF(E928=E927,F928/F927-1,"")</f>
        <v>-0.0188410949164594</v>
      </c>
    </row>
    <row r="929" customFormat="false" ht="14.25" hidden="false" customHeight="true" outlineLevel="0" collapsed="false">
      <c r="A929" s="26" t="n">
        <v>45017</v>
      </c>
      <c r="B929" s="1" t="n">
        <v>2023</v>
      </c>
      <c r="C929" s="1" t="n">
        <v>4</v>
      </c>
      <c r="D929" s="1" t="s">
        <v>45</v>
      </c>
      <c r="E929" s="1" t="s">
        <v>13</v>
      </c>
      <c r="F929" s="1" t="n">
        <v>83.58</v>
      </c>
      <c r="G929" s="1" t="n">
        <f aca="false">IF(E929=E928,F929/F928-1,"")</f>
        <v>0.00942028985507237</v>
      </c>
    </row>
    <row r="930" customFormat="false" ht="14.25" hidden="false" customHeight="true" outlineLevel="0" collapsed="false">
      <c r="A930" s="26" t="n">
        <v>45047</v>
      </c>
      <c r="B930" s="1" t="n">
        <v>2023</v>
      </c>
      <c r="C930" s="1" t="n">
        <v>5</v>
      </c>
      <c r="D930" s="1" t="s">
        <v>46</v>
      </c>
      <c r="E930" s="1" t="s">
        <v>13</v>
      </c>
      <c r="F930" s="1" t="n">
        <v>73.95</v>
      </c>
      <c r="G930" s="1" t="n">
        <f aca="false">IF(E930=E929,F930/F929-1,"")</f>
        <v>-0.115218951902369</v>
      </c>
    </row>
    <row r="931" customFormat="false" ht="14.25" hidden="false" customHeight="true" outlineLevel="0" collapsed="false">
      <c r="A931" s="26" t="n">
        <v>45078</v>
      </c>
      <c r="B931" s="1" t="n">
        <v>2023</v>
      </c>
      <c r="C931" s="1" t="n">
        <v>6</v>
      </c>
      <c r="D931" s="1" t="s">
        <v>47</v>
      </c>
      <c r="E931" s="1" t="s">
        <v>13</v>
      </c>
      <c r="F931" s="1" t="n">
        <v>76.47</v>
      </c>
      <c r="G931" s="1" t="n">
        <f aca="false">IF(E931=E930,F931/F930-1,"")</f>
        <v>0.0340770791075051</v>
      </c>
    </row>
    <row r="932" customFormat="false" ht="14.25" hidden="false" customHeight="true" outlineLevel="0" collapsed="false">
      <c r="A932" s="26" t="n">
        <v>45108</v>
      </c>
      <c r="B932" s="1" t="n">
        <v>2023</v>
      </c>
      <c r="C932" s="1" t="n">
        <v>7</v>
      </c>
      <c r="D932" s="1" t="s">
        <v>48</v>
      </c>
      <c r="E932" s="1" t="s">
        <v>13</v>
      </c>
      <c r="F932" s="1" t="n">
        <v>88.36</v>
      </c>
      <c r="G932" s="1" t="n">
        <f aca="false">IF(E932=E931,F932/F931-1,"")</f>
        <v>0.155485811429319</v>
      </c>
    </row>
    <row r="933" customFormat="false" ht="14.25" hidden="false" customHeight="true" outlineLevel="0" collapsed="false">
      <c r="A933" s="26" t="n">
        <v>45139</v>
      </c>
      <c r="B933" s="1" t="n">
        <v>2023</v>
      </c>
      <c r="C933" s="1" t="n">
        <v>8</v>
      </c>
      <c r="D933" s="1" t="s">
        <v>49</v>
      </c>
      <c r="E933" s="1" t="s">
        <v>13</v>
      </c>
      <c r="F933" s="1" t="n">
        <v>89.86</v>
      </c>
      <c r="G933" s="1" t="n">
        <f aca="false">IF(E933=E932,F933/F932-1,"")</f>
        <v>0.0169760072430964</v>
      </c>
    </row>
    <row r="934" customFormat="false" ht="14.25" hidden="false" customHeight="true" outlineLevel="0" collapsed="false">
      <c r="A934" s="26" t="n">
        <v>45170</v>
      </c>
      <c r="B934" s="1" t="n">
        <v>2023</v>
      </c>
      <c r="C934" s="1" t="n">
        <v>9</v>
      </c>
      <c r="D934" s="1" t="s">
        <v>50</v>
      </c>
      <c r="E934" s="1" t="s">
        <v>13</v>
      </c>
      <c r="F934" s="1" t="n">
        <v>97.38</v>
      </c>
      <c r="G934" s="1" t="n">
        <f aca="false">IF(E934=E933,F934/F933-1,"")</f>
        <v>0.083685733363009</v>
      </c>
    </row>
    <row r="935" customFormat="false" ht="14.25" hidden="false" customHeight="true" outlineLevel="0" collapsed="false">
      <c r="A935" s="26" t="n">
        <v>45200</v>
      </c>
      <c r="B935" s="1" t="n">
        <v>2023</v>
      </c>
      <c r="C935" s="1" t="n">
        <v>10</v>
      </c>
      <c r="D935" s="1" t="s">
        <v>51</v>
      </c>
      <c r="E935" s="1" t="s">
        <v>13</v>
      </c>
      <c r="F935" s="1" t="n">
        <v>87.62</v>
      </c>
      <c r="G935" s="1" t="n">
        <f aca="false">IF(E935=E934,F935/F934-1,"")</f>
        <v>-0.100225919079893</v>
      </c>
    </row>
    <row r="936" customFormat="false" ht="14.25" hidden="false" customHeight="true" outlineLevel="0" collapsed="false">
      <c r="A936" s="26" t="n">
        <v>45231</v>
      </c>
      <c r="B936" s="1" t="n">
        <v>2023</v>
      </c>
      <c r="C936" s="1" t="n">
        <v>11</v>
      </c>
      <c r="D936" s="1" t="s">
        <v>52</v>
      </c>
      <c r="E936" s="1" t="s">
        <v>13</v>
      </c>
      <c r="F936" s="1" t="n">
        <v>81.37</v>
      </c>
      <c r="G936" s="1" t="n">
        <f aca="false">IF(E936=E935,F936/F935-1,"")</f>
        <v>-0.0713307464049304</v>
      </c>
    </row>
    <row r="937" customFormat="false" ht="14.25" hidden="false" customHeight="true" outlineLevel="0" collapsed="false">
      <c r="A937" s="26" t="n">
        <v>45261</v>
      </c>
      <c r="B937" s="1" t="n">
        <v>2023</v>
      </c>
      <c r="C937" s="1" t="n">
        <v>12</v>
      </c>
      <c r="D937" s="1" t="s">
        <v>53</v>
      </c>
      <c r="E937" s="1" t="s">
        <v>13</v>
      </c>
      <c r="F937" s="1" t="n">
        <v>77.39</v>
      </c>
      <c r="G937" s="1" t="n">
        <f aca="false">IF(E937=E936,F937/F936-1,"")</f>
        <v>-0.0489123755683913</v>
      </c>
    </row>
    <row r="938" customFormat="false" ht="14.25" hidden="false" customHeight="true" outlineLevel="0" collapsed="false">
      <c r="A938" s="26" t="n">
        <v>45292</v>
      </c>
      <c r="B938" s="1" t="n">
        <v>2024</v>
      </c>
      <c r="C938" s="1" t="n">
        <v>1</v>
      </c>
      <c r="D938" s="1" t="s">
        <v>42</v>
      </c>
      <c r="E938" s="1" t="s">
        <v>13</v>
      </c>
      <c r="F938" s="1" t="n">
        <v>81.67</v>
      </c>
      <c r="G938" s="1" t="n">
        <f aca="false">IF(E938=E937,F938/F937-1,"")</f>
        <v>0.0553043028815092</v>
      </c>
    </row>
    <row r="939" customFormat="false" ht="14.25" hidden="false" customHeight="true" outlineLevel="0" collapsed="false">
      <c r="A939" s="26" t="n">
        <v>45323</v>
      </c>
      <c r="B939" s="1" t="n">
        <v>2024</v>
      </c>
      <c r="C939" s="1" t="n">
        <v>2</v>
      </c>
      <c r="D939" s="1" t="s">
        <v>43</v>
      </c>
      <c r="E939" s="1" t="s">
        <v>13</v>
      </c>
      <c r="F939" s="1" t="n">
        <v>84.3</v>
      </c>
      <c r="G939" s="1" t="n">
        <f aca="false">IF(E939=E938,F939/F938-1,"")</f>
        <v>0.0322027672339904</v>
      </c>
    </row>
    <row r="940" customFormat="false" ht="14.25" hidden="false" customHeight="true" outlineLevel="0" collapsed="false">
      <c r="A940" s="26" t="n">
        <v>45352</v>
      </c>
      <c r="B940" s="1" t="n">
        <v>2024</v>
      </c>
      <c r="C940" s="1" t="n">
        <v>3</v>
      </c>
      <c r="D940" s="1" t="s">
        <v>44</v>
      </c>
      <c r="E940" s="1" t="s">
        <v>13</v>
      </c>
      <c r="F940" s="1" t="n">
        <v>88.77</v>
      </c>
      <c r="G940" s="1" t="n">
        <f aca="false">IF(E940=E939,F940/F939-1,"")</f>
        <v>0.0530249110320284</v>
      </c>
    </row>
    <row r="941" customFormat="false" ht="14.25" hidden="false" customHeight="true" outlineLevel="0" collapsed="false">
      <c r="A941" s="26" t="n">
        <v>45383</v>
      </c>
      <c r="B941" s="1" t="n">
        <v>2024</v>
      </c>
      <c r="C941" s="1" t="n">
        <v>4</v>
      </c>
      <c r="D941" s="1" t="s">
        <v>45</v>
      </c>
      <c r="E941" s="1" t="s">
        <v>13</v>
      </c>
      <c r="F941" s="1" t="n">
        <v>87.93</v>
      </c>
      <c r="G941" s="1" t="n">
        <f aca="false">IF(E941=E940,F941/F940-1,"")</f>
        <v>-0.00946265630280485</v>
      </c>
    </row>
    <row r="942" customFormat="false" ht="14.25" hidden="false" customHeight="true" outlineLevel="0" collapsed="false">
      <c r="A942" s="26" t="n">
        <v>45413</v>
      </c>
      <c r="B942" s="1" t="n">
        <v>2024</v>
      </c>
      <c r="C942" s="1" t="n">
        <v>5</v>
      </c>
      <c r="D942" s="1" t="s">
        <v>46</v>
      </c>
      <c r="E942" s="1" t="s">
        <v>13</v>
      </c>
      <c r="F942" s="1" t="n">
        <v>81.98</v>
      </c>
      <c r="G942" s="1" t="n">
        <f aca="false">IF(E942=E941,F942/F941-1,"")</f>
        <v>-0.0676674627544638</v>
      </c>
    </row>
    <row r="943" customFormat="false" ht="14.25" hidden="false" customHeight="true" outlineLevel="0" collapsed="false">
      <c r="A943" s="26" t="n">
        <v>45444</v>
      </c>
      <c r="B943" s="1" t="n">
        <v>2024</v>
      </c>
      <c r="C943" s="1" t="n">
        <v>6</v>
      </c>
      <c r="D943" s="1" t="s">
        <v>47</v>
      </c>
      <c r="E943" s="1" t="s">
        <v>13</v>
      </c>
      <c r="F943" s="1" t="n">
        <v>85.7</v>
      </c>
      <c r="G943" s="1" t="n">
        <f aca="false">IF(E943=E942,F943/F942-1,"")</f>
        <v>0.0453769212002928</v>
      </c>
    </row>
    <row r="944" customFormat="false" ht="14.25" hidden="false" customHeight="true" outlineLevel="0" collapsed="false">
      <c r="A944" s="26" t="n">
        <v>45474</v>
      </c>
      <c r="B944" s="1" t="n">
        <v>2024</v>
      </c>
      <c r="C944" s="1" t="n">
        <v>7</v>
      </c>
      <c r="D944" s="1" t="s">
        <v>48</v>
      </c>
      <c r="E944" s="1" t="s">
        <v>13</v>
      </c>
      <c r="F944" s="1" t="n">
        <v>79.02</v>
      </c>
      <c r="G944" s="1" t="n">
        <f aca="false">IF(E944=E943,F944/F943-1,"")</f>
        <v>-0.077946324387398</v>
      </c>
    </row>
    <row r="945" customFormat="false" ht="14.25" hidden="false" customHeight="true" outlineLevel="0" collapsed="false">
      <c r="A945" s="26" t="n">
        <v>45505</v>
      </c>
      <c r="B945" s="1" t="n">
        <v>2024</v>
      </c>
      <c r="C945" s="1" t="n">
        <v>8</v>
      </c>
      <c r="D945" s="1" t="s">
        <v>49</v>
      </c>
      <c r="E945" s="1" t="s">
        <v>13</v>
      </c>
      <c r="F945" s="1" t="n">
        <v>77.15</v>
      </c>
      <c r="G945" s="1" t="n">
        <f aca="false">IF(E945=E944,F945/F944-1,"")</f>
        <v>-0.0236648949633003</v>
      </c>
    </row>
    <row r="946" customFormat="false" ht="14.25" hidden="false" customHeight="true" outlineLevel="0" collapsed="false">
      <c r="A946" s="26" t="n">
        <v>45536</v>
      </c>
      <c r="B946" s="1" t="n">
        <v>2024</v>
      </c>
      <c r="C946" s="1" t="n">
        <v>9</v>
      </c>
      <c r="D946" s="1" t="s">
        <v>50</v>
      </c>
      <c r="E946" s="1" t="s">
        <v>13</v>
      </c>
      <c r="F946" s="1" t="n">
        <v>71.39</v>
      </c>
      <c r="G946" s="1" t="n">
        <f aca="false">IF(E946=E945,F946/F945-1,"")</f>
        <v>-0.0746597537265069</v>
      </c>
    </row>
    <row r="947" customFormat="false" ht="14.25" hidden="false" customHeight="true" outlineLevel="0" collapsed="false">
      <c r="A947" s="26" t="n">
        <v>45566</v>
      </c>
      <c r="B947" s="1" t="n">
        <v>2024</v>
      </c>
      <c r="C947" s="1" t="n">
        <v>10</v>
      </c>
      <c r="D947" s="1" t="s">
        <v>51</v>
      </c>
      <c r="E947" s="1" t="s">
        <v>13</v>
      </c>
      <c r="F947" s="1" t="n">
        <v>73.87</v>
      </c>
      <c r="G947" s="1" t="n">
        <f aca="false">IF(E947=E946,F947/F946-1,"")</f>
        <v>0.0347387589298223</v>
      </c>
    </row>
    <row r="948" customFormat="false" ht="14.25" hidden="false" customHeight="true" outlineLevel="0" collapsed="false">
      <c r="A948" s="26" t="n">
        <v>45597</v>
      </c>
      <c r="B948" s="1" t="n">
        <v>2024</v>
      </c>
      <c r="C948" s="1" t="n">
        <v>11</v>
      </c>
      <c r="D948" s="1" t="s">
        <v>52</v>
      </c>
      <c r="E948" s="1" t="s">
        <v>13</v>
      </c>
      <c r="F948" s="1" t="n">
        <v>71.17</v>
      </c>
      <c r="G948" s="1" t="n">
        <f aca="false">IF(E948=E947,F948/F947-1,"")</f>
        <v>-0.0365506971707054</v>
      </c>
    </row>
    <row r="949" customFormat="false" ht="14.25" hidden="false" customHeight="true" outlineLevel="0" collapsed="false">
      <c r="A949" s="26" t="n">
        <v>45627</v>
      </c>
      <c r="B949" s="1" t="n">
        <v>2024</v>
      </c>
      <c r="C949" s="1" t="n">
        <v>12</v>
      </c>
      <c r="D949" s="1" t="s">
        <v>53</v>
      </c>
      <c r="E949" s="1" t="s">
        <v>13</v>
      </c>
      <c r="F949" s="1" t="n">
        <v>75.04</v>
      </c>
      <c r="G949" s="1" t="n">
        <f aca="false">IF(E949=E948,F949/F948-1,"")</f>
        <v>0.0543768441759169</v>
      </c>
    </row>
    <row r="950" customFormat="false" ht="14.25" hidden="false" customHeight="true" outlineLevel="0" collapsed="false">
      <c r="A950" s="26" t="n">
        <v>45658</v>
      </c>
      <c r="B950" s="1" t="n">
        <v>2025</v>
      </c>
      <c r="C950" s="1" t="n">
        <v>1</v>
      </c>
      <c r="D950" s="1" t="s">
        <v>42</v>
      </c>
      <c r="E950" s="1" t="s">
        <v>13</v>
      </c>
      <c r="F950" s="1" t="n">
        <v>75.39</v>
      </c>
      <c r="G950" s="1" t="n">
        <f aca="false">IF(E950=E949,F950/F949-1,"")</f>
        <v>0.00466417910447747</v>
      </c>
    </row>
    <row r="951" customFormat="false" ht="14.25" hidden="false" customHeight="true" outlineLevel="0" collapsed="false">
      <c r="A951" s="26" t="n">
        <v>45689</v>
      </c>
      <c r="B951" s="1" t="n">
        <v>2025</v>
      </c>
      <c r="C951" s="1" t="n">
        <v>2</v>
      </c>
      <c r="D951" s="1" t="s">
        <v>43</v>
      </c>
      <c r="E951" s="1" t="s">
        <v>13</v>
      </c>
      <c r="F951" s="1" t="n">
        <v>72.58</v>
      </c>
      <c r="G951" s="1" t="n">
        <f aca="false">IF(E951=E950,F951/F950-1,"")</f>
        <v>-0.0372728478578062</v>
      </c>
    </row>
    <row r="952" customFormat="false" ht="14.25" hidden="false" customHeight="true" outlineLevel="0" collapsed="false">
      <c r="A952" s="26" t="n">
        <v>45717</v>
      </c>
      <c r="B952" s="1" t="n">
        <v>2025</v>
      </c>
      <c r="C952" s="1" t="n">
        <v>3</v>
      </c>
      <c r="D952" s="1" t="s">
        <v>44</v>
      </c>
      <c r="E952" s="1" t="s">
        <v>13</v>
      </c>
      <c r="F952" s="1" t="n">
        <v>71.63</v>
      </c>
      <c r="G952" s="1" t="n">
        <f aca="false">IF(E952=E951,F952/F951-1,"")</f>
        <v>-0.0130890052356021</v>
      </c>
    </row>
    <row r="953" customFormat="false" ht="14.25" hidden="false" customHeight="true" outlineLevel="0" collapsed="false">
      <c r="A953" s="26" t="n">
        <v>45748</v>
      </c>
      <c r="B953" s="1" t="n">
        <v>2025</v>
      </c>
      <c r="C953" s="1" t="n">
        <v>4</v>
      </c>
      <c r="D953" s="1" t="s">
        <v>45</v>
      </c>
      <c r="E953" s="1" t="s">
        <v>13</v>
      </c>
      <c r="F953" s="1" t="n">
        <v>60.06</v>
      </c>
      <c r="G953" s="1" t="n">
        <f aca="false">IF(E953=E952,F953/F952-1,"")</f>
        <v>-0.161524500907441</v>
      </c>
    </row>
    <row r="954" customFormat="false" ht="14.25" hidden="false" customHeight="true" outlineLevel="0" collapsed="false">
      <c r="A954" s="26" t="n">
        <v>45778</v>
      </c>
      <c r="B954" s="1" t="n">
        <v>2025</v>
      </c>
      <c r="C954" s="1" t="n">
        <v>5</v>
      </c>
      <c r="D954" s="1" t="s">
        <v>46</v>
      </c>
      <c r="E954" s="1" t="s">
        <v>13</v>
      </c>
      <c r="F954" s="1" t="n">
        <v>62.44</v>
      </c>
      <c r="G954" s="1" t="n">
        <f aca="false">IF(E954=E953,F954/F953-1,"")</f>
        <v>0.0396270396270395</v>
      </c>
    </row>
    <row r="955" customFormat="false" ht="14.25" hidden="false" customHeight="true" outlineLevel="0" collapsed="false">
      <c r="A955" s="26" t="n">
        <v>45809</v>
      </c>
      <c r="B955" s="1" t="n">
        <v>2025</v>
      </c>
      <c r="C955" s="1" t="n">
        <v>6</v>
      </c>
      <c r="D955" s="1" t="s">
        <v>47</v>
      </c>
      <c r="E955" s="1" t="s">
        <v>13</v>
      </c>
      <c r="F955" s="1" t="n">
        <v>66.33</v>
      </c>
      <c r="G955" s="1" t="n">
        <f aca="false">IF(E955=E954,F955/F954-1,"")</f>
        <v>0.0622998078155028</v>
      </c>
    </row>
    <row r="956" customFormat="false" ht="14.25" hidden="false" customHeight="true" outlineLevel="0" collapsed="false">
      <c r="A956" s="26" t="n">
        <v>45839</v>
      </c>
      <c r="B956" s="1" t="n">
        <v>2025</v>
      </c>
      <c r="C956" s="1" t="n">
        <v>7</v>
      </c>
      <c r="D956" s="1" t="s">
        <v>48</v>
      </c>
      <c r="E956" s="1" t="s">
        <v>13</v>
      </c>
      <c r="F956" s="1" t="n">
        <v>71.87</v>
      </c>
      <c r="G956" s="1" t="n">
        <f aca="false">IF(E956=E955,F956/F955-1,"")</f>
        <v>0.0835217850143224</v>
      </c>
    </row>
    <row r="957" customFormat="false" ht="14.25" hidden="false" customHeight="true" outlineLevel="0" collapsed="false">
      <c r="A957" s="26" t="n">
        <v>45870</v>
      </c>
      <c r="B957" s="1" t="n">
        <v>2025</v>
      </c>
      <c r="C957" s="1" t="n">
        <v>8</v>
      </c>
      <c r="D957" s="1" t="s">
        <v>49</v>
      </c>
      <c r="E957" s="1" t="s">
        <v>13</v>
      </c>
      <c r="F957" s="1" t="n">
        <v>65.45</v>
      </c>
      <c r="G957" s="1" t="n">
        <f aca="false">IF(E957=E956,F957/F956-1,"")</f>
        <v>-0.0893279532489217</v>
      </c>
    </row>
    <row r="958" customFormat="false" ht="14.25" hidden="false" customHeight="true" outlineLevel="0" collapsed="false">
      <c r="A958" s="26" t="n">
        <v>45901</v>
      </c>
      <c r="B958" s="1" t="n">
        <v>2025</v>
      </c>
      <c r="C958" s="1" t="n">
        <v>9</v>
      </c>
      <c r="D958" s="1" t="s">
        <v>50</v>
      </c>
      <c r="E958" s="1" t="s">
        <v>13</v>
      </c>
      <c r="F958" s="1" t="n">
        <v>64.22</v>
      </c>
      <c r="G958" s="1" t="n">
        <f aca="false">IF(E958=E957,F958/F957-1,"")</f>
        <v>-0.0187929717341483</v>
      </c>
    </row>
    <row r="959" customFormat="false" ht="14.25" hidden="false" customHeight="true" outlineLevel="0" collapsed="false">
      <c r="A959" s="26" t="n">
        <v>45931</v>
      </c>
      <c r="B959" s="1" t="n">
        <v>2025</v>
      </c>
      <c r="C959" s="1" t="n">
        <v>10</v>
      </c>
      <c r="D959" s="1" t="s">
        <v>51</v>
      </c>
      <c r="E959" s="1" t="s">
        <v>13</v>
      </c>
      <c r="F959" s="1" t="n">
        <v>63.12</v>
      </c>
      <c r="G959" s="1" t="n">
        <f aca="false">IF(E959=E958,F959/F958-1,"")</f>
        <v>-0.0171286203674867</v>
      </c>
    </row>
    <row r="960" customFormat="false" ht="14.25" hidden="false" customHeight="true" outlineLevel="0" collapsed="false">
      <c r="A960" s="26" t="n">
        <v>45962</v>
      </c>
      <c r="B960" s="1" t="n">
        <v>2025</v>
      </c>
      <c r="C960" s="1" t="n">
        <v>11</v>
      </c>
      <c r="D960" s="1" t="s">
        <v>52</v>
      </c>
      <c r="E960" s="1" t="s">
        <v>13</v>
      </c>
      <c r="F960" s="1" t="n">
        <v>59.68</v>
      </c>
      <c r="G960" s="1" t="n">
        <f aca="false">IF(E960=E959,F960/F959-1,"")</f>
        <v>-0.0544993662864385</v>
      </c>
    </row>
    <row r="961" customFormat="false" ht="14.25" hidden="false" customHeight="true" outlineLevel="0" collapsed="false">
      <c r="A961" s="26" t="n">
        <v>45992</v>
      </c>
      <c r="B961" s="1" t="n">
        <v>2025</v>
      </c>
      <c r="C961" s="1" t="n">
        <v>12</v>
      </c>
      <c r="D961" s="1" t="s">
        <v>53</v>
      </c>
      <c r="E961" s="1" t="s">
        <v>13</v>
      </c>
      <c r="F961" s="1" t="n">
        <v>58.35</v>
      </c>
      <c r="G961" s="1" t="n">
        <f aca="false">IF(E961=E960,F961/F960-1,"")</f>
        <v>-0.0222855227882037</v>
      </c>
    </row>
    <row r="962" customFormat="false" ht="14.25" hidden="false" customHeight="true" outlineLevel="0" collapsed="false">
      <c r="A962" s="26" t="n">
        <v>46023</v>
      </c>
      <c r="B962" s="1" t="n">
        <v>2026</v>
      </c>
      <c r="C962" s="1" t="n">
        <v>1</v>
      </c>
      <c r="D962" s="1" t="s">
        <v>42</v>
      </c>
      <c r="E962" s="1" t="s">
        <v>13</v>
      </c>
      <c r="F962" s="1" t="n">
        <v>65.48</v>
      </c>
      <c r="G962" s="1" t="n">
        <f aca="false">IF(E962=E961,F962/F961-1,"")</f>
        <v>0.122193658954584</v>
      </c>
    </row>
    <row r="963" customFormat="false" ht="14.25" hidden="false" customHeight="true" outlineLevel="0" collapsed="false">
      <c r="A963" s="26" t="n">
        <v>46054</v>
      </c>
      <c r="B963" s="1" t="n">
        <v>2026</v>
      </c>
      <c r="C963" s="1" t="n">
        <v>2</v>
      </c>
      <c r="D963" s="1" t="s">
        <v>43</v>
      </c>
      <c r="E963" s="1" t="s">
        <v>13</v>
      </c>
      <c r="F963" s="1" t="n">
        <v>67.66</v>
      </c>
      <c r="G963" s="1" t="n">
        <f aca="false">IF(E963=E962,F963/F962-1,"")</f>
        <v>0.0332926084300549</v>
      </c>
    </row>
    <row r="964" customFormat="false" ht="14.25" hidden="false" customHeight="true" outlineLevel="0" collapsed="false">
      <c r="A964" s="26" t="n">
        <v>46082</v>
      </c>
      <c r="B964" s="1" t="n">
        <v>2026</v>
      </c>
      <c r="C964" s="1" t="n">
        <v>3</v>
      </c>
      <c r="D964" s="1" t="s">
        <v>44</v>
      </c>
      <c r="E964" s="1" t="s">
        <v>13</v>
      </c>
      <c r="F964" s="1" t="n">
        <v>102.86</v>
      </c>
      <c r="G964" s="1" t="n">
        <f aca="false">IF(E964=E963,F964/F963-1,"")</f>
        <v>0.520248300325155</v>
      </c>
    </row>
    <row r="965" customFormat="false" ht="14.25" hidden="false" customHeight="true" outlineLevel="0" collapsed="false">
      <c r="A965" s="26" t="n">
        <v>5480</v>
      </c>
      <c r="B965" s="1" t="n">
        <v>1915</v>
      </c>
      <c r="C965" s="1" t="n">
        <v>1</v>
      </c>
      <c r="D965" s="1" t="s">
        <v>42</v>
      </c>
      <c r="E965" s="1" t="s">
        <v>14</v>
      </c>
      <c r="F965" s="1" t="n">
        <v>19.25</v>
      </c>
      <c r="G965" s="1" t="str">
        <f aca="false">IF(E965=E964,F965/F964-1,"")</f>
        <v/>
      </c>
    </row>
    <row r="966" customFormat="false" ht="14.25" hidden="false" customHeight="true" outlineLevel="0" collapsed="false">
      <c r="A966" s="26" t="n">
        <v>5511</v>
      </c>
      <c r="B966" s="1" t="n">
        <v>1915</v>
      </c>
      <c r="C966" s="1" t="n">
        <v>2</v>
      </c>
      <c r="D966" s="1" t="s">
        <v>43</v>
      </c>
      <c r="E966" s="1" t="s">
        <v>14</v>
      </c>
      <c r="F966" s="1" t="n">
        <v>19.25</v>
      </c>
      <c r="G966" s="1" t="n">
        <f aca="false">IF(E966=E965,F966/F965-1,"")</f>
        <v>0</v>
      </c>
    </row>
    <row r="967" customFormat="false" ht="14.25" hidden="false" customHeight="true" outlineLevel="0" collapsed="false">
      <c r="A967" s="26" t="n">
        <v>5539</v>
      </c>
      <c r="B967" s="1" t="n">
        <v>1915</v>
      </c>
      <c r="C967" s="1" t="n">
        <v>3</v>
      </c>
      <c r="D967" s="1" t="s">
        <v>44</v>
      </c>
      <c r="E967" s="1" t="s">
        <v>14</v>
      </c>
      <c r="F967" s="1" t="n">
        <v>19.25</v>
      </c>
      <c r="G967" s="1" t="n">
        <f aca="false">IF(E967=E966,F967/F966-1,"")</f>
        <v>0</v>
      </c>
    </row>
    <row r="968" customFormat="false" ht="14.25" hidden="false" customHeight="true" outlineLevel="0" collapsed="false">
      <c r="A968" s="26" t="n">
        <v>5570</v>
      </c>
      <c r="B968" s="1" t="n">
        <v>1915</v>
      </c>
      <c r="C968" s="1" t="n">
        <v>4</v>
      </c>
      <c r="D968" s="1" t="s">
        <v>45</v>
      </c>
      <c r="E968" s="1" t="s">
        <v>14</v>
      </c>
      <c r="F968" s="1" t="n">
        <v>19.25</v>
      </c>
      <c r="G968" s="1" t="n">
        <f aca="false">IF(E968=E967,F968/F967-1,"")</f>
        <v>0</v>
      </c>
    </row>
    <row r="969" customFormat="false" ht="14.25" hidden="false" customHeight="true" outlineLevel="0" collapsed="false">
      <c r="A969" s="26" t="n">
        <v>5600</v>
      </c>
      <c r="B969" s="1" t="n">
        <v>1915</v>
      </c>
      <c r="C969" s="1" t="n">
        <v>5</v>
      </c>
      <c r="D969" s="1" t="s">
        <v>46</v>
      </c>
      <c r="E969" s="1" t="s">
        <v>14</v>
      </c>
      <c r="F969" s="1" t="n">
        <v>19.25</v>
      </c>
      <c r="G969" s="1" t="n">
        <f aca="false">IF(E969=E968,F969/F968-1,"")</f>
        <v>0</v>
      </c>
    </row>
    <row r="970" customFormat="false" ht="14.25" hidden="false" customHeight="true" outlineLevel="0" collapsed="false">
      <c r="A970" s="26" t="n">
        <v>5631</v>
      </c>
      <c r="B970" s="1" t="n">
        <v>1915</v>
      </c>
      <c r="C970" s="1" t="n">
        <v>6</v>
      </c>
      <c r="D970" s="1" t="s">
        <v>47</v>
      </c>
      <c r="E970" s="1" t="s">
        <v>14</v>
      </c>
      <c r="F970" s="1" t="n">
        <v>19.25</v>
      </c>
      <c r="G970" s="1" t="n">
        <f aca="false">IF(E970=E969,F970/F969-1,"")</f>
        <v>0</v>
      </c>
    </row>
    <row r="971" customFormat="false" ht="14.25" hidden="false" customHeight="true" outlineLevel="0" collapsed="false">
      <c r="A971" s="26" t="n">
        <v>5661</v>
      </c>
      <c r="B971" s="1" t="n">
        <v>1915</v>
      </c>
      <c r="C971" s="1" t="n">
        <v>7</v>
      </c>
      <c r="D971" s="1" t="s">
        <v>48</v>
      </c>
      <c r="E971" s="1" t="s">
        <v>14</v>
      </c>
      <c r="F971" s="1" t="n">
        <v>19.25</v>
      </c>
      <c r="G971" s="1" t="n">
        <f aca="false">IF(E971=E970,F971/F970-1,"")</f>
        <v>0</v>
      </c>
    </row>
    <row r="972" customFormat="false" ht="14.25" hidden="false" customHeight="true" outlineLevel="0" collapsed="false">
      <c r="A972" s="26" t="n">
        <v>5692</v>
      </c>
      <c r="B972" s="1" t="n">
        <v>1915</v>
      </c>
      <c r="C972" s="1" t="n">
        <v>8</v>
      </c>
      <c r="D972" s="1" t="s">
        <v>49</v>
      </c>
      <c r="E972" s="1" t="s">
        <v>14</v>
      </c>
      <c r="F972" s="1" t="n">
        <v>19.25</v>
      </c>
      <c r="G972" s="1" t="n">
        <f aca="false">IF(E972=E971,F972/F971-1,"")</f>
        <v>0</v>
      </c>
    </row>
    <row r="973" customFormat="false" ht="14.25" hidden="false" customHeight="true" outlineLevel="0" collapsed="false">
      <c r="A973" s="26" t="n">
        <v>5723</v>
      </c>
      <c r="B973" s="1" t="n">
        <v>1915</v>
      </c>
      <c r="C973" s="1" t="n">
        <v>9</v>
      </c>
      <c r="D973" s="1" t="s">
        <v>50</v>
      </c>
      <c r="E973" s="1" t="s">
        <v>14</v>
      </c>
      <c r="F973" s="1" t="n">
        <v>19.25</v>
      </c>
      <c r="G973" s="1" t="n">
        <f aca="false">IF(E973=E972,F973/F972-1,"")</f>
        <v>0</v>
      </c>
    </row>
    <row r="974" customFormat="false" ht="14.25" hidden="false" customHeight="true" outlineLevel="0" collapsed="false">
      <c r="A974" s="26" t="n">
        <v>5753</v>
      </c>
      <c r="B974" s="1" t="n">
        <v>1915</v>
      </c>
      <c r="C974" s="1" t="n">
        <v>10</v>
      </c>
      <c r="D974" s="1" t="s">
        <v>51</v>
      </c>
      <c r="E974" s="1" t="s">
        <v>14</v>
      </c>
      <c r="F974" s="1" t="n">
        <v>19.25</v>
      </c>
      <c r="G974" s="1" t="n">
        <f aca="false">IF(E974=E973,F974/F973-1,"")</f>
        <v>0</v>
      </c>
    </row>
    <row r="975" customFormat="false" ht="14.25" hidden="false" customHeight="true" outlineLevel="0" collapsed="false">
      <c r="A975" s="26" t="n">
        <v>5784</v>
      </c>
      <c r="B975" s="1" t="n">
        <v>1915</v>
      </c>
      <c r="C975" s="1" t="n">
        <v>11</v>
      </c>
      <c r="D975" s="1" t="s">
        <v>52</v>
      </c>
      <c r="E975" s="1" t="s">
        <v>14</v>
      </c>
      <c r="F975" s="1" t="n">
        <v>19.25</v>
      </c>
      <c r="G975" s="1" t="n">
        <f aca="false">IF(E975=E974,F975/F974-1,"")</f>
        <v>0</v>
      </c>
    </row>
    <row r="976" customFormat="false" ht="14.25" hidden="false" customHeight="true" outlineLevel="0" collapsed="false">
      <c r="A976" s="26" t="n">
        <v>5814</v>
      </c>
      <c r="B976" s="1" t="n">
        <v>1915</v>
      </c>
      <c r="C976" s="1" t="n">
        <v>12</v>
      </c>
      <c r="D976" s="1" t="s">
        <v>53</v>
      </c>
      <c r="E976" s="1" t="s">
        <v>14</v>
      </c>
      <c r="F976" s="1" t="n">
        <v>19.25</v>
      </c>
      <c r="G976" s="1" t="n">
        <f aca="false">IF(E976=E975,F976/F975-1,"")</f>
        <v>0</v>
      </c>
    </row>
    <row r="977" customFormat="false" ht="14.25" hidden="false" customHeight="true" outlineLevel="0" collapsed="false">
      <c r="A977" s="26" t="n">
        <v>5845</v>
      </c>
      <c r="B977" s="1" t="n">
        <v>1916</v>
      </c>
      <c r="C977" s="1" t="n">
        <v>1</v>
      </c>
      <c r="D977" s="1" t="s">
        <v>42</v>
      </c>
      <c r="E977" s="1" t="s">
        <v>14</v>
      </c>
      <c r="F977" s="1" t="n">
        <v>19.47</v>
      </c>
      <c r="G977" s="1" t="n">
        <f aca="false">IF(E977=E976,F977/F976-1,"")</f>
        <v>0.0114285714285713</v>
      </c>
    </row>
    <row r="978" customFormat="false" ht="14.25" hidden="false" customHeight="true" outlineLevel="0" collapsed="false">
      <c r="A978" s="26" t="n">
        <v>5876</v>
      </c>
      <c r="B978" s="1" t="n">
        <v>1916</v>
      </c>
      <c r="C978" s="1" t="n">
        <v>2</v>
      </c>
      <c r="D978" s="1" t="s">
        <v>43</v>
      </c>
      <c r="E978" s="1" t="s">
        <v>14</v>
      </c>
      <c r="F978" s="1" t="n">
        <v>19.47</v>
      </c>
      <c r="G978" s="1" t="n">
        <f aca="false">IF(E978=E977,F978/F977-1,"")</f>
        <v>0</v>
      </c>
    </row>
    <row r="979" customFormat="false" ht="14.25" hidden="false" customHeight="true" outlineLevel="0" collapsed="false">
      <c r="A979" s="26" t="n">
        <v>5905</v>
      </c>
      <c r="B979" s="1" t="n">
        <v>1916</v>
      </c>
      <c r="C979" s="1" t="n">
        <v>3</v>
      </c>
      <c r="D979" s="1" t="s">
        <v>44</v>
      </c>
      <c r="E979" s="1" t="s">
        <v>14</v>
      </c>
      <c r="F979" s="1" t="n">
        <v>19.47</v>
      </c>
      <c r="G979" s="1" t="n">
        <f aca="false">IF(E979=E978,F979/F978-1,"")</f>
        <v>0</v>
      </c>
    </row>
    <row r="980" customFormat="false" ht="14.25" hidden="false" customHeight="true" outlineLevel="0" collapsed="false">
      <c r="A980" s="26" t="n">
        <v>5936</v>
      </c>
      <c r="B980" s="1" t="n">
        <v>1916</v>
      </c>
      <c r="C980" s="1" t="n">
        <v>4</v>
      </c>
      <c r="D980" s="1" t="s">
        <v>45</v>
      </c>
      <c r="E980" s="1" t="s">
        <v>14</v>
      </c>
      <c r="F980" s="1" t="n">
        <v>19.47</v>
      </c>
      <c r="G980" s="1" t="n">
        <f aca="false">IF(E980=E979,F980/F979-1,"")</f>
        <v>0</v>
      </c>
    </row>
    <row r="981" customFormat="false" ht="14.25" hidden="false" customHeight="true" outlineLevel="0" collapsed="false">
      <c r="A981" s="26" t="n">
        <v>5966</v>
      </c>
      <c r="B981" s="1" t="n">
        <v>1916</v>
      </c>
      <c r="C981" s="1" t="n">
        <v>5</v>
      </c>
      <c r="D981" s="1" t="s">
        <v>46</v>
      </c>
      <c r="E981" s="1" t="s">
        <v>14</v>
      </c>
      <c r="F981" s="1" t="n">
        <v>19.47</v>
      </c>
      <c r="G981" s="1" t="n">
        <f aca="false">IF(E981=E980,F981/F980-1,"")</f>
        <v>0</v>
      </c>
    </row>
    <row r="982" customFormat="false" ht="14.25" hidden="false" customHeight="true" outlineLevel="0" collapsed="false">
      <c r="A982" s="26" t="n">
        <v>5997</v>
      </c>
      <c r="B982" s="1" t="n">
        <v>1916</v>
      </c>
      <c r="C982" s="1" t="n">
        <v>6</v>
      </c>
      <c r="D982" s="1" t="s">
        <v>47</v>
      </c>
      <c r="E982" s="1" t="s">
        <v>14</v>
      </c>
      <c r="F982" s="1" t="n">
        <v>19.47</v>
      </c>
      <c r="G982" s="1" t="n">
        <f aca="false">IF(E982=E981,F982/F981-1,"")</f>
        <v>0</v>
      </c>
    </row>
    <row r="983" customFormat="false" ht="14.25" hidden="false" customHeight="true" outlineLevel="0" collapsed="false">
      <c r="A983" s="26" t="n">
        <v>6027</v>
      </c>
      <c r="B983" s="1" t="n">
        <v>1916</v>
      </c>
      <c r="C983" s="1" t="n">
        <v>7</v>
      </c>
      <c r="D983" s="1" t="s">
        <v>48</v>
      </c>
      <c r="E983" s="1" t="s">
        <v>14</v>
      </c>
      <c r="F983" s="1" t="n">
        <v>19.47</v>
      </c>
      <c r="G983" s="1" t="n">
        <f aca="false">IF(E983=E982,F983/F982-1,"")</f>
        <v>0</v>
      </c>
    </row>
    <row r="984" customFormat="false" ht="14.25" hidden="false" customHeight="true" outlineLevel="0" collapsed="false">
      <c r="A984" s="26" t="n">
        <v>6058</v>
      </c>
      <c r="B984" s="1" t="n">
        <v>1916</v>
      </c>
      <c r="C984" s="1" t="n">
        <v>8</v>
      </c>
      <c r="D984" s="1" t="s">
        <v>49</v>
      </c>
      <c r="E984" s="1" t="s">
        <v>14</v>
      </c>
      <c r="F984" s="1" t="n">
        <v>19.47</v>
      </c>
      <c r="G984" s="1" t="n">
        <f aca="false">IF(E984=E983,F984/F983-1,"")</f>
        <v>0</v>
      </c>
    </row>
    <row r="985" customFormat="false" ht="14.25" hidden="false" customHeight="true" outlineLevel="0" collapsed="false">
      <c r="A985" s="26" t="n">
        <v>6089</v>
      </c>
      <c r="B985" s="1" t="n">
        <v>1916</v>
      </c>
      <c r="C985" s="1" t="n">
        <v>9</v>
      </c>
      <c r="D985" s="1" t="s">
        <v>50</v>
      </c>
      <c r="E985" s="1" t="s">
        <v>14</v>
      </c>
      <c r="F985" s="1" t="n">
        <v>19.47</v>
      </c>
      <c r="G985" s="1" t="n">
        <f aca="false">IF(E985=E984,F985/F984-1,"")</f>
        <v>0</v>
      </c>
    </row>
    <row r="986" customFormat="false" ht="14.25" hidden="false" customHeight="true" outlineLevel="0" collapsed="false">
      <c r="A986" s="26" t="n">
        <v>6119</v>
      </c>
      <c r="B986" s="1" t="n">
        <v>1916</v>
      </c>
      <c r="C986" s="1" t="n">
        <v>10</v>
      </c>
      <c r="D986" s="1" t="s">
        <v>51</v>
      </c>
      <c r="E986" s="1" t="s">
        <v>14</v>
      </c>
      <c r="F986" s="1" t="n">
        <v>19.47</v>
      </c>
      <c r="G986" s="1" t="n">
        <f aca="false">IF(E986=E985,F986/F985-1,"")</f>
        <v>0</v>
      </c>
    </row>
    <row r="987" customFormat="false" ht="14.25" hidden="false" customHeight="true" outlineLevel="0" collapsed="false">
      <c r="A987" s="26" t="n">
        <v>6150</v>
      </c>
      <c r="B987" s="1" t="n">
        <v>1916</v>
      </c>
      <c r="C987" s="1" t="n">
        <v>11</v>
      </c>
      <c r="D987" s="1" t="s">
        <v>52</v>
      </c>
      <c r="E987" s="1" t="s">
        <v>14</v>
      </c>
      <c r="F987" s="1" t="n">
        <v>19.47</v>
      </c>
      <c r="G987" s="1" t="n">
        <f aca="false">IF(E987=E986,F987/F986-1,"")</f>
        <v>0</v>
      </c>
    </row>
    <row r="988" customFormat="false" ht="14.25" hidden="false" customHeight="true" outlineLevel="0" collapsed="false">
      <c r="A988" s="26" t="n">
        <v>6180</v>
      </c>
      <c r="B988" s="1" t="n">
        <v>1916</v>
      </c>
      <c r="C988" s="1" t="n">
        <v>12</v>
      </c>
      <c r="D988" s="1" t="s">
        <v>53</v>
      </c>
      <c r="E988" s="1" t="s">
        <v>14</v>
      </c>
      <c r="F988" s="1" t="n">
        <v>19.47</v>
      </c>
      <c r="G988" s="1" t="n">
        <f aca="false">IF(E988=E987,F988/F987-1,"")</f>
        <v>0</v>
      </c>
    </row>
    <row r="989" customFormat="false" ht="14.25" hidden="false" customHeight="true" outlineLevel="0" collapsed="false">
      <c r="A989" s="26" t="n">
        <v>6211</v>
      </c>
      <c r="B989" s="1" t="n">
        <v>1917</v>
      </c>
      <c r="C989" s="1" t="n">
        <v>1</v>
      </c>
      <c r="D989" s="1" t="s">
        <v>42</v>
      </c>
      <c r="E989" s="1" t="s">
        <v>14</v>
      </c>
      <c r="F989" s="1" t="n">
        <v>19.66</v>
      </c>
      <c r="G989" s="1" t="n">
        <f aca="false">IF(E989=E988,F989/F988-1,"")</f>
        <v>0.00975860297894204</v>
      </c>
    </row>
    <row r="990" customFormat="false" ht="14.25" hidden="false" customHeight="true" outlineLevel="0" collapsed="false">
      <c r="A990" s="26" t="n">
        <v>6242</v>
      </c>
      <c r="B990" s="1" t="n">
        <v>1917</v>
      </c>
      <c r="C990" s="1" t="n">
        <v>2</v>
      </c>
      <c r="D990" s="1" t="s">
        <v>43</v>
      </c>
      <c r="E990" s="1" t="s">
        <v>14</v>
      </c>
      <c r="F990" s="1" t="n">
        <v>19.66</v>
      </c>
      <c r="G990" s="1" t="n">
        <f aca="false">IF(E990=E989,F990/F989-1,"")</f>
        <v>0</v>
      </c>
    </row>
    <row r="991" customFormat="false" ht="14.25" hidden="false" customHeight="true" outlineLevel="0" collapsed="false">
      <c r="A991" s="26" t="n">
        <v>6270</v>
      </c>
      <c r="B991" s="1" t="n">
        <v>1917</v>
      </c>
      <c r="C991" s="1" t="n">
        <v>3</v>
      </c>
      <c r="D991" s="1" t="s">
        <v>44</v>
      </c>
      <c r="E991" s="1" t="s">
        <v>14</v>
      </c>
      <c r="F991" s="1" t="n">
        <v>19.66</v>
      </c>
      <c r="G991" s="1" t="n">
        <f aca="false">IF(E991=E990,F991/F990-1,"")</f>
        <v>0</v>
      </c>
    </row>
    <row r="992" customFormat="false" ht="14.25" hidden="false" customHeight="true" outlineLevel="0" collapsed="false">
      <c r="A992" s="26" t="n">
        <v>6301</v>
      </c>
      <c r="B992" s="1" t="n">
        <v>1917</v>
      </c>
      <c r="C992" s="1" t="n">
        <v>4</v>
      </c>
      <c r="D992" s="1" t="s">
        <v>45</v>
      </c>
      <c r="E992" s="1" t="s">
        <v>14</v>
      </c>
      <c r="F992" s="1" t="n">
        <v>19.66</v>
      </c>
      <c r="G992" s="1" t="n">
        <f aca="false">IF(E992=E991,F992/F991-1,"")</f>
        <v>0</v>
      </c>
    </row>
    <row r="993" customFormat="false" ht="14.25" hidden="false" customHeight="true" outlineLevel="0" collapsed="false">
      <c r="A993" s="26" t="n">
        <v>6331</v>
      </c>
      <c r="B993" s="1" t="n">
        <v>1917</v>
      </c>
      <c r="C993" s="1" t="n">
        <v>5</v>
      </c>
      <c r="D993" s="1" t="s">
        <v>46</v>
      </c>
      <c r="E993" s="1" t="s">
        <v>14</v>
      </c>
      <c r="F993" s="1" t="n">
        <v>19.66</v>
      </c>
      <c r="G993" s="1" t="n">
        <f aca="false">IF(E993=E992,F993/F992-1,"")</f>
        <v>0</v>
      </c>
    </row>
    <row r="994" customFormat="false" ht="14.25" hidden="false" customHeight="true" outlineLevel="0" collapsed="false">
      <c r="A994" s="26" t="n">
        <v>6362</v>
      </c>
      <c r="B994" s="1" t="n">
        <v>1917</v>
      </c>
      <c r="C994" s="1" t="n">
        <v>6</v>
      </c>
      <c r="D994" s="1" t="s">
        <v>47</v>
      </c>
      <c r="E994" s="1" t="s">
        <v>14</v>
      </c>
      <c r="F994" s="1" t="n">
        <v>19.66</v>
      </c>
      <c r="G994" s="1" t="n">
        <f aca="false">IF(E994=E993,F994/F993-1,"")</f>
        <v>0</v>
      </c>
    </row>
    <row r="995" customFormat="false" ht="14.25" hidden="false" customHeight="true" outlineLevel="0" collapsed="false">
      <c r="A995" s="26" t="n">
        <v>6392</v>
      </c>
      <c r="B995" s="1" t="n">
        <v>1917</v>
      </c>
      <c r="C995" s="1" t="n">
        <v>7</v>
      </c>
      <c r="D995" s="1" t="s">
        <v>48</v>
      </c>
      <c r="E995" s="1" t="s">
        <v>14</v>
      </c>
      <c r="F995" s="1" t="n">
        <v>19.66</v>
      </c>
      <c r="G995" s="1" t="n">
        <f aca="false">IF(E995=E994,F995/F994-1,"")</f>
        <v>0</v>
      </c>
    </row>
    <row r="996" customFormat="false" ht="14.25" hidden="false" customHeight="true" outlineLevel="0" collapsed="false">
      <c r="A996" s="26" t="n">
        <v>6423</v>
      </c>
      <c r="B996" s="1" t="n">
        <v>1917</v>
      </c>
      <c r="C996" s="1" t="n">
        <v>8</v>
      </c>
      <c r="D996" s="1" t="s">
        <v>49</v>
      </c>
      <c r="E996" s="1" t="s">
        <v>14</v>
      </c>
      <c r="F996" s="1" t="n">
        <v>19.66</v>
      </c>
      <c r="G996" s="1" t="n">
        <f aca="false">IF(E996=E995,F996/F995-1,"")</f>
        <v>0</v>
      </c>
    </row>
    <row r="997" customFormat="false" ht="14.25" hidden="false" customHeight="true" outlineLevel="0" collapsed="false">
      <c r="A997" s="26" t="n">
        <v>6454</v>
      </c>
      <c r="B997" s="1" t="n">
        <v>1917</v>
      </c>
      <c r="C997" s="1" t="n">
        <v>9</v>
      </c>
      <c r="D997" s="1" t="s">
        <v>50</v>
      </c>
      <c r="E997" s="1" t="s">
        <v>14</v>
      </c>
      <c r="F997" s="1" t="n">
        <v>19.66</v>
      </c>
      <c r="G997" s="1" t="n">
        <f aca="false">IF(E997=E996,F997/F996-1,"")</f>
        <v>0</v>
      </c>
    </row>
    <row r="998" customFormat="false" ht="14.25" hidden="false" customHeight="true" outlineLevel="0" collapsed="false">
      <c r="A998" s="26" t="n">
        <v>6484</v>
      </c>
      <c r="B998" s="1" t="n">
        <v>1917</v>
      </c>
      <c r="C998" s="1" t="n">
        <v>10</v>
      </c>
      <c r="D998" s="1" t="s">
        <v>51</v>
      </c>
      <c r="E998" s="1" t="s">
        <v>14</v>
      </c>
      <c r="F998" s="1" t="n">
        <v>19.66</v>
      </c>
      <c r="G998" s="1" t="n">
        <f aca="false">IF(E998=E997,F998/F997-1,"")</f>
        <v>0</v>
      </c>
    </row>
    <row r="999" customFormat="false" ht="14.25" hidden="false" customHeight="true" outlineLevel="0" collapsed="false">
      <c r="A999" s="26" t="n">
        <v>6515</v>
      </c>
      <c r="B999" s="1" t="n">
        <v>1917</v>
      </c>
      <c r="C999" s="1" t="n">
        <v>11</v>
      </c>
      <c r="D999" s="1" t="s">
        <v>52</v>
      </c>
      <c r="E999" s="1" t="s">
        <v>14</v>
      </c>
      <c r="F999" s="1" t="n">
        <v>19.66</v>
      </c>
      <c r="G999" s="1" t="n">
        <f aca="false">IF(E999=E998,F999/F998-1,"")</f>
        <v>0</v>
      </c>
    </row>
    <row r="1000" customFormat="false" ht="14.25" hidden="false" customHeight="true" outlineLevel="0" collapsed="false">
      <c r="A1000" s="26" t="n">
        <v>6545</v>
      </c>
      <c r="B1000" s="1" t="n">
        <v>1917</v>
      </c>
      <c r="C1000" s="1" t="n">
        <v>12</v>
      </c>
      <c r="D1000" s="1" t="s">
        <v>53</v>
      </c>
      <c r="E1000" s="1" t="s">
        <v>14</v>
      </c>
      <c r="F1000" s="1" t="n">
        <v>19.66</v>
      </c>
      <c r="G1000" s="1" t="n">
        <f aca="false">IF(E1000=E999,F1000/F999-1,"")</f>
        <v>0</v>
      </c>
    </row>
    <row r="1001" customFormat="false" ht="14.25" hidden="false" customHeight="true" outlineLevel="0" collapsed="false">
      <c r="A1001" s="26" t="n">
        <v>6576</v>
      </c>
      <c r="B1001" s="1" t="n">
        <v>1918</v>
      </c>
      <c r="C1001" s="1" t="n">
        <v>1</v>
      </c>
      <c r="D1001" s="1" t="s">
        <v>42</v>
      </c>
      <c r="E1001" s="1" t="s">
        <v>14</v>
      </c>
      <c r="F1001" s="1" t="n">
        <v>19.84</v>
      </c>
      <c r="G1001" s="1" t="n">
        <f aca="false">IF(E1001=E1000,F1001/F1000-1,"")</f>
        <v>0.00915564598168861</v>
      </c>
    </row>
    <row r="1002" customFormat="false" ht="14.25" hidden="false" customHeight="true" outlineLevel="0" collapsed="false">
      <c r="A1002" s="26" t="n">
        <v>6607</v>
      </c>
      <c r="B1002" s="1" t="n">
        <v>1918</v>
      </c>
      <c r="C1002" s="1" t="n">
        <v>2</v>
      </c>
      <c r="D1002" s="1" t="s">
        <v>43</v>
      </c>
      <c r="E1002" s="1" t="s">
        <v>14</v>
      </c>
      <c r="F1002" s="1" t="n">
        <v>19.84</v>
      </c>
      <c r="G1002" s="1" t="n">
        <f aca="false">IF(E1002=E1001,F1002/F1001-1,"")</f>
        <v>0</v>
      </c>
    </row>
    <row r="1003" customFormat="false" ht="14.25" hidden="false" customHeight="true" outlineLevel="0" collapsed="false">
      <c r="A1003" s="26" t="n">
        <v>6635</v>
      </c>
      <c r="B1003" s="1" t="n">
        <v>1918</v>
      </c>
      <c r="C1003" s="1" t="n">
        <v>3</v>
      </c>
      <c r="D1003" s="1" t="s">
        <v>44</v>
      </c>
      <c r="E1003" s="1" t="s">
        <v>14</v>
      </c>
      <c r="F1003" s="1" t="n">
        <v>19.84</v>
      </c>
      <c r="G1003" s="1" t="n">
        <f aca="false">IF(E1003=E1002,F1003/F1002-1,"")</f>
        <v>0</v>
      </c>
    </row>
    <row r="1004" customFormat="false" ht="14.25" hidden="false" customHeight="true" outlineLevel="0" collapsed="false">
      <c r="A1004" s="26" t="n">
        <v>6666</v>
      </c>
      <c r="B1004" s="1" t="n">
        <v>1918</v>
      </c>
      <c r="C1004" s="1" t="n">
        <v>4</v>
      </c>
      <c r="D1004" s="1" t="s">
        <v>45</v>
      </c>
      <c r="E1004" s="1" t="s">
        <v>14</v>
      </c>
      <c r="F1004" s="1" t="n">
        <v>19.84</v>
      </c>
      <c r="G1004" s="1" t="n">
        <f aca="false">IF(E1004=E1003,F1004/F1003-1,"")</f>
        <v>0</v>
      </c>
    </row>
    <row r="1005" customFormat="false" ht="14.25" hidden="false" customHeight="true" outlineLevel="0" collapsed="false">
      <c r="A1005" s="26" t="n">
        <v>6696</v>
      </c>
      <c r="B1005" s="1" t="n">
        <v>1918</v>
      </c>
      <c r="C1005" s="1" t="n">
        <v>5</v>
      </c>
      <c r="D1005" s="1" t="s">
        <v>46</v>
      </c>
      <c r="E1005" s="1" t="s">
        <v>14</v>
      </c>
      <c r="F1005" s="1" t="n">
        <v>19.84</v>
      </c>
      <c r="G1005" s="1" t="n">
        <f aca="false">IF(E1005=E1004,F1005/F1004-1,"")</f>
        <v>0</v>
      </c>
    </row>
    <row r="1006" customFormat="false" ht="14.25" hidden="false" customHeight="true" outlineLevel="0" collapsed="false">
      <c r="A1006" s="26" t="n">
        <v>6727</v>
      </c>
      <c r="B1006" s="1" t="n">
        <v>1918</v>
      </c>
      <c r="C1006" s="1" t="n">
        <v>6</v>
      </c>
      <c r="D1006" s="1" t="s">
        <v>47</v>
      </c>
      <c r="E1006" s="1" t="s">
        <v>14</v>
      </c>
      <c r="F1006" s="1" t="n">
        <v>19.84</v>
      </c>
      <c r="G1006" s="1" t="n">
        <f aca="false">IF(E1006=E1005,F1006/F1005-1,"")</f>
        <v>0</v>
      </c>
    </row>
    <row r="1007" customFormat="false" ht="14.25" hidden="false" customHeight="true" outlineLevel="0" collapsed="false">
      <c r="A1007" s="26" t="n">
        <v>6757</v>
      </c>
      <c r="B1007" s="1" t="n">
        <v>1918</v>
      </c>
      <c r="C1007" s="1" t="n">
        <v>7</v>
      </c>
      <c r="D1007" s="1" t="s">
        <v>48</v>
      </c>
      <c r="E1007" s="1" t="s">
        <v>14</v>
      </c>
      <c r="F1007" s="1" t="n">
        <v>19.84</v>
      </c>
      <c r="G1007" s="1" t="n">
        <f aca="false">IF(E1007=E1006,F1007/F1006-1,"")</f>
        <v>0</v>
      </c>
    </row>
    <row r="1008" customFormat="false" ht="14.25" hidden="false" customHeight="true" outlineLevel="0" collapsed="false">
      <c r="A1008" s="26" t="n">
        <v>6788</v>
      </c>
      <c r="B1008" s="1" t="n">
        <v>1918</v>
      </c>
      <c r="C1008" s="1" t="n">
        <v>8</v>
      </c>
      <c r="D1008" s="1" t="s">
        <v>49</v>
      </c>
      <c r="E1008" s="1" t="s">
        <v>14</v>
      </c>
      <c r="F1008" s="1" t="n">
        <v>19.84</v>
      </c>
      <c r="G1008" s="1" t="n">
        <f aca="false">IF(E1008=E1007,F1008/F1007-1,"")</f>
        <v>0</v>
      </c>
    </row>
    <row r="1009" customFormat="false" ht="14.25" hidden="false" customHeight="true" outlineLevel="0" collapsed="false">
      <c r="A1009" s="26" t="n">
        <v>6819</v>
      </c>
      <c r="B1009" s="1" t="n">
        <v>1918</v>
      </c>
      <c r="C1009" s="1" t="n">
        <v>9</v>
      </c>
      <c r="D1009" s="1" t="s">
        <v>50</v>
      </c>
      <c r="E1009" s="1" t="s">
        <v>14</v>
      </c>
      <c r="F1009" s="1" t="n">
        <v>19.84</v>
      </c>
      <c r="G1009" s="1" t="n">
        <f aca="false">IF(E1009=E1008,F1009/F1008-1,"")</f>
        <v>0</v>
      </c>
    </row>
    <row r="1010" customFormat="false" ht="14.25" hidden="false" customHeight="true" outlineLevel="0" collapsed="false">
      <c r="A1010" s="26" t="n">
        <v>6849</v>
      </c>
      <c r="B1010" s="1" t="n">
        <v>1918</v>
      </c>
      <c r="C1010" s="1" t="n">
        <v>10</v>
      </c>
      <c r="D1010" s="1" t="s">
        <v>51</v>
      </c>
      <c r="E1010" s="1" t="s">
        <v>14</v>
      </c>
      <c r="F1010" s="1" t="n">
        <v>19.84</v>
      </c>
      <c r="G1010" s="1" t="n">
        <f aca="false">IF(E1010=E1009,F1010/F1009-1,"")</f>
        <v>0</v>
      </c>
    </row>
    <row r="1011" customFormat="false" ht="14.25" hidden="false" customHeight="true" outlineLevel="0" collapsed="false">
      <c r="A1011" s="26" t="n">
        <v>6880</v>
      </c>
      <c r="B1011" s="1" t="n">
        <v>1918</v>
      </c>
      <c r="C1011" s="1" t="n">
        <v>11</v>
      </c>
      <c r="D1011" s="1" t="s">
        <v>52</v>
      </c>
      <c r="E1011" s="1" t="s">
        <v>14</v>
      </c>
      <c r="F1011" s="1" t="n">
        <v>19.84</v>
      </c>
      <c r="G1011" s="1" t="n">
        <f aca="false">IF(E1011=E1010,F1011/F1010-1,"")</f>
        <v>0</v>
      </c>
    </row>
    <row r="1012" customFormat="false" ht="14.25" hidden="false" customHeight="true" outlineLevel="0" collapsed="false">
      <c r="A1012" s="26" t="n">
        <v>6910</v>
      </c>
      <c r="B1012" s="1" t="n">
        <v>1918</v>
      </c>
      <c r="C1012" s="1" t="n">
        <v>12</v>
      </c>
      <c r="D1012" s="1" t="s">
        <v>53</v>
      </c>
      <c r="E1012" s="1" t="s">
        <v>14</v>
      </c>
      <c r="F1012" s="1" t="n">
        <v>19.84</v>
      </c>
      <c r="G1012" s="1" t="n">
        <f aca="false">IF(E1012=E1011,F1012/F1011-1,"")</f>
        <v>0</v>
      </c>
    </row>
    <row r="1013" customFormat="false" ht="14.25" hidden="false" customHeight="true" outlineLevel="0" collapsed="false">
      <c r="A1013" s="26" t="n">
        <v>6941</v>
      </c>
      <c r="B1013" s="1" t="n">
        <v>1919</v>
      </c>
      <c r="C1013" s="1" t="n">
        <v>1</v>
      </c>
      <c r="D1013" s="1" t="s">
        <v>42</v>
      </c>
      <c r="E1013" s="1" t="s">
        <v>14</v>
      </c>
      <c r="F1013" s="1" t="n">
        <v>20.03</v>
      </c>
      <c r="G1013" s="1" t="n">
        <f aca="false">IF(E1013=E1012,F1013/F1012-1,"")</f>
        <v>0.00957661290322598</v>
      </c>
    </row>
    <row r="1014" customFormat="false" ht="14.25" hidden="false" customHeight="true" outlineLevel="0" collapsed="false">
      <c r="A1014" s="26" t="n">
        <v>6972</v>
      </c>
      <c r="B1014" s="1" t="n">
        <v>1919</v>
      </c>
      <c r="C1014" s="1" t="n">
        <v>2</v>
      </c>
      <c r="D1014" s="1" t="s">
        <v>43</v>
      </c>
      <c r="E1014" s="1" t="s">
        <v>14</v>
      </c>
      <c r="F1014" s="1" t="n">
        <v>20.03</v>
      </c>
      <c r="G1014" s="1" t="n">
        <f aca="false">IF(E1014=E1013,F1014/F1013-1,"")</f>
        <v>0</v>
      </c>
    </row>
    <row r="1015" customFormat="false" ht="14.25" hidden="false" customHeight="true" outlineLevel="0" collapsed="false">
      <c r="A1015" s="26" t="n">
        <v>7000</v>
      </c>
      <c r="B1015" s="1" t="n">
        <v>1919</v>
      </c>
      <c r="C1015" s="1" t="n">
        <v>3</v>
      </c>
      <c r="D1015" s="1" t="s">
        <v>44</v>
      </c>
      <c r="E1015" s="1" t="s">
        <v>14</v>
      </c>
      <c r="F1015" s="1" t="n">
        <v>20.03</v>
      </c>
      <c r="G1015" s="1" t="n">
        <f aca="false">IF(E1015=E1014,F1015/F1014-1,"")</f>
        <v>0</v>
      </c>
    </row>
    <row r="1016" customFormat="false" ht="14.25" hidden="false" customHeight="true" outlineLevel="0" collapsed="false">
      <c r="A1016" s="26" t="n">
        <v>7031</v>
      </c>
      <c r="B1016" s="1" t="n">
        <v>1919</v>
      </c>
      <c r="C1016" s="1" t="n">
        <v>4</v>
      </c>
      <c r="D1016" s="1" t="s">
        <v>45</v>
      </c>
      <c r="E1016" s="1" t="s">
        <v>14</v>
      </c>
      <c r="F1016" s="1" t="n">
        <v>20.03</v>
      </c>
      <c r="G1016" s="1" t="n">
        <f aca="false">IF(E1016=E1015,F1016/F1015-1,"")</f>
        <v>0</v>
      </c>
    </row>
    <row r="1017" customFormat="false" ht="14.25" hidden="false" customHeight="true" outlineLevel="0" collapsed="false">
      <c r="A1017" s="26" t="n">
        <v>7061</v>
      </c>
      <c r="B1017" s="1" t="n">
        <v>1919</v>
      </c>
      <c r="C1017" s="1" t="n">
        <v>5</v>
      </c>
      <c r="D1017" s="1" t="s">
        <v>46</v>
      </c>
      <c r="E1017" s="1" t="s">
        <v>14</v>
      </c>
      <c r="F1017" s="1" t="n">
        <v>20.03</v>
      </c>
      <c r="G1017" s="1" t="n">
        <f aca="false">IF(E1017=E1016,F1017/F1016-1,"")</f>
        <v>0</v>
      </c>
    </row>
    <row r="1018" customFormat="false" ht="14.25" hidden="false" customHeight="true" outlineLevel="0" collapsed="false">
      <c r="A1018" s="26" t="n">
        <v>7092</v>
      </c>
      <c r="B1018" s="1" t="n">
        <v>1919</v>
      </c>
      <c r="C1018" s="1" t="n">
        <v>6</v>
      </c>
      <c r="D1018" s="1" t="s">
        <v>47</v>
      </c>
      <c r="E1018" s="1" t="s">
        <v>14</v>
      </c>
      <c r="F1018" s="1" t="n">
        <v>20.03</v>
      </c>
      <c r="G1018" s="1" t="n">
        <f aca="false">IF(E1018=E1017,F1018/F1017-1,"")</f>
        <v>0</v>
      </c>
    </row>
    <row r="1019" customFormat="false" ht="14.25" hidden="false" customHeight="true" outlineLevel="0" collapsed="false">
      <c r="A1019" s="26" t="n">
        <v>7122</v>
      </c>
      <c r="B1019" s="1" t="n">
        <v>1919</v>
      </c>
      <c r="C1019" s="1" t="n">
        <v>7</v>
      </c>
      <c r="D1019" s="1" t="s">
        <v>48</v>
      </c>
      <c r="E1019" s="1" t="s">
        <v>14</v>
      </c>
      <c r="F1019" s="1" t="n">
        <v>20.03</v>
      </c>
      <c r="G1019" s="1" t="n">
        <f aca="false">IF(E1019=E1018,F1019/F1018-1,"")</f>
        <v>0</v>
      </c>
    </row>
    <row r="1020" customFormat="false" ht="14.25" hidden="false" customHeight="true" outlineLevel="0" collapsed="false">
      <c r="A1020" s="26" t="n">
        <v>7153</v>
      </c>
      <c r="B1020" s="1" t="n">
        <v>1919</v>
      </c>
      <c r="C1020" s="1" t="n">
        <v>8</v>
      </c>
      <c r="D1020" s="1" t="s">
        <v>49</v>
      </c>
      <c r="E1020" s="1" t="s">
        <v>14</v>
      </c>
      <c r="F1020" s="1" t="n">
        <v>20.03</v>
      </c>
      <c r="G1020" s="1" t="n">
        <f aca="false">IF(E1020=E1019,F1020/F1019-1,"")</f>
        <v>0</v>
      </c>
    </row>
    <row r="1021" customFormat="false" ht="14.25" hidden="false" customHeight="true" outlineLevel="0" collapsed="false">
      <c r="A1021" s="26" t="n">
        <v>7184</v>
      </c>
      <c r="B1021" s="1" t="n">
        <v>1919</v>
      </c>
      <c r="C1021" s="1" t="n">
        <v>9</v>
      </c>
      <c r="D1021" s="1" t="s">
        <v>50</v>
      </c>
      <c r="E1021" s="1" t="s">
        <v>14</v>
      </c>
      <c r="F1021" s="1" t="n">
        <v>20.03</v>
      </c>
      <c r="G1021" s="1" t="n">
        <f aca="false">IF(E1021=E1020,F1021/F1020-1,"")</f>
        <v>0</v>
      </c>
    </row>
    <row r="1022" customFormat="false" ht="14.25" hidden="false" customHeight="true" outlineLevel="0" collapsed="false">
      <c r="A1022" s="26" t="n">
        <v>7214</v>
      </c>
      <c r="B1022" s="1" t="n">
        <v>1919</v>
      </c>
      <c r="C1022" s="1" t="n">
        <v>10</v>
      </c>
      <c r="D1022" s="1" t="s">
        <v>51</v>
      </c>
      <c r="E1022" s="1" t="s">
        <v>14</v>
      </c>
      <c r="F1022" s="1" t="n">
        <v>20.03</v>
      </c>
      <c r="G1022" s="1" t="n">
        <f aca="false">IF(E1022=E1021,F1022/F1021-1,"")</f>
        <v>0</v>
      </c>
    </row>
    <row r="1023" customFormat="false" ht="14.25" hidden="false" customHeight="true" outlineLevel="0" collapsed="false">
      <c r="A1023" s="26" t="n">
        <v>7245</v>
      </c>
      <c r="B1023" s="1" t="n">
        <v>1919</v>
      </c>
      <c r="C1023" s="1" t="n">
        <v>11</v>
      </c>
      <c r="D1023" s="1" t="s">
        <v>52</v>
      </c>
      <c r="E1023" s="1" t="s">
        <v>14</v>
      </c>
      <c r="F1023" s="1" t="n">
        <v>20.03</v>
      </c>
      <c r="G1023" s="1" t="n">
        <f aca="false">IF(E1023=E1022,F1023/F1022-1,"")</f>
        <v>0</v>
      </c>
    </row>
    <row r="1024" customFormat="false" ht="14.25" hidden="false" customHeight="true" outlineLevel="0" collapsed="false">
      <c r="A1024" s="26" t="n">
        <v>7275</v>
      </c>
      <c r="B1024" s="1" t="n">
        <v>1919</v>
      </c>
      <c r="C1024" s="1" t="n">
        <v>12</v>
      </c>
      <c r="D1024" s="1" t="s">
        <v>53</v>
      </c>
      <c r="E1024" s="1" t="s">
        <v>14</v>
      </c>
      <c r="F1024" s="1" t="n">
        <v>20.03</v>
      </c>
      <c r="G1024" s="1" t="n">
        <f aca="false">IF(E1024=E1023,F1024/F1023-1,"")</f>
        <v>0</v>
      </c>
    </row>
    <row r="1025" customFormat="false" ht="14.25" hidden="false" customHeight="true" outlineLevel="0" collapsed="false">
      <c r="A1025" s="26" t="n">
        <v>7306</v>
      </c>
      <c r="B1025" s="1" t="n">
        <v>1920</v>
      </c>
      <c r="C1025" s="1" t="n">
        <v>1</v>
      </c>
      <c r="D1025" s="1" t="s">
        <v>42</v>
      </c>
      <c r="E1025" s="1" t="s">
        <v>14</v>
      </c>
      <c r="F1025" s="1" t="n">
        <v>20.63</v>
      </c>
      <c r="G1025" s="1" t="n">
        <f aca="false">IF(E1025=E1024,F1025/F1024-1,"")</f>
        <v>0.0299550673989015</v>
      </c>
    </row>
    <row r="1026" customFormat="false" ht="14.25" hidden="false" customHeight="true" outlineLevel="0" collapsed="false">
      <c r="A1026" s="26" t="n">
        <v>7337</v>
      </c>
      <c r="B1026" s="1" t="n">
        <v>1920</v>
      </c>
      <c r="C1026" s="1" t="n">
        <v>2</v>
      </c>
      <c r="D1026" s="1" t="s">
        <v>43</v>
      </c>
      <c r="E1026" s="1" t="s">
        <v>14</v>
      </c>
      <c r="F1026" s="1" t="n">
        <v>20.63</v>
      </c>
      <c r="G1026" s="1" t="n">
        <f aca="false">IF(E1026=E1025,F1026/F1025-1,"")</f>
        <v>0</v>
      </c>
    </row>
    <row r="1027" customFormat="false" ht="14.25" hidden="false" customHeight="true" outlineLevel="0" collapsed="false">
      <c r="A1027" s="26" t="n">
        <v>7366</v>
      </c>
      <c r="B1027" s="1" t="n">
        <v>1920</v>
      </c>
      <c r="C1027" s="1" t="n">
        <v>3</v>
      </c>
      <c r="D1027" s="1" t="s">
        <v>44</v>
      </c>
      <c r="E1027" s="1" t="s">
        <v>14</v>
      </c>
      <c r="F1027" s="1" t="n">
        <v>20.63</v>
      </c>
      <c r="G1027" s="1" t="n">
        <f aca="false">IF(E1027=E1026,F1027/F1026-1,"")</f>
        <v>0</v>
      </c>
    </row>
    <row r="1028" customFormat="false" ht="14.25" hidden="false" customHeight="true" outlineLevel="0" collapsed="false">
      <c r="A1028" s="26" t="n">
        <v>7397</v>
      </c>
      <c r="B1028" s="1" t="n">
        <v>1920</v>
      </c>
      <c r="C1028" s="1" t="n">
        <v>4</v>
      </c>
      <c r="D1028" s="1" t="s">
        <v>45</v>
      </c>
      <c r="E1028" s="1" t="s">
        <v>14</v>
      </c>
      <c r="F1028" s="1" t="n">
        <v>20.63</v>
      </c>
      <c r="G1028" s="1" t="n">
        <f aca="false">IF(E1028=E1027,F1028/F1027-1,"")</f>
        <v>0</v>
      </c>
    </row>
    <row r="1029" customFormat="false" ht="14.25" hidden="false" customHeight="true" outlineLevel="0" collapsed="false">
      <c r="A1029" s="26" t="n">
        <v>7427</v>
      </c>
      <c r="B1029" s="1" t="n">
        <v>1920</v>
      </c>
      <c r="C1029" s="1" t="n">
        <v>5</v>
      </c>
      <c r="D1029" s="1" t="s">
        <v>46</v>
      </c>
      <c r="E1029" s="1" t="s">
        <v>14</v>
      </c>
      <c r="F1029" s="1" t="n">
        <v>20.63</v>
      </c>
      <c r="G1029" s="1" t="n">
        <f aca="false">IF(E1029=E1028,F1029/F1028-1,"")</f>
        <v>0</v>
      </c>
    </row>
    <row r="1030" customFormat="false" ht="14.25" hidden="false" customHeight="true" outlineLevel="0" collapsed="false">
      <c r="A1030" s="26" t="n">
        <v>7458</v>
      </c>
      <c r="B1030" s="1" t="n">
        <v>1920</v>
      </c>
      <c r="C1030" s="1" t="n">
        <v>6</v>
      </c>
      <c r="D1030" s="1" t="s">
        <v>47</v>
      </c>
      <c r="E1030" s="1" t="s">
        <v>14</v>
      </c>
      <c r="F1030" s="1" t="n">
        <v>20.63</v>
      </c>
      <c r="G1030" s="1" t="n">
        <f aca="false">IF(E1030=E1029,F1030/F1029-1,"")</f>
        <v>0</v>
      </c>
    </row>
    <row r="1031" customFormat="false" ht="14.25" hidden="false" customHeight="true" outlineLevel="0" collapsed="false">
      <c r="A1031" s="26" t="n">
        <v>7488</v>
      </c>
      <c r="B1031" s="1" t="n">
        <v>1920</v>
      </c>
      <c r="C1031" s="1" t="n">
        <v>7</v>
      </c>
      <c r="D1031" s="1" t="s">
        <v>48</v>
      </c>
      <c r="E1031" s="1" t="s">
        <v>14</v>
      </c>
      <c r="F1031" s="1" t="n">
        <v>20.63</v>
      </c>
      <c r="G1031" s="1" t="n">
        <f aca="false">IF(E1031=E1030,F1031/F1030-1,"")</f>
        <v>0</v>
      </c>
    </row>
    <row r="1032" customFormat="false" ht="14.25" hidden="false" customHeight="true" outlineLevel="0" collapsed="false">
      <c r="A1032" s="26" t="n">
        <v>7519</v>
      </c>
      <c r="B1032" s="1" t="n">
        <v>1920</v>
      </c>
      <c r="C1032" s="1" t="n">
        <v>8</v>
      </c>
      <c r="D1032" s="1" t="s">
        <v>49</v>
      </c>
      <c r="E1032" s="1" t="s">
        <v>14</v>
      </c>
      <c r="F1032" s="1" t="n">
        <v>20.63</v>
      </c>
      <c r="G1032" s="1" t="n">
        <f aca="false">IF(E1032=E1031,F1032/F1031-1,"")</f>
        <v>0</v>
      </c>
    </row>
    <row r="1033" customFormat="false" ht="14.25" hidden="false" customHeight="true" outlineLevel="0" collapsed="false">
      <c r="A1033" s="26" t="n">
        <v>7550</v>
      </c>
      <c r="B1033" s="1" t="n">
        <v>1920</v>
      </c>
      <c r="C1033" s="1" t="n">
        <v>9</v>
      </c>
      <c r="D1033" s="1" t="s">
        <v>50</v>
      </c>
      <c r="E1033" s="1" t="s">
        <v>14</v>
      </c>
      <c r="F1033" s="1" t="n">
        <v>20.63</v>
      </c>
      <c r="G1033" s="1" t="n">
        <f aca="false">IF(E1033=E1032,F1033/F1032-1,"")</f>
        <v>0</v>
      </c>
    </row>
    <row r="1034" customFormat="false" ht="14.25" hidden="false" customHeight="true" outlineLevel="0" collapsed="false">
      <c r="A1034" s="26" t="n">
        <v>7580</v>
      </c>
      <c r="B1034" s="1" t="n">
        <v>1920</v>
      </c>
      <c r="C1034" s="1" t="n">
        <v>10</v>
      </c>
      <c r="D1034" s="1" t="s">
        <v>51</v>
      </c>
      <c r="E1034" s="1" t="s">
        <v>14</v>
      </c>
      <c r="F1034" s="1" t="n">
        <v>20.63</v>
      </c>
      <c r="G1034" s="1" t="n">
        <f aca="false">IF(E1034=E1033,F1034/F1033-1,"")</f>
        <v>0</v>
      </c>
    </row>
    <row r="1035" customFormat="false" ht="14.25" hidden="false" customHeight="true" outlineLevel="0" collapsed="false">
      <c r="A1035" s="26" t="n">
        <v>7611</v>
      </c>
      <c r="B1035" s="1" t="n">
        <v>1920</v>
      </c>
      <c r="C1035" s="1" t="n">
        <v>11</v>
      </c>
      <c r="D1035" s="1" t="s">
        <v>52</v>
      </c>
      <c r="E1035" s="1" t="s">
        <v>14</v>
      </c>
      <c r="F1035" s="1" t="n">
        <v>20.63</v>
      </c>
      <c r="G1035" s="1" t="n">
        <f aca="false">IF(E1035=E1034,F1035/F1034-1,"")</f>
        <v>0</v>
      </c>
    </row>
    <row r="1036" customFormat="false" ht="14.25" hidden="false" customHeight="true" outlineLevel="0" collapsed="false">
      <c r="A1036" s="26" t="n">
        <v>7641</v>
      </c>
      <c r="B1036" s="1" t="n">
        <v>1920</v>
      </c>
      <c r="C1036" s="1" t="n">
        <v>12</v>
      </c>
      <c r="D1036" s="1" t="s">
        <v>53</v>
      </c>
      <c r="E1036" s="1" t="s">
        <v>14</v>
      </c>
      <c r="F1036" s="1" t="n">
        <v>20.63</v>
      </c>
      <c r="G1036" s="1" t="n">
        <f aca="false">IF(E1036=E1035,F1036/F1035-1,"")</f>
        <v>0</v>
      </c>
    </row>
    <row r="1037" customFormat="false" ht="14.25" hidden="false" customHeight="true" outlineLevel="0" collapsed="false">
      <c r="A1037" s="26" t="n">
        <v>7672</v>
      </c>
      <c r="B1037" s="1" t="n">
        <v>1921</v>
      </c>
      <c r="C1037" s="1" t="n">
        <v>1</v>
      </c>
      <c r="D1037" s="1" t="s">
        <v>42</v>
      </c>
      <c r="E1037" s="1" t="s">
        <v>14</v>
      </c>
      <c r="F1037" s="1" t="n">
        <v>20.69</v>
      </c>
      <c r="G1037" s="1" t="n">
        <f aca="false">IF(E1037=E1036,F1037/F1036-1,"")</f>
        <v>0.00290838584585562</v>
      </c>
    </row>
    <row r="1038" customFormat="false" ht="14.25" hidden="false" customHeight="true" outlineLevel="0" collapsed="false">
      <c r="A1038" s="26" t="n">
        <v>7703</v>
      </c>
      <c r="B1038" s="1" t="n">
        <v>1921</v>
      </c>
      <c r="C1038" s="1" t="n">
        <v>2</v>
      </c>
      <c r="D1038" s="1" t="s">
        <v>43</v>
      </c>
      <c r="E1038" s="1" t="s">
        <v>14</v>
      </c>
      <c r="F1038" s="1" t="n">
        <v>20.69</v>
      </c>
      <c r="G1038" s="1" t="n">
        <f aca="false">IF(E1038=E1037,F1038/F1037-1,"")</f>
        <v>0</v>
      </c>
    </row>
    <row r="1039" customFormat="false" ht="14.25" hidden="false" customHeight="true" outlineLevel="0" collapsed="false">
      <c r="A1039" s="26" t="n">
        <v>7731</v>
      </c>
      <c r="B1039" s="1" t="n">
        <v>1921</v>
      </c>
      <c r="C1039" s="1" t="n">
        <v>3</v>
      </c>
      <c r="D1039" s="1" t="s">
        <v>44</v>
      </c>
      <c r="E1039" s="1" t="s">
        <v>14</v>
      </c>
      <c r="F1039" s="1" t="n">
        <v>20.69</v>
      </c>
      <c r="G1039" s="1" t="n">
        <f aca="false">IF(E1039=E1038,F1039/F1038-1,"")</f>
        <v>0</v>
      </c>
    </row>
    <row r="1040" customFormat="false" ht="14.25" hidden="false" customHeight="true" outlineLevel="0" collapsed="false">
      <c r="A1040" s="26" t="n">
        <v>7762</v>
      </c>
      <c r="B1040" s="1" t="n">
        <v>1921</v>
      </c>
      <c r="C1040" s="1" t="n">
        <v>4</v>
      </c>
      <c r="D1040" s="1" t="s">
        <v>45</v>
      </c>
      <c r="E1040" s="1" t="s">
        <v>14</v>
      </c>
      <c r="F1040" s="1" t="n">
        <v>20.69</v>
      </c>
      <c r="G1040" s="1" t="n">
        <f aca="false">IF(E1040=E1039,F1040/F1039-1,"")</f>
        <v>0</v>
      </c>
    </row>
    <row r="1041" customFormat="false" ht="14.25" hidden="false" customHeight="true" outlineLevel="0" collapsed="false">
      <c r="A1041" s="26" t="n">
        <v>7792</v>
      </c>
      <c r="B1041" s="1" t="n">
        <v>1921</v>
      </c>
      <c r="C1041" s="1" t="n">
        <v>5</v>
      </c>
      <c r="D1041" s="1" t="s">
        <v>46</v>
      </c>
      <c r="E1041" s="1" t="s">
        <v>14</v>
      </c>
      <c r="F1041" s="1" t="n">
        <v>20.69</v>
      </c>
      <c r="G1041" s="1" t="n">
        <f aca="false">IF(E1041=E1040,F1041/F1040-1,"")</f>
        <v>0</v>
      </c>
    </row>
    <row r="1042" customFormat="false" ht="14.25" hidden="false" customHeight="true" outlineLevel="0" collapsed="false">
      <c r="A1042" s="26" t="n">
        <v>7823</v>
      </c>
      <c r="B1042" s="1" t="n">
        <v>1921</v>
      </c>
      <c r="C1042" s="1" t="n">
        <v>6</v>
      </c>
      <c r="D1042" s="1" t="s">
        <v>47</v>
      </c>
      <c r="E1042" s="1" t="s">
        <v>14</v>
      </c>
      <c r="F1042" s="1" t="n">
        <v>20.69</v>
      </c>
      <c r="G1042" s="1" t="n">
        <f aca="false">IF(E1042=E1041,F1042/F1041-1,"")</f>
        <v>0</v>
      </c>
    </row>
    <row r="1043" customFormat="false" ht="14.25" hidden="false" customHeight="true" outlineLevel="0" collapsed="false">
      <c r="A1043" s="26" t="n">
        <v>7853</v>
      </c>
      <c r="B1043" s="1" t="n">
        <v>1921</v>
      </c>
      <c r="C1043" s="1" t="n">
        <v>7</v>
      </c>
      <c r="D1043" s="1" t="s">
        <v>48</v>
      </c>
      <c r="E1043" s="1" t="s">
        <v>14</v>
      </c>
      <c r="F1043" s="1" t="n">
        <v>20.69</v>
      </c>
      <c r="G1043" s="1" t="n">
        <f aca="false">IF(E1043=E1042,F1043/F1042-1,"")</f>
        <v>0</v>
      </c>
    </row>
    <row r="1044" customFormat="false" ht="14.25" hidden="false" customHeight="true" outlineLevel="0" collapsed="false">
      <c r="A1044" s="26" t="n">
        <v>7884</v>
      </c>
      <c r="B1044" s="1" t="n">
        <v>1921</v>
      </c>
      <c r="C1044" s="1" t="n">
        <v>8</v>
      </c>
      <c r="D1044" s="1" t="s">
        <v>49</v>
      </c>
      <c r="E1044" s="1" t="s">
        <v>14</v>
      </c>
      <c r="F1044" s="1" t="n">
        <v>20.69</v>
      </c>
      <c r="G1044" s="1" t="n">
        <f aca="false">IF(E1044=E1043,F1044/F1043-1,"")</f>
        <v>0</v>
      </c>
    </row>
    <row r="1045" customFormat="false" ht="14.25" hidden="false" customHeight="true" outlineLevel="0" collapsed="false">
      <c r="A1045" s="26" t="n">
        <v>7915</v>
      </c>
      <c r="B1045" s="1" t="n">
        <v>1921</v>
      </c>
      <c r="C1045" s="1" t="n">
        <v>9</v>
      </c>
      <c r="D1045" s="1" t="s">
        <v>50</v>
      </c>
      <c r="E1045" s="1" t="s">
        <v>14</v>
      </c>
      <c r="F1045" s="1" t="n">
        <v>20.69</v>
      </c>
      <c r="G1045" s="1" t="n">
        <f aca="false">IF(E1045=E1044,F1045/F1044-1,"")</f>
        <v>0</v>
      </c>
    </row>
    <row r="1046" customFormat="false" ht="14.25" hidden="false" customHeight="true" outlineLevel="0" collapsed="false">
      <c r="A1046" s="26" t="n">
        <v>7945</v>
      </c>
      <c r="B1046" s="1" t="n">
        <v>1921</v>
      </c>
      <c r="C1046" s="1" t="n">
        <v>10</v>
      </c>
      <c r="D1046" s="1" t="s">
        <v>51</v>
      </c>
      <c r="E1046" s="1" t="s">
        <v>14</v>
      </c>
      <c r="F1046" s="1" t="n">
        <v>20.69</v>
      </c>
      <c r="G1046" s="1" t="n">
        <f aca="false">IF(E1046=E1045,F1046/F1045-1,"")</f>
        <v>0</v>
      </c>
    </row>
    <row r="1047" customFormat="false" ht="14.25" hidden="false" customHeight="true" outlineLevel="0" collapsed="false">
      <c r="A1047" s="26" t="n">
        <v>7976</v>
      </c>
      <c r="B1047" s="1" t="n">
        <v>1921</v>
      </c>
      <c r="C1047" s="1" t="n">
        <v>11</v>
      </c>
      <c r="D1047" s="1" t="s">
        <v>52</v>
      </c>
      <c r="E1047" s="1" t="s">
        <v>14</v>
      </c>
      <c r="F1047" s="1" t="n">
        <v>20.69</v>
      </c>
      <c r="G1047" s="1" t="n">
        <f aca="false">IF(E1047=E1046,F1047/F1046-1,"")</f>
        <v>0</v>
      </c>
    </row>
    <row r="1048" customFormat="false" ht="14.25" hidden="false" customHeight="true" outlineLevel="0" collapsed="false">
      <c r="A1048" s="26" t="n">
        <v>8006</v>
      </c>
      <c r="B1048" s="1" t="n">
        <v>1921</v>
      </c>
      <c r="C1048" s="1" t="n">
        <v>12</v>
      </c>
      <c r="D1048" s="1" t="s">
        <v>53</v>
      </c>
      <c r="E1048" s="1" t="s">
        <v>14</v>
      </c>
      <c r="F1048" s="1" t="n">
        <v>20.69</v>
      </c>
      <c r="G1048" s="1" t="n">
        <f aca="false">IF(E1048=E1047,F1048/F1047-1,"")</f>
        <v>0</v>
      </c>
    </row>
    <row r="1049" customFormat="false" ht="14.25" hidden="false" customHeight="true" outlineLevel="0" collapsed="false">
      <c r="A1049" s="26" t="n">
        <v>8037</v>
      </c>
      <c r="B1049" s="1" t="n">
        <v>1922</v>
      </c>
      <c r="C1049" s="1" t="n">
        <v>1</v>
      </c>
      <c r="D1049" s="1" t="s">
        <v>42</v>
      </c>
      <c r="E1049" s="1" t="s">
        <v>14</v>
      </c>
      <c r="F1049" s="1" t="n">
        <v>20.84</v>
      </c>
      <c r="G1049" s="1" t="n">
        <f aca="false">IF(E1049=E1048,F1049/F1048-1,"")</f>
        <v>0.00724987916868036</v>
      </c>
    </row>
    <row r="1050" customFormat="false" ht="14.25" hidden="false" customHeight="true" outlineLevel="0" collapsed="false">
      <c r="A1050" s="26" t="n">
        <v>8068</v>
      </c>
      <c r="B1050" s="1" t="n">
        <v>1922</v>
      </c>
      <c r="C1050" s="1" t="n">
        <v>2</v>
      </c>
      <c r="D1050" s="1" t="s">
        <v>43</v>
      </c>
      <c r="E1050" s="1" t="s">
        <v>14</v>
      </c>
      <c r="F1050" s="1" t="n">
        <v>20.84</v>
      </c>
      <c r="G1050" s="1" t="n">
        <f aca="false">IF(E1050=E1049,F1050/F1049-1,"")</f>
        <v>0</v>
      </c>
    </row>
    <row r="1051" customFormat="false" ht="14.25" hidden="false" customHeight="true" outlineLevel="0" collapsed="false">
      <c r="A1051" s="26" t="n">
        <v>8096</v>
      </c>
      <c r="B1051" s="1" t="n">
        <v>1922</v>
      </c>
      <c r="C1051" s="1" t="n">
        <v>3</v>
      </c>
      <c r="D1051" s="1" t="s">
        <v>44</v>
      </c>
      <c r="E1051" s="1" t="s">
        <v>14</v>
      </c>
      <c r="F1051" s="1" t="n">
        <v>20.84</v>
      </c>
      <c r="G1051" s="1" t="n">
        <f aca="false">IF(E1051=E1050,F1051/F1050-1,"")</f>
        <v>0</v>
      </c>
    </row>
    <row r="1052" customFormat="false" ht="14.25" hidden="false" customHeight="true" outlineLevel="0" collapsed="false">
      <c r="A1052" s="26" t="n">
        <v>8127</v>
      </c>
      <c r="B1052" s="1" t="n">
        <v>1922</v>
      </c>
      <c r="C1052" s="1" t="n">
        <v>4</v>
      </c>
      <c r="D1052" s="1" t="s">
        <v>45</v>
      </c>
      <c r="E1052" s="1" t="s">
        <v>14</v>
      </c>
      <c r="F1052" s="1" t="n">
        <v>20.84</v>
      </c>
      <c r="G1052" s="1" t="n">
        <f aca="false">IF(E1052=E1051,F1052/F1051-1,"")</f>
        <v>0</v>
      </c>
    </row>
    <row r="1053" customFormat="false" ht="14.25" hidden="false" customHeight="true" outlineLevel="0" collapsed="false">
      <c r="A1053" s="26" t="n">
        <v>8157</v>
      </c>
      <c r="B1053" s="1" t="n">
        <v>1922</v>
      </c>
      <c r="C1053" s="1" t="n">
        <v>5</v>
      </c>
      <c r="D1053" s="1" t="s">
        <v>46</v>
      </c>
      <c r="E1053" s="1" t="s">
        <v>14</v>
      </c>
      <c r="F1053" s="1" t="n">
        <v>20.84</v>
      </c>
      <c r="G1053" s="1" t="n">
        <f aca="false">IF(E1053=E1052,F1053/F1052-1,"")</f>
        <v>0</v>
      </c>
    </row>
    <row r="1054" customFormat="false" ht="14.25" hidden="false" customHeight="true" outlineLevel="0" collapsed="false">
      <c r="A1054" s="26" t="n">
        <v>8188</v>
      </c>
      <c r="B1054" s="1" t="n">
        <v>1922</v>
      </c>
      <c r="C1054" s="1" t="n">
        <v>6</v>
      </c>
      <c r="D1054" s="1" t="s">
        <v>47</v>
      </c>
      <c r="E1054" s="1" t="s">
        <v>14</v>
      </c>
      <c r="F1054" s="1" t="n">
        <v>20.84</v>
      </c>
      <c r="G1054" s="1" t="n">
        <f aca="false">IF(E1054=E1053,F1054/F1053-1,"")</f>
        <v>0</v>
      </c>
    </row>
    <row r="1055" customFormat="false" ht="14.25" hidden="false" customHeight="true" outlineLevel="0" collapsed="false">
      <c r="A1055" s="26" t="n">
        <v>8218</v>
      </c>
      <c r="B1055" s="1" t="n">
        <v>1922</v>
      </c>
      <c r="C1055" s="1" t="n">
        <v>7</v>
      </c>
      <c r="D1055" s="1" t="s">
        <v>48</v>
      </c>
      <c r="E1055" s="1" t="s">
        <v>14</v>
      </c>
      <c r="F1055" s="1" t="n">
        <v>20.84</v>
      </c>
      <c r="G1055" s="1" t="n">
        <f aca="false">IF(E1055=E1054,F1055/F1054-1,"")</f>
        <v>0</v>
      </c>
    </row>
    <row r="1056" customFormat="false" ht="14.25" hidden="false" customHeight="true" outlineLevel="0" collapsed="false">
      <c r="A1056" s="26" t="n">
        <v>8249</v>
      </c>
      <c r="B1056" s="1" t="n">
        <v>1922</v>
      </c>
      <c r="C1056" s="1" t="n">
        <v>8</v>
      </c>
      <c r="D1056" s="1" t="s">
        <v>49</v>
      </c>
      <c r="E1056" s="1" t="s">
        <v>14</v>
      </c>
      <c r="F1056" s="1" t="n">
        <v>20.84</v>
      </c>
      <c r="G1056" s="1" t="n">
        <f aca="false">IF(E1056=E1055,F1056/F1055-1,"")</f>
        <v>0</v>
      </c>
    </row>
    <row r="1057" customFormat="false" ht="14.25" hidden="false" customHeight="true" outlineLevel="0" collapsed="false">
      <c r="A1057" s="26" t="n">
        <v>8280</v>
      </c>
      <c r="B1057" s="1" t="n">
        <v>1922</v>
      </c>
      <c r="C1057" s="1" t="n">
        <v>9</v>
      </c>
      <c r="D1057" s="1" t="s">
        <v>50</v>
      </c>
      <c r="E1057" s="1" t="s">
        <v>14</v>
      </c>
      <c r="F1057" s="1" t="n">
        <v>20.84</v>
      </c>
      <c r="G1057" s="1" t="n">
        <f aca="false">IF(E1057=E1056,F1057/F1056-1,"")</f>
        <v>0</v>
      </c>
    </row>
    <row r="1058" customFormat="false" ht="14.25" hidden="false" customHeight="true" outlineLevel="0" collapsed="false">
      <c r="A1058" s="26" t="n">
        <v>8310</v>
      </c>
      <c r="B1058" s="1" t="n">
        <v>1922</v>
      </c>
      <c r="C1058" s="1" t="n">
        <v>10</v>
      </c>
      <c r="D1058" s="1" t="s">
        <v>51</v>
      </c>
      <c r="E1058" s="1" t="s">
        <v>14</v>
      </c>
      <c r="F1058" s="1" t="n">
        <v>20.84</v>
      </c>
      <c r="G1058" s="1" t="n">
        <f aca="false">IF(E1058=E1057,F1058/F1057-1,"")</f>
        <v>0</v>
      </c>
    </row>
    <row r="1059" customFormat="false" ht="14.25" hidden="false" customHeight="true" outlineLevel="0" collapsed="false">
      <c r="A1059" s="26" t="n">
        <v>8341</v>
      </c>
      <c r="B1059" s="1" t="n">
        <v>1922</v>
      </c>
      <c r="C1059" s="1" t="n">
        <v>11</v>
      </c>
      <c r="D1059" s="1" t="s">
        <v>52</v>
      </c>
      <c r="E1059" s="1" t="s">
        <v>14</v>
      </c>
      <c r="F1059" s="1" t="n">
        <v>20.84</v>
      </c>
      <c r="G1059" s="1" t="n">
        <f aca="false">IF(E1059=E1058,F1059/F1058-1,"")</f>
        <v>0</v>
      </c>
    </row>
    <row r="1060" customFormat="false" ht="14.25" hidden="false" customHeight="true" outlineLevel="0" collapsed="false">
      <c r="A1060" s="26" t="n">
        <v>8371</v>
      </c>
      <c r="B1060" s="1" t="n">
        <v>1922</v>
      </c>
      <c r="C1060" s="1" t="n">
        <v>12</v>
      </c>
      <c r="D1060" s="1" t="s">
        <v>53</v>
      </c>
      <c r="E1060" s="1" t="s">
        <v>14</v>
      </c>
      <c r="F1060" s="1" t="n">
        <v>20.84</v>
      </c>
      <c r="G1060" s="1" t="n">
        <f aca="false">IF(E1060=E1059,F1060/F1059-1,"")</f>
        <v>0</v>
      </c>
    </row>
    <row r="1061" customFormat="false" ht="14.25" hidden="false" customHeight="true" outlineLevel="0" collapsed="false">
      <c r="A1061" s="26" t="n">
        <v>8402</v>
      </c>
      <c r="B1061" s="1" t="n">
        <v>1923</v>
      </c>
      <c r="C1061" s="1" t="n">
        <v>1</v>
      </c>
      <c r="D1061" s="1" t="s">
        <v>42</v>
      </c>
      <c r="E1061" s="1" t="s">
        <v>14</v>
      </c>
      <c r="F1061" s="1" t="n">
        <v>20.75</v>
      </c>
      <c r="G1061" s="1" t="n">
        <f aca="false">IF(E1061=E1060,F1061/F1060-1,"")</f>
        <v>-0.00431861804222644</v>
      </c>
    </row>
    <row r="1062" customFormat="false" ht="14.25" hidden="false" customHeight="true" outlineLevel="0" collapsed="false">
      <c r="A1062" s="26" t="n">
        <v>8433</v>
      </c>
      <c r="B1062" s="1" t="n">
        <v>1923</v>
      </c>
      <c r="C1062" s="1" t="n">
        <v>2</v>
      </c>
      <c r="D1062" s="1" t="s">
        <v>43</v>
      </c>
      <c r="E1062" s="1" t="s">
        <v>14</v>
      </c>
      <c r="F1062" s="1" t="n">
        <v>20.75</v>
      </c>
      <c r="G1062" s="1" t="n">
        <f aca="false">IF(E1062=E1061,F1062/F1061-1,"")</f>
        <v>0</v>
      </c>
    </row>
    <row r="1063" customFormat="false" ht="14.25" hidden="false" customHeight="true" outlineLevel="0" collapsed="false">
      <c r="A1063" s="26" t="n">
        <v>8461</v>
      </c>
      <c r="B1063" s="1" t="n">
        <v>1923</v>
      </c>
      <c r="C1063" s="1" t="n">
        <v>3</v>
      </c>
      <c r="D1063" s="1" t="s">
        <v>44</v>
      </c>
      <c r="E1063" s="1" t="s">
        <v>14</v>
      </c>
      <c r="F1063" s="1" t="n">
        <v>20.75</v>
      </c>
      <c r="G1063" s="1" t="n">
        <f aca="false">IF(E1063=E1062,F1063/F1062-1,"")</f>
        <v>0</v>
      </c>
    </row>
    <row r="1064" customFormat="false" ht="14.25" hidden="false" customHeight="true" outlineLevel="0" collapsed="false">
      <c r="A1064" s="26" t="n">
        <v>8492</v>
      </c>
      <c r="B1064" s="1" t="n">
        <v>1923</v>
      </c>
      <c r="C1064" s="1" t="n">
        <v>4</v>
      </c>
      <c r="D1064" s="1" t="s">
        <v>45</v>
      </c>
      <c r="E1064" s="1" t="s">
        <v>14</v>
      </c>
      <c r="F1064" s="1" t="n">
        <v>20.75</v>
      </c>
      <c r="G1064" s="1" t="n">
        <f aca="false">IF(E1064=E1063,F1064/F1063-1,"")</f>
        <v>0</v>
      </c>
    </row>
    <row r="1065" customFormat="false" ht="14.25" hidden="false" customHeight="true" outlineLevel="0" collapsed="false">
      <c r="A1065" s="26" t="n">
        <v>8522</v>
      </c>
      <c r="B1065" s="1" t="n">
        <v>1923</v>
      </c>
      <c r="C1065" s="1" t="n">
        <v>5</v>
      </c>
      <c r="D1065" s="1" t="s">
        <v>46</v>
      </c>
      <c r="E1065" s="1" t="s">
        <v>14</v>
      </c>
      <c r="F1065" s="1" t="n">
        <v>20.75</v>
      </c>
      <c r="G1065" s="1" t="n">
        <f aca="false">IF(E1065=E1064,F1065/F1064-1,"")</f>
        <v>0</v>
      </c>
    </row>
    <row r="1066" customFormat="false" ht="14.25" hidden="false" customHeight="true" outlineLevel="0" collapsed="false">
      <c r="A1066" s="26" t="n">
        <v>8553</v>
      </c>
      <c r="B1066" s="1" t="n">
        <v>1923</v>
      </c>
      <c r="C1066" s="1" t="n">
        <v>6</v>
      </c>
      <c r="D1066" s="1" t="s">
        <v>47</v>
      </c>
      <c r="E1066" s="1" t="s">
        <v>14</v>
      </c>
      <c r="F1066" s="1" t="n">
        <v>20.75</v>
      </c>
      <c r="G1066" s="1" t="n">
        <f aca="false">IF(E1066=E1065,F1066/F1065-1,"")</f>
        <v>0</v>
      </c>
    </row>
    <row r="1067" customFormat="false" ht="14.25" hidden="false" customHeight="true" outlineLevel="0" collapsed="false">
      <c r="A1067" s="26" t="n">
        <v>8583</v>
      </c>
      <c r="B1067" s="1" t="n">
        <v>1923</v>
      </c>
      <c r="C1067" s="1" t="n">
        <v>7</v>
      </c>
      <c r="D1067" s="1" t="s">
        <v>48</v>
      </c>
      <c r="E1067" s="1" t="s">
        <v>14</v>
      </c>
      <c r="F1067" s="1" t="n">
        <v>20.75</v>
      </c>
      <c r="G1067" s="1" t="n">
        <f aca="false">IF(E1067=E1066,F1067/F1066-1,"")</f>
        <v>0</v>
      </c>
    </row>
    <row r="1068" customFormat="false" ht="14.25" hidden="false" customHeight="true" outlineLevel="0" collapsed="false">
      <c r="A1068" s="26" t="n">
        <v>8614</v>
      </c>
      <c r="B1068" s="1" t="n">
        <v>1923</v>
      </c>
      <c r="C1068" s="1" t="n">
        <v>8</v>
      </c>
      <c r="D1068" s="1" t="s">
        <v>49</v>
      </c>
      <c r="E1068" s="1" t="s">
        <v>14</v>
      </c>
      <c r="F1068" s="1" t="n">
        <v>20.75</v>
      </c>
      <c r="G1068" s="1" t="n">
        <f aca="false">IF(E1068=E1067,F1068/F1067-1,"")</f>
        <v>0</v>
      </c>
    </row>
    <row r="1069" customFormat="false" ht="14.25" hidden="false" customHeight="true" outlineLevel="0" collapsed="false">
      <c r="A1069" s="26" t="n">
        <v>8645</v>
      </c>
      <c r="B1069" s="1" t="n">
        <v>1923</v>
      </c>
      <c r="C1069" s="1" t="n">
        <v>9</v>
      </c>
      <c r="D1069" s="1" t="s">
        <v>50</v>
      </c>
      <c r="E1069" s="1" t="s">
        <v>14</v>
      </c>
      <c r="F1069" s="1" t="n">
        <v>20.75</v>
      </c>
      <c r="G1069" s="1" t="n">
        <f aca="false">IF(E1069=E1068,F1069/F1068-1,"")</f>
        <v>0</v>
      </c>
    </row>
    <row r="1070" customFormat="false" ht="14.25" hidden="false" customHeight="true" outlineLevel="0" collapsed="false">
      <c r="A1070" s="26" t="n">
        <v>8675</v>
      </c>
      <c r="B1070" s="1" t="n">
        <v>1923</v>
      </c>
      <c r="C1070" s="1" t="n">
        <v>10</v>
      </c>
      <c r="D1070" s="1" t="s">
        <v>51</v>
      </c>
      <c r="E1070" s="1" t="s">
        <v>14</v>
      </c>
      <c r="F1070" s="1" t="n">
        <v>20.75</v>
      </c>
      <c r="G1070" s="1" t="n">
        <f aca="false">IF(E1070=E1069,F1070/F1069-1,"")</f>
        <v>0</v>
      </c>
    </row>
    <row r="1071" customFormat="false" ht="14.25" hidden="false" customHeight="true" outlineLevel="0" collapsed="false">
      <c r="A1071" s="26" t="n">
        <v>8706</v>
      </c>
      <c r="B1071" s="1" t="n">
        <v>1923</v>
      </c>
      <c r="C1071" s="1" t="n">
        <v>11</v>
      </c>
      <c r="D1071" s="1" t="s">
        <v>52</v>
      </c>
      <c r="E1071" s="1" t="s">
        <v>14</v>
      </c>
      <c r="F1071" s="1" t="n">
        <v>20.75</v>
      </c>
      <c r="G1071" s="1" t="n">
        <f aca="false">IF(E1071=E1070,F1071/F1070-1,"")</f>
        <v>0</v>
      </c>
    </row>
    <row r="1072" customFormat="false" ht="14.25" hidden="false" customHeight="true" outlineLevel="0" collapsed="false">
      <c r="A1072" s="26" t="n">
        <v>8736</v>
      </c>
      <c r="B1072" s="1" t="n">
        <v>1923</v>
      </c>
      <c r="C1072" s="1" t="n">
        <v>12</v>
      </c>
      <c r="D1072" s="1" t="s">
        <v>53</v>
      </c>
      <c r="E1072" s="1" t="s">
        <v>14</v>
      </c>
      <c r="F1072" s="1" t="n">
        <v>20.75</v>
      </c>
      <c r="G1072" s="1" t="n">
        <f aca="false">IF(E1072=E1071,F1072/F1071-1,"")</f>
        <v>0</v>
      </c>
    </row>
    <row r="1073" customFormat="false" ht="14.25" hidden="false" customHeight="true" outlineLevel="0" collapsed="false">
      <c r="A1073" s="26" t="n">
        <v>8767</v>
      </c>
      <c r="B1073" s="1" t="n">
        <v>1924</v>
      </c>
      <c r="C1073" s="1" t="n">
        <v>1</v>
      </c>
      <c r="D1073" s="1" t="s">
        <v>42</v>
      </c>
      <c r="E1073" s="1" t="s">
        <v>14</v>
      </c>
      <c r="F1073" s="1" t="n">
        <v>20.78</v>
      </c>
      <c r="G1073" s="1" t="n">
        <f aca="false">IF(E1073=E1072,F1073/F1072-1,"")</f>
        <v>0.00144578313253008</v>
      </c>
    </row>
    <row r="1074" customFormat="false" ht="14.25" hidden="false" customHeight="true" outlineLevel="0" collapsed="false">
      <c r="A1074" s="26" t="n">
        <v>8798</v>
      </c>
      <c r="B1074" s="1" t="n">
        <v>1924</v>
      </c>
      <c r="C1074" s="1" t="n">
        <v>2</v>
      </c>
      <c r="D1074" s="1" t="s">
        <v>43</v>
      </c>
      <c r="E1074" s="1" t="s">
        <v>14</v>
      </c>
      <c r="F1074" s="1" t="n">
        <v>20.78</v>
      </c>
      <c r="G1074" s="1" t="n">
        <f aca="false">IF(E1074=E1073,F1074/F1073-1,"")</f>
        <v>0</v>
      </c>
    </row>
    <row r="1075" customFormat="false" ht="14.25" hidden="false" customHeight="true" outlineLevel="0" collapsed="false">
      <c r="A1075" s="26" t="n">
        <v>8827</v>
      </c>
      <c r="B1075" s="1" t="n">
        <v>1924</v>
      </c>
      <c r="C1075" s="1" t="n">
        <v>3</v>
      </c>
      <c r="D1075" s="1" t="s">
        <v>44</v>
      </c>
      <c r="E1075" s="1" t="s">
        <v>14</v>
      </c>
      <c r="F1075" s="1" t="n">
        <v>20.78</v>
      </c>
      <c r="G1075" s="1" t="n">
        <f aca="false">IF(E1075=E1074,F1075/F1074-1,"")</f>
        <v>0</v>
      </c>
    </row>
    <row r="1076" customFormat="false" ht="14.25" hidden="false" customHeight="true" outlineLevel="0" collapsed="false">
      <c r="A1076" s="26" t="n">
        <v>8858</v>
      </c>
      <c r="B1076" s="1" t="n">
        <v>1924</v>
      </c>
      <c r="C1076" s="1" t="n">
        <v>4</v>
      </c>
      <c r="D1076" s="1" t="s">
        <v>45</v>
      </c>
      <c r="E1076" s="1" t="s">
        <v>14</v>
      </c>
      <c r="F1076" s="1" t="n">
        <v>20.78</v>
      </c>
      <c r="G1076" s="1" t="n">
        <f aca="false">IF(E1076=E1075,F1076/F1075-1,"")</f>
        <v>0</v>
      </c>
    </row>
    <row r="1077" customFormat="false" ht="14.25" hidden="false" customHeight="true" outlineLevel="0" collapsed="false">
      <c r="A1077" s="26" t="n">
        <v>8888</v>
      </c>
      <c r="B1077" s="1" t="n">
        <v>1924</v>
      </c>
      <c r="C1077" s="1" t="n">
        <v>5</v>
      </c>
      <c r="D1077" s="1" t="s">
        <v>46</v>
      </c>
      <c r="E1077" s="1" t="s">
        <v>14</v>
      </c>
      <c r="F1077" s="1" t="n">
        <v>20.78</v>
      </c>
      <c r="G1077" s="1" t="n">
        <f aca="false">IF(E1077=E1076,F1077/F1076-1,"")</f>
        <v>0</v>
      </c>
    </row>
    <row r="1078" customFormat="false" ht="14.25" hidden="false" customHeight="true" outlineLevel="0" collapsed="false">
      <c r="A1078" s="26" t="n">
        <v>8919</v>
      </c>
      <c r="B1078" s="1" t="n">
        <v>1924</v>
      </c>
      <c r="C1078" s="1" t="n">
        <v>6</v>
      </c>
      <c r="D1078" s="1" t="s">
        <v>47</v>
      </c>
      <c r="E1078" s="1" t="s">
        <v>14</v>
      </c>
      <c r="F1078" s="1" t="n">
        <v>20.78</v>
      </c>
      <c r="G1078" s="1" t="n">
        <f aca="false">IF(E1078=E1077,F1078/F1077-1,"")</f>
        <v>0</v>
      </c>
    </row>
    <row r="1079" customFormat="false" ht="14.25" hidden="false" customHeight="true" outlineLevel="0" collapsed="false">
      <c r="A1079" s="26" t="n">
        <v>8949</v>
      </c>
      <c r="B1079" s="1" t="n">
        <v>1924</v>
      </c>
      <c r="C1079" s="1" t="n">
        <v>7</v>
      </c>
      <c r="D1079" s="1" t="s">
        <v>48</v>
      </c>
      <c r="E1079" s="1" t="s">
        <v>14</v>
      </c>
      <c r="F1079" s="1" t="n">
        <v>20.78</v>
      </c>
      <c r="G1079" s="1" t="n">
        <f aca="false">IF(E1079=E1078,F1079/F1078-1,"")</f>
        <v>0</v>
      </c>
    </row>
    <row r="1080" customFormat="false" ht="14.25" hidden="false" customHeight="true" outlineLevel="0" collapsed="false">
      <c r="A1080" s="26" t="n">
        <v>8980</v>
      </c>
      <c r="B1080" s="1" t="n">
        <v>1924</v>
      </c>
      <c r="C1080" s="1" t="n">
        <v>8</v>
      </c>
      <c r="D1080" s="1" t="s">
        <v>49</v>
      </c>
      <c r="E1080" s="1" t="s">
        <v>14</v>
      </c>
      <c r="F1080" s="1" t="n">
        <v>20.78</v>
      </c>
      <c r="G1080" s="1" t="n">
        <f aca="false">IF(E1080=E1079,F1080/F1079-1,"")</f>
        <v>0</v>
      </c>
    </row>
    <row r="1081" customFormat="false" ht="14.25" hidden="false" customHeight="true" outlineLevel="0" collapsed="false">
      <c r="A1081" s="26" t="n">
        <v>9011</v>
      </c>
      <c r="B1081" s="1" t="n">
        <v>1924</v>
      </c>
      <c r="C1081" s="1" t="n">
        <v>9</v>
      </c>
      <c r="D1081" s="1" t="s">
        <v>50</v>
      </c>
      <c r="E1081" s="1" t="s">
        <v>14</v>
      </c>
      <c r="F1081" s="1" t="n">
        <v>20.78</v>
      </c>
      <c r="G1081" s="1" t="n">
        <f aca="false">IF(E1081=E1080,F1081/F1080-1,"")</f>
        <v>0</v>
      </c>
    </row>
    <row r="1082" customFormat="false" ht="14.25" hidden="false" customHeight="true" outlineLevel="0" collapsed="false">
      <c r="A1082" s="26" t="n">
        <v>9041</v>
      </c>
      <c r="B1082" s="1" t="n">
        <v>1924</v>
      </c>
      <c r="C1082" s="1" t="n">
        <v>10</v>
      </c>
      <c r="D1082" s="1" t="s">
        <v>51</v>
      </c>
      <c r="E1082" s="1" t="s">
        <v>14</v>
      </c>
      <c r="F1082" s="1" t="n">
        <v>20.78</v>
      </c>
      <c r="G1082" s="1" t="n">
        <f aca="false">IF(E1082=E1081,F1082/F1081-1,"")</f>
        <v>0</v>
      </c>
    </row>
    <row r="1083" customFormat="false" ht="14.25" hidden="false" customHeight="true" outlineLevel="0" collapsed="false">
      <c r="A1083" s="26" t="n">
        <v>9072</v>
      </c>
      <c r="B1083" s="1" t="n">
        <v>1924</v>
      </c>
      <c r="C1083" s="1" t="n">
        <v>11</v>
      </c>
      <c r="D1083" s="1" t="s">
        <v>52</v>
      </c>
      <c r="E1083" s="1" t="s">
        <v>14</v>
      </c>
      <c r="F1083" s="1" t="n">
        <v>20.78</v>
      </c>
      <c r="G1083" s="1" t="n">
        <f aca="false">IF(E1083=E1082,F1083/F1082-1,"")</f>
        <v>0</v>
      </c>
    </row>
    <row r="1084" customFormat="false" ht="14.25" hidden="false" customHeight="true" outlineLevel="0" collapsed="false">
      <c r="A1084" s="26" t="n">
        <v>9102</v>
      </c>
      <c r="B1084" s="1" t="n">
        <v>1924</v>
      </c>
      <c r="C1084" s="1" t="n">
        <v>12</v>
      </c>
      <c r="D1084" s="1" t="s">
        <v>53</v>
      </c>
      <c r="E1084" s="1" t="s">
        <v>14</v>
      </c>
      <c r="F1084" s="1" t="n">
        <v>20.78</v>
      </c>
      <c r="G1084" s="1" t="n">
        <f aca="false">IF(E1084=E1083,F1084/F1083-1,"")</f>
        <v>0</v>
      </c>
    </row>
    <row r="1085" customFormat="false" ht="14.25" hidden="false" customHeight="true" outlineLevel="0" collapsed="false">
      <c r="A1085" s="26" t="n">
        <v>9133</v>
      </c>
      <c r="B1085" s="1" t="n">
        <v>1925</v>
      </c>
      <c r="C1085" s="1" t="n">
        <v>1</v>
      </c>
      <c r="D1085" s="1" t="s">
        <v>42</v>
      </c>
      <c r="E1085" s="1" t="s">
        <v>14</v>
      </c>
      <c r="F1085" s="1" t="n">
        <v>20.75</v>
      </c>
      <c r="G1085" s="1" t="n">
        <f aca="false">IF(E1085=E1084,F1085/F1084-1,"")</f>
        <v>-0.00144369586140525</v>
      </c>
    </row>
    <row r="1086" customFormat="false" ht="14.25" hidden="false" customHeight="true" outlineLevel="0" collapsed="false">
      <c r="A1086" s="26" t="n">
        <v>9164</v>
      </c>
      <c r="B1086" s="1" t="n">
        <v>1925</v>
      </c>
      <c r="C1086" s="1" t="n">
        <v>2</v>
      </c>
      <c r="D1086" s="1" t="s">
        <v>43</v>
      </c>
      <c r="E1086" s="1" t="s">
        <v>14</v>
      </c>
      <c r="F1086" s="1" t="n">
        <v>20.75</v>
      </c>
      <c r="G1086" s="1" t="n">
        <f aca="false">IF(E1086=E1085,F1086/F1085-1,"")</f>
        <v>0</v>
      </c>
    </row>
    <row r="1087" customFormat="false" ht="14.25" hidden="false" customHeight="true" outlineLevel="0" collapsed="false">
      <c r="A1087" s="26" t="n">
        <v>9192</v>
      </c>
      <c r="B1087" s="1" t="n">
        <v>1925</v>
      </c>
      <c r="C1087" s="1" t="n">
        <v>3</v>
      </c>
      <c r="D1087" s="1" t="s">
        <v>44</v>
      </c>
      <c r="E1087" s="1" t="s">
        <v>14</v>
      </c>
      <c r="F1087" s="1" t="n">
        <v>20.75</v>
      </c>
      <c r="G1087" s="1" t="n">
        <f aca="false">IF(E1087=E1086,F1087/F1086-1,"")</f>
        <v>0</v>
      </c>
    </row>
    <row r="1088" customFormat="false" ht="14.25" hidden="false" customHeight="true" outlineLevel="0" collapsed="false">
      <c r="A1088" s="26" t="n">
        <v>9223</v>
      </c>
      <c r="B1088" s="1" t="n">
        <v>1925</v>
      </c>
      <c r="C1088" s="1" t="n">
        <v>4</v>
      </c>
      <c r="D1088" s="1" t="s">
        <v>45</v>
      </c>
      <c r="E1088" s="1" t="s">
        <v>14</v>
      </c>
      <c r="F1088" s="1" t="n">
        <v>20.75</v>
      </c>
      <c r="G1088" s="1" t="n">
        <f aca="false">IF(E1088=E1087,F1088/F1087-1,"")</f>
        <v>0</v>
      </c>
    </row>
    <row r="1089" customFormat="false" ht="14.25" hidden="false" customHeight="true" outlineLevel="0" collapsed="false">
      <c r="A1089" s="26" t="n">
        <v>9253</v>
      </c>
      <c r="B1089" s="1" t="n">
        <v>1925</v>
      </c>
      <c r="C1089" s="1" t="n">
        <v>5</v>
      </c>
      <c r="D1089" s="1" t="s">
        <v>46</v>
      </c>
      <c r="E1089" s="1" t="s">
        <v>14</v>
      </c>
      <c r="F1089" s="1" t="n">
        <v>20.75</v>
      </c>
      <c r="G1089" s="1" t="n">
        <f aca="false">IF(E1089=E1088,F1089/F1088-1,"")</f>
        <v>0</v>
      </c>
    </row>
    <row r="1090" customFormat="false" ht="14.25" hidden="false" customHeight="true" outlineLevel="0" collapsed="false">
      <c r="A1090" s="26" t="n">
        <v>9284</v>
      </c>
      <c r="B1090" s="1" t="n">
        <v>1925</v>
      </c>
      <c r="C1090" s="1" t="n">
        <v>6</v>
      </c>
      <c r="D1090" s="1" t="s">
        <v>47</v>
      </c>
      <c r="E1090" s="1" t="s">
        <v>14</v>
      </c>
      <c r="F1090" s="1" t="n">
        <v>20.75</v>
      </c>
      <c r="G1090" s="1" t="n">
        <f aca="false">IF(E1090=E1089,F1090/F1089-1,"")</f>
        <v>0</v>
      </c>
    </row>
    <row r="1091" customFormat="false" ht="14.25" hidden="false" customHeight="true" outlineLevel="0" collapsed="false">
      <c r="A1091" s="26" t="n">
        <v>9314</v>
      </c>
      <c r="B1091" s="1" t="n">
        <v>1925</v>
      </c>
      <c r="C1091" s="1" t="n">
        <v>7</v>
      </c>
      <c r="D1091" s="1" t="s">
        <v>48</v>
      </c>
      <c r="E1091" s="1" t="s">
        <v>14</v>
      </c>
      <c r="F1091" s="1" t="n">
        <v>20.75</v>
      </c>
      <c r="G1091" s="1" t="n">
        <f aca="false">IF(E1091=E1090,F1091/F1090-1,"")</f>
        <v>0</v>
      </c>
    </row>
    <row r="1092" customFormat="false" ht="14.25" hidden="false" customHeight="true" outlineLevel="0" collapsed="false">
      <c r="A1092" s="26" t="n">
        <v>9345</v>
      </c>
      <c r="B1092" s="1" t="n">
        <v>1925</v>
      </c>
      <c r="C1092" s="1" t="n">
        <v>8</v>
      </c>
      <c r="D1092" s="1" t="s">
        <v>49</v>
      </c>
      <c r="E1092" s="1" t="s">
        <v>14</v>
      </c>
      <c r="F1092" s="1" t="n">
        <v>20.75</v>
      </c>
      <c r="G1092" s="1" t="n">
        <f aca="false">IF(E1092=E1091,F1092/F1091-1,"")</f>
        <v>0</v>
      </c>
    </row>
    <row r="1093" customFormat="false" ht="14.25" hidden="false" customHeight="true" outlineLevel="0" collapsed="false">
      <c r="A1093" s="26" t="n">
        <v>9376</v>
      </c>
      <c r="B1093" s="1" t="n">
        <v>1925</v>
      </c>
      <c r="C1093" s="1" t="n">
        <v>9</v>
      </c>
      <c r="D1093" s="1" t="s">
        <v>50</v>
      </c>
      <c r="E1093" s="1" t="s">
        <v>14</v>
      </c>
      <c r="F1093" s="1" t="n">
        <v>20.75</v>
      </c>
      <c r="G1093" s="1" t="n">
        <f aca="false">IF(E1093=E1092,F1093/F1092-1,"")</f>
        <v>0</v>
      </c>
    </row>
    <row r="1094" customFormat="false" ht="14.25" hidden="false" customHeight="true" outlineLevel="0" collapsed="false">
      <c r="A1094" s="26" t="n">
        <v>9406</v>
      </c>
      <c r="B1094" s="1" t="n">
        <v>1925</v>
      </c>
      <c r="C1094" s="1" t="n">
        <v>10</v>
      </c>
      <c r="D1094" s="1" t="s">
        <v>51</v>
      </c>
      <c r="E1094" s="1" t="s">
        <v>14</v>
      </c>
      <c r="F1094" s="1" t="n">
        <v>20.75</v>
      </c>
      <c r="G1094" s="1" t="n">
        <f aca="false">IF(E1094=E1093,F1094/F1093-1,"")</f>
        <v>0</v>
      </c>
    </row>
    <row r="1095" customFormat="false" ht="14.25" hidden="false" customHeight="true" outlineLevel="0" collapsed="false">
      <c r="A1095" s="26" t="n">
        <v>9437</v>
      </c>
      <c r="B1095" s="1" t="n">
        <v>1925</v>
      </c>
      <c r="C1095" s="1" t="n">
        <v>11</v>
      </c>
      <c r="D1095" s="1" t="s">
        <v>52</v>
      </c>
      <c r="E1095" s="1" t="s">
        <v>14</v>
      </c>
      <c r="F1095" s="1" t="n">
        <v>20.75</v>
      </c>
      <c r="G1095" s="1" t="n">
        <f aca="false">IF(E1095=E1094,F1095/F1094-1,"")</f>
        <v>0</v>
      </c>
    </row>
    <row r="1096" customFormat="false" ht="14.25" hidden="false" customHeight="true" outlineLevel="0" collapsed="false">
      <c r="A1096" s="26" t="n">
        <v>9467</v>
      </c>
      <c r="B1096" s="1" t="n">
        <v>1925</v>
      </c>
      <c r="C1096" s="1" t="n">
        <v>12</v>
      </c>
      <c r="D1096" s="1" t="s">
        <v>53</v>
      </c>
      <c r="E1096" s="1" t="s">
        <v>14</v>
      </c>
      <c r="F1096" s="1" t="n">
        <v>20.75</v>
      </c>
      <c r="G1096" s="1" t="n">
        <f aca="false">IF(E1096=E1095,F1096/F1095-1,"")</f>
        <v>0</v>
      </c>
    </row>
    <row r="1097" customFormat="false" ht="14.25" hidden="false" customHeight="true" outlineLevel="0" collapsed="false">
      <c r="A1097" s="26" t="n">
        <v>9498</v>
      </c>
      <c r="B1097" s="1" t="n">
        <v>1926</v>
      </c>
      <c r="C1097" s="1" t="n">
        <v>1</v>
      </c>
      <c r="D1097" s="1" t="s">
        <v>42</v>
      </c>
      <c r="E1097" s="1" t="s">
        <v>14</v>
      </c>
      <c r="F1097" s="1" t="n">
        <v>20.72</v>
      </c>
      <c r="G1097" s="1" t="n">
        <f aca="false">IF(E1097=E1096,F1097/F1096-1,"")</f>
        <v>-0.00144578313253019</v>
      </c>
    </row>
    <row r="1098" customFormat="false" ht="14.25" hidden="false" customHeight="true" outlineLevel="0" collapsed="false">
      <c r="A1098" s="26" t="n">
        <v>9529</v>
      </c>
      <c r="B1098" s="1" t="n">
        <v>1926</v>
      </c>
      <c r="C1098" s="1" t="n">
        <v>2</v>
      </c>
      <c r="D1098" s="1" t="s">
        <v>43</v>
      </c>
      <c r="E1098" s="1" t="s">
        <v>14</v>
      </c>
      <c r="F1098" s="1" t="n">
        <v>20.72</v>
      </c>
      <c r="G1098" s="1" t="n">
        <f aca="false">IF(E1098=E1097,F1098/F1097-1,"")</f>
        <v>0</v>
      </c>
    </row>
    <row r="1099" customFormat="false" ht="14.25" hidden="false" customHeight="true" outlineLevel="0" collapsed="false">
      <c r="A1099" s="26" t="n">
        <v>9557</v>
      </c>
      <c r="B1099" s="1" t="n">
        <v>1926</v>
      </c>
      <c r="C1099" s="1" t="n">
        <v>3</v>
      </c>
      <c r="D1099" s="1" t="s">
        <v>44</v>
      </c>
      <c r="E1099" s="1" t="s">
        <v>14</v>
      </c>
      <c r="F1099" s="1" t="n">
        <v>20.72</v>
      </c>
      <c r="G1099" s="1" t="n">
        <f aca="false">IF(E1099=E1098,F1099/F1098-1,"")</f>
        <v>0</v>
      </c>
    </row>
    <row r="1100" customFormat="false" ht="14.25" hidden="false" customHeight="true" outlineLevel="0" collapsed="false">
      <c r="A1100" s="26" t="n">
        <v>9588</v>
      </c>
      <c r="B1100" s="1" t="n">
        <v>1926</v>
      </c>
      <c r="C1100" s="1" t="n">
        <v>4</v>
      </c>
      <c r="D1100" s="1" t="s">
        <v>45</v>
      </c>
      <c r="E1100" s="1" t="s">
        <v>14</v>
      </c>
      <c r="F1100" s="1" t="n">
        <v>20.72</v>
      </c>
      <c r="G1100" s="1" t="n">
        <f aca="false">IF(E1100=E1099,F1100/F1099-1,"")</f>
        <v>0</v>
      </c>
    </row>
    <row r="1101" customFormat="false" ht="14.25" hidden="false" customHeight="true" outlineLevel="0" collapsed="false">
      <c r="A1101" s="26" t="n">
        <v>9618</v>
      </c>
      <c r="B1101" s="1" t="n">
        <v>1926</v>
      </c>
      <c r="C1101" s="1" t="n">
        <v>5</v>
      </c>
      <c r="D1101" s="1" t="s">
        <v>46</v>
      </c>
      <c r="E1101" s="1" t="s">
        <v>14</v>
      </c>
      <c r="F1101" s="1" t="n">
        <v>20.72</v>
      </c>
      <c r="G1101" s="1" t="n">
        <f aca="false">IF(E1101=E1100,F1101/F1100-1,"")</f>
        <v>0</v>
      </c>
    </row>
    <row r="1102" customFormat="false" ht="14.25" hidden="false" customHeight="true" outlineLevel="0" collapsed="false">
      <c r="A1102" s="26" t="n">
        <v>9649</v>
      </c>
      <c r="B1102" s="1" t="n">
        <v>1926</v>
      </c>
      <c r="C1102" s="1" t="n">
        <v>6</v>
      </c>
      <c r="D1102" s="1" t="s">
        <v>47</v>
      </c>
      <c r="E1102" s="1" t="s">
        <v>14</v>
      </c>
      <c r="F1102" s="1" t="n">
        <v>20.72</v>
      </c>
      <c r="G1102" s="1" t="n">
        <f aca="false">IF(E1102=E1101,F1102/F1101-1,"")</f>
        <v>0</v>
      </c>
    </row>
    <row r="1103" customFormat="false" ht="14.25" hidden="false" customHeight="true" outlineLevel="0" collapsed="false">
      <c r="A1103" s="26" t="n">
        <v>9679</v>
      </c>
      <c r="B1103" s="1" t="n">
        <v>1926</v>
      </c>
      <c r="C1103" s="1" t="n">
        <v>7</v>
      </c>
      <c r="D1103" s="1" t="s">
        <v>48</v>
      </c>
      <c r="E1103" s="1" t="s">
        <v>14</v>
      </c>
      <c r="F1103" s="1" t="n">
        <v>20.72</v>
      </c>
      <c r="G1103" s="1" t="n">
        <f aca="false">IF(E1103=E1102,F1103/F1102-1,"")</f>
        <v>0</v>
      </c>
    </row>
    <row r="1104" customFormat="false" ht="14.25" hidden="false" customHeight="true" outlineLevel="0" collapsed="false">
      <c r="A1104" s="26" t="n">
        <v>9710</v>
      </c>
      <c r="B1104" s="1" t="n">
        <v>1926</v>
      </c>
      <c r="C1104" s="1" t="n">
        <v>8</v>
      </c>
      <c r="D1104" s="1" t="s">
        <v>49</v>
      </c>
      <c r="E1104" s="1" t="s">
        <v>14</v>
      </c>
      <c r="F1104" s="1" t="n">
        <v>20.72</v>
      </c>
      <c r="G1104" s="1" t="n">
        <f aca="false">IF(E1104=E1103,F1104/F1103-1,"")</f>
        <v>0</v>
      </c>
    </row>
    <row r="1105" customFormat="false" ht="14.25" hidden="false" customHeight="true" outlineLevel="0" collapsed="false">
      <c r="A1105" s="26" t="n">
        <v>9741</v>
      </c>
      <c r="B1105" s="1" t="n">
        <v>1926</v>
      </c>
      <c r="C1105" s="1" t="n">
        <v>9</v>
      </c>
      <c r="D1105" s="1" t="s">
        <v>50</v>
      </c>
      <c r="E1105" s="1" t="s">
        <v>14</v>
      </c>
      <c r="F1105" s="1" t="n">
        <v>20.72</v>
      </c>
      <c r="G1105" s="1" t="n">
        <f aca="false">IF(E1105=E1104,F1105/F1104-1,"")</f>
        <v>0</v>
      </c>
    </row>
    <row r="1106" customFormat="false" ht="14.25" hidden="false" customHeight="true" outlineLevel="0" collapsed="false">
      <c r="A1106" s="26" t="n">
        <v>9771</v>
      </c>
      <c r="B1106" s="1" t="n">
        <v>1926</v>
      </c>
      <c r="C1106" s="1" t="n">
        <v>10</v>
      </c>
      <c r="D1106" s="1" t="s">
        <v>51</v>
      </c>
      <c r="E1106" s="1" t="s">
        <v>14</v>
      </c>
      <c r="F1106" s="1" t="n">
        <v>20.72</v>
      </c>
      <c r="G1106" s="1" t="n">
        <f aca="false">IF(E1106=E1105,F1106/F1105-1,"")</f>
        <v>0</v>
      </c>
    </row>
    <row r="1107" customFormat="false" ht="14.25" hidden="false" customHeight="true" outlineLevel="0" collapsed="false">
      <c r="A1107" s="26" t="n">
        <v>9802</v>
      </c>
      <c r="B1107" s="1" t="n">
        <v>1926</v>
      </c>
      <c r="C1107" s="1" t="n">
        <v>11</v>
      </c>
      <c r="D1107" s="1" t="s">
        <v>52</v>
      </c>
      <c r="E1107" s="1" t="s">
        <v>14</v>
      </c>
      <c r="F1107" s="1" t="n">
        <v>20.72</v>
      </c>
      <c r="G1107" s="1" t="n">
        <f aca="false">IF(E1107=E1106,F1107/F1106-1,"")</f>
        <v>0</v>
      </c>
    </row>
    <row r="1108" customFormat="false" ht="14.25" hidden="false" customHeight="true" outlineLevel="0" collapsed="false">
      <c r="A1108" s="26" t="n">
        <v>9832</v>
      </c>
      <c r="B1108" s="1" t="n">
        <v>1926</v>
      </c>
      <c r="C1108" s="1" t="n">
        <v>12</v>
      </c>
      <c r="D1108" s="1" t="s">
        <v>53</v>
      </c>
      <c r="E1108" s="1" t="s">
        <v>14</v>
      </c>
      <c r="F1108" s="1" t="n">
        <v>20.72</v>
      </c>
      <c r="G1108" s="1" t="n">
        <f aca="false">IF(E1108=E1107,F1108/F1107-1,"")</f>
        <v>0</v>
      </c>
    </row>
    <row r="1109" customFormat="false" ht="14.25" hidden="false" customHeight="true" outlineLevel="0" collapsed="false">
      <c r="A1109" s="26" t="n">
        <v>9863</v>
      </c>
      <c r="B1109" s="1" t="n">
        <v>1927</v>
      </c>
      <c r="C1109" s="1" t="n">
        <v>1</v>
      </c>
      <c r="D1109" s="1" t="s">
        <v>42</v>
      </c>
      <c r="E1109" s="1" t="s">
        <v>14</v>
      </c>
      <c r="F1109" s="1" t="n">
        <v>20.75</v>
      </c>
      <c r="G1109" s="1" t="n">
        <f aca="false">IF(E1109=E1108,F1109/F1108-1,"")</f>
        <v>0.00144787644787647</v>
      </c>
    </row>
    <row r="1110" customFormat="false" ht="14.25" hidden="false" customHeight="true" outlineLevel="0" collapsed="false">
      <c r="A1110" s="26" t="n">
        <v>9894</v>
      </c>
      <c r="B1110" s="1" t="n">
        <v>1927</v>
      </c>
      <c r="C1110" s="1" t="n">
        <v>2</v>
      </c>
      <c r="D1110" s="1" t="s">
        <v>43</v>
      </c>
      <c r="E1110" s="1" t="s">
        <v>14</v>
      </c>
      <c r="F1110" s="1" t="n">
        <v>20.75</v>
      </c>
      <c r="G1110" s="1" t="n">
        <f aca="false">IF(E1110=E1109,F1110/F1109-1,"")</f>
        <v>0</v>
      </c>
    </row>
    <row r="1111" customFormat="false" ht="14.25" hidden="false" customHeight="true" outlineLevel="0" collapsed="false">
      <c r="A1111" s="26" t="n">
        <v>9922</v>
      </c>
      <c r="B1111" s="1" t="n">
        <v>1927</v>
      </c>
      <c r="C1111" s="1" t="n">
        <v>3</v>
      </c>
      <c r="D1111" s="1" t="s">
        <v>44</v>
      </c>
      <c r="E1111" s="1" t="s">
        <v>14</v>
      </c>
      <c r="F1111" s="1" t="n">
        <v>20.75</v>
      </c>
      <c r="G1111" s="1" t="n">
        <f aca="false">IF(E1111=E1110,F1111/F1110-1,"")</f>
        <v>0</v>
      </c>
    </row>
    <row r="1112" customFormat="false" ht="14.25" hidden="false" customHeight="true" outlineLevel="0" collapsed="false">
      <c r="A1112" s="26" t="n">
        <v>9953</v>
      </c>
      <c r="B1112" s="1" t="n">
        <v>1927</v>
      </c>
      <c r="C1112" s="1" t="n">
        <v>4</v>
      </c>
      <c r="D1112" s="1" t="s">
        <v>45</v>
      </c>
      <c r="E1112" s="1" t="s">
        <v>14</v>
      </c>
      <c r="F1112" s="1" t="n">
        <v>20.75</v>
      </c>
      <c r="G1112" s="1" t="n">
        <f aca="false">IF(E1112=E1111,F1112/F1111-1,"")</f>
        <v>0</v>
      </c>
    </row>
    <row r="1113" customFormat="false" ht="14.25" hidden="false" customHeight="true" outlineLevel="0" collapsed="false">
      <c r="A1113" s="26" t="n">
        <v>9983</v>
      </c>
      <c r="B1113" s="1" t="n">
        <v>1927</v>
      </c>
      <c r="C1113" s="1" t="n">
        <v>5</v>
      </c>
      <c r="D1113" s="1" t="s">
        <v>46</v>
      </c>
      <c r="E1113" s="1" t="s">
        <v>14</v>
      </c>
      <c r="F1113" s="1" t="n">
        <v>20.75</v>
      </c>
      <c r="G1113" s="1" t="n">
        <f aca="false">IF(E1113=E1112,F1113/F1112-1,"")</f>
        <v>0</v>
      </c>
    </row>
    <row r="1114" customFormat="false" ht="14.25" hidden="false" customHeight="true" outlineLevel="0" collapsed="false">
      <c r="A1114" s="26" t="n">
        <v>10014</v>
      </c>
      <c r="B1114" s="1" t="n">
        <v>1927</v>
      </c>
      <c r="C1114" s="1" t="n">
        <v>6</v>
      </c>
      <c r="D1114" s="1" t="s">
        <v>47</v>
      </c>
      <c r="E1114" s="1" t="s">
        <v>14</v>
      </c>
      <c r="F1114" s="1" t="n">
        <v>20.75</v>
      </c>
      <c r="G1114" s="1" t="n">
        <f aca="false">IF(E1114=E1113,F1114/F1113-1,"")</f>
        <v>0</v>
      </c>
    </row>
    <row r="1115" customFormat="false" ht="14.25" hidden="false" customHeight="true" outlineLevel="0" collapsed="false">
      <c r="A1115" s="26" t="n">
        <v>10044</v>
      </c>
      <c r="B1115" s="1" t="n">
        <v>1927</v>
      </c>
      <c r="C1115" s="1" t="n">
        <v>7</v>
      </c>
      <c r="D1115" s="1" t="s">
        <v>48</v>
      </c>
      <c r="E1115" s="1" t="s">
        <v>14</v>
      </c>
      <c r="F1115" s="1" t="n">
        <v>20.75</v>
      </c>
      <c r="G1115" s="1" t="n">
        <f aca="false">IF(E1115=E1114,F1115/F1114-1,"")</f>
        <v>0</v>
      </c>
    </row>
    <row r="1116" customFormat="false" ht="14.25" hidden="false" customHeight="true" outlineLevel="0" collapsed="false">
      <c r="A1116" s="26" t="n">
        <v>10075</v>
      </c>
      <c r="B1116" s="1" t="n">
        <v>1927</v>
      </c>
      <c r="C1116" s="1" t="n">
        <v>8</v>
      </c>
      <c r="D1116" s="1" t="s">
        <v>49</v>
      </c>
      <c r="E1116" s="1" t="s">
        <v>14</v>
      </c>
      <c r="F1116" s="1" t="n">
        <v>20.75</v>
      </c>
      <c r="G1116" s="1" t="n">
        <f aca="false">IF(E1116=E1115,F1116/F1115-1,"")</f>
        <v>0</v>
      </c>
    </row>
    <row r="1117" customFormat="false" ht="14.25" hidden="false" customHeight="true" outlineLevel="0" collapsed="false">
      <c r="A1117" s="26" t="n">
        <v>10106</v>
      </c>
      <c r="B1117" s="1" t="n">
        <v>1927</v>
      </c>
      <c r="C1117" s="1" t="n">
        <v>9</v>
      </c>
      <c r="D1117" s="1" t="s">
        <v>50</v>
      </c>
      <c r="E1117" s="1" t="s">
        <v>14</v>
      </c>
      <c r="F1117" s="1" t="n">
        <v>20.75</v>
      </c>
      <c r="G1117" s="1" t="n">
        <f aca="false">IF(E1117=E1116,F1117/F1116-1,"")</f>
        <v>0</v>
      </c>
    </row>
    <row r="1118" customFormat="false" ht="14.25" hidden="false" customHeight="true" outlineLevel="0" collapsed="false">
      <c r="A1118" s="26" t="n">
        <v>10136</v>
      </c>
      <c r="B1118" s="1" t="n">
        <v>1927</v>
      </c>
      <c r="C1118" s="1" t="n">
        <v>10</v>
      </c>
      <c r="D1118" s="1" t="s">
        <v>51</v>
      </c>
      <c r="E1118" s="1" t="s">
        <v>14</v>
      </c>
      <c r="F1118" s="1" t="n">
        <v>20.75</v>
      </c>
      <c r="G1118" s="1" t="n">
        <f aca="false">IF(E1118=E1117,F1118/F1117-1,"")</f>
        <v>0</v>
      </c>
    </row>
    <row r="1119" customFormat="false" ht="14.25" hidden="false" customHeight="true" outlineLevel="0" collapsed="false">
      <c r="A1119" s="26" t="n">
        <v>10167</v>
      </c>
      <c r="B1119" s="1" t="n">
        <v>1927</v>
      </c>
      <c r="C1119" s="1" t="n">
        <v>11</v>
      </c>
      <c r="D1119" s="1" t="s">
        <v>52</v>
      </c>
      <c r="E1119" s="1" t="s">
        <v>14</v>
      </c>
      <c r="F1119" s="1" t="n">
        <v>20.75</v>
      </c>
      <c r="G1119" s="1" t="n">
        <f aca="false">IF(E1119=E1118,F1119/F1118-1,"")</f>
        <v>0</v>
      </c>
    </row>
    <row r="1120" customFormat="false" ht="14.25" hidden="false" customHeight="true" outlineLevel="0" collapsed="false">
      <c r="A1120" s="26" t="n">
        <v>10197</v>
      </c>
      <c r="B1120" s="1" t="n">
        <v>1927</v>
      </c>
      <c r="C1120" s="1" t="n">
        <v>12</v>
      </c>
      <c r="D1120" s="1" t="s">
        <v>53</v>
      </c>
      <c r="E1120" s="1" t="s">
        <v>14</v>
      </c>
      <c r="F1120" s="1" t="n">
        <v>20.75</v>
      </c>
      <c r="G1120" s="1" t="n">
        <f aca="false">IF(E1120=E1119,F1120/F1119-1,"")</f>
        <v>0</v>
      </c>
    </row>
    <row r="1121" customFormat="false" ht="14.25" hidden="false" customHeight="true" outlineLevel="0" collapsed="false">
      <c r="A1121" s="26" t="n">
        <v>10228</v>
      </c>
      <c r="B1121" s="1" t="n">
        <v>1928</v>
      </c>
      <c r="C1121" s="1" t="n">
        <v>1</v>
      </c>
      <c r="D1121" s="1" t="s">
        <v>42</v>
      </c>
      <c r="E1121" s="1" t="s">
        <v>14</v>
      </c>
      <c r="F1121" s="1" t="n">
        <v>20.78</v>
      </c>
      <c r="G1121" s="1" t="n">
        <f aca="false">IF(E1121=E1120,F1121/F1120-1,"")</f>
        <v>0.00144578313253008</v>
      </c>
    </row>
    <row r="1122" customFormat="false" ht="14.25" hidden="false" customHeight="true" outlineLevel="0" collapsed="false">
      <c r="A1122" s="26" t="n">
        <v>10259</v>
      </c>
      <c r="B1122" s="1" t="n">
        <v>1928</v>
      </c>
      <c r="C1122" s="1" t="n">
        <v>2</v>
      </c>
      <c r="D1122" s="1" t="s">
        <v>43</v>
      </c>
      <c r="E1122" s="1" t="s">
        <v>14</v>
      </c>
      <c r="F1122" s="1" t="n">
        <v>20.78</v>
      </c>
      <c r="G1122" s="1" t="n">
        <f aca="false">IF(E1122=E1121,F1122/F1121-1,"")</f>
        <v>0</v>
      </c>
    </row>
    <row r="1123" customFormat="false" ht="14.25" hidden="false" customHeight="true" outlineLevel="0" collapsed="false">
      <c r="A1123" s="26" t="n">
        <v>10288</v>
      </c>
      <c r="B1123" s="1" t="n">
        <v>1928</v>
      </c>
      <c r="C1123" s="1" t="n">
        <v>3</v>
      </c>
      <c r="D1123" s="1" t="s">
        <v>44</v>
      </c>
      <c r="E1123" s="1" t="s">
        <v>14</v>
      </c>
      <c r="F1123" s="1" t="n">
        <v>20.78</v>
      </c>
      <c r="G1123" s="1" t="n">
        <f aca="false">IF(E1123=E1122,F1123/F1122-1,"")</f>
        <v>0</v>
      </c>
    </row>
    <row r="1124" customFormat="false" ht="14.25" hidden="false" customHeight="true" outlineLevel="0" collapsed="false">
      <c r="A1124" s="26" t="n">
        <v>10319</v>
      </c>
      <c r="B1124" s="1" t="n">
        <v>1928</v>
      </c>
      <c r="C1124" s="1" t="n">
        <v>4</v>
      </c>
      <c r="D1124" s="1" t="s">
        <v>45</v>
      </c>
      <c r="E1124" s="1" t="s">
        <v>14</v>
      </c>
      <c r="F1124" s="1" t="n">
        <v>20.78</v>
      </c>
      <c r="G1124" s="1" t="n">
        <f aca="false">IF(E1124=E1123,F1124/F1123-1,"")</f>
        <v>0</v>
      </c>
    </row>
    <row r="1125" customFormat="false" ht="14.25" hidden="false" customHeight="true" outlineLevel="0" collapsed="false">
      <c r="A1125" s="26" t="n">
        <v>10349</v>
      </c>
      <c r="B1125" s="1" t="n">
        <v>1928</v>
      </c>
      <c r="C1125" s="1" t="n">
        <v>5</v>
      </c>
      <c r="D1125" s="1" t="s">
        <v>46</v>
      </c>
      <c r="E1125" s="1" t="s">
        <v>14</v>
      </c>
      <c r="F1125" s="1" t="n">
        <v>20.78</v>
      </c>
      <c r="G1125" s="1" t="n">
        <f aca="false">IF(E1125=E1124,F1125/F1124-1,"")</f>
        <v>0</v>
      </c>
    </row>
    <row r="1126" customFormat="false" ht="14.25" hidden="false" customHeight="true" outlineLevel="0" collapsed="false">
      <c r="A1126" s="26" t="n">
        <v>10380</v>
      </c>
      <c r="B1126" s="1" t="n">
        <v>1928</v>
      </c>
      <c r="C1126" s="1" t="n">
        <v>6</v>
      </c>
      <c r="D1126" s="1" t="s">
        <v>47</v>
      </c>
      <c r="E1126" s="1" t="s">
        <v>14</v>
      </c>
      <c r="F1126" s="1" t="n">
        <v>20.78</v>
      </c>
      <c r="G1126" s="1" t="n">
        <f aca="false">IF(E1126=E1125,F1126/F1125-1,"")</f>
        <v>0</v>
      </c>
    </row>
    <row r="1127" customFormat="false" ht="14.25" hidden="false" customHeight="true" outlineLevel="0" collapsed="false">
      <c r="A1127" s="26" t="n">
        <v>10410</v>
      </c>
      <c r="B1127" s="1" t="n">
        <v>1928</v>
      </c>
      <c r="C1127" s="1" t="n">
        <v>7</v>
      </c>
      <c r="D1127" s="1" t="s">
        <v>48</v>
      </c>
      <c r="E1127" s="1" t="s">
        <v>14</v>
      </c>
      <c r="F1127" s="1" t="n">
        <v>20.78</v>
      </c>
      <c r="G1127" s="1" t="n">
        <f aca="false">IF(E1127=E1126,F1127/F1126-1,"")</f>
        <v>0</v>
      </c>
    </row>
    <row r="1128" customFormat="false" ht="14.25" hidden="false" customHeight="true" outlineLevel="0" collapsed="false">
      <c r="A1128" s="26" t="n">
        <v>10441</v>
      </c>
      <c r="B1128" s="1" t="n">
        <v>1928</v>
      </c>
      <c r="C1128" s="1" t="n">
        <v>8</v>
      </c>
      <c r="D1128" s="1" t="s">
        <v>49</v>
      </c>
      <c r="E1128" s="1" t="s">
        <v>14</v>
      </c>
      <c r="F1128" s="1" t="n">
        <v>20.78</v>
      </c>
      <c r="G1128" s="1" t="n">
        <f aca="false">IF(E1128=E1127,F1128/F1127-1,"")</f>
        <v>0</v>
      </c>
    </row>
    <row r="1129" customFormat="false" ht="14.25" hidden="false" customHeight="true" outlineLevel="0" collapsed="false">
      <c r="A1129" s="26" t="n">
        <v>10472</v>
      </c>
      <c r="B1129" s="1" t="n">
        <v>1928</v>
      </c>
      <c r="C1129" s="1" t="n">
        <v>9</v>
      </c>
      <c r="D1129" s="1" t="s">
        <v>50</v>
      </c>
      <c r="E1129" s="1" t="s">
        <v>14</v>
      </c>
      <c r="F1129" s="1" t="n">
        <v>20.78</v>
      </c>
      <c r="G1129" s="1" t="n">
        <f aca="false">IF(E1129=E1128,F1129/F1128-1,"")</f>
        <v>0</v>
      </c>
    </row>
    <row r="1130" customFormat="false" ht="14.25" hidden="false" customHeight="true" outlineLevel="0" collapsed="false">
      <c r="A1130" s="26" t="n">
        <v>10502</v>
      </c>
      <c r="B1130" s="1" t="n">
        <v>1928</v>
      </c>
      <c r="C1130" s="1" t="n">
        <v>10</v>
      </c>
      <c r="D1130" s="1" t="s">
        <v>51</v>
      </c>
      <c r="E1130" s="1" t="s">
        <v>14</v>
      </c>
      <c r="F1130" s="1" t="n">
        <v>20.78</v>
      </c>
      <c r="G1130" s="1" t="n">
        <f aca="false">IF(E1130=E1129,F1130/F1129-1,"")</f>
        <v>0</v>
      </c>
    </row>
    <row r="1131" customFormat="false" ht="14.25" hidden="false" customHeight="true" outlineLevel="0" collapsed="false">
      <c r="A1131" s="26" t="n">
        <v>10533</v>
      </c>
      <c r="B1131" s="1" t="n">
        <v>1928</v>
      </c>
      <c r="C1131" s="1" t="n">
        <v>11</v>
      </c>
      <c r="D1131" s="1" t="s">
        <v>52</v>
      </c>
      <c r="E1131" s="1" t="s">
        <v>14</v>
      </c>
      <c r="F1131" s="1" t="n">
        <v>20.78</v>
      </c>
      <c r="G1131" s="1" t="n">
        <f aca="false">IF(E1131=E1130,F1131/F1130-1,"")</f>
        <v>0</v>
      </c>
    </row>
    <row r="1132" customFormat="false" ht="14.25" hidden="false" customHeight="true" outlineLevel="0" collapsed="false">
      <c r="A1132" s="26" t="n">
        <v>10563</v>
      </c>
      <c r="B1132" s="1" t="n">
        <v>1928</v>
      </c>
      <c r="C1132" s="1" t="n">
        <v>12</v>
      </c>
      <c r="D1132" s="1" t="s">
        <v>53</v>
      </c>
      <c r="E1132" s="1" t="s">
        <v>14</v>
      </c>
      <c r="F1132" s="1" t="n">
        <v>20.78</v>
      </c>
      <c r="G1132" s="1" t="n">
        <f aca="false">IF(E1132=E1131,F1132/F1131-1,"")</f>
        <v>0</v>
      </c>
    </row>
    <row r="1133" customFormat="false" ht="14.25" hidden="false" customHeight="true" outlineLevel="0" collapsed="false">
      <c r="A1133" s="26" t="n">
        <v>10594</v>
      </c>
      <c r="B1133" s="1" t="n">
        <v>1929</v>
      </c>
      <c r="C1133" s="1" t="n">
        <v>1</v>
      </c>
      <c r="D1133" s="1" t="s">
        <v>42</v>
      </c>
      <c r="E1133" s="1" t="s">
        <v>14</v>
      </c>
      <c r="F1133" s="1" t="n">
        <v>20.72</v>
      </c>
      <c r="G1133" s="1" t="n">
        <f aca="false">IF(E1133=E1132,F1133/F1132-1,"")</f>
        <v>-0.0028873917228105</v>
      </c>
    </row>
    <row r="1134" customFormat="false" ht="14.25" hidden="false" customHeight="true" outlineLevel="0" collapsed="false">
      <c r="A1134" s="26" t="n">
        <v>10625</v>
      </c>
      <c r="B1134" s="1" t="n">
        <v>1929</v>
      </c>
      <c r="C1134" s="1" t="n">
        <v>2</v>
      </c>
      <c r="D1134" s="1" t="s">
        <v>43</v>
      </c>
      <c r="E1134" s="1" t="s">
        <v>14</v>
      </c>
      <c r="F1134" s="1" t="n">
        <v>20.72</v>
      </c>
      <c r="G1134" s="1" t="n">
        <f aca="false">IF(E1134=E1133,F1134/F1133-1,"")</f>
        <v>0</v>
      </c>
    </row>
    <row r="1135" customFormat="false" ht="14.25" hidden="false" customHeight="true" outlineLevel="0" collapsed="false">
      <c r="A1135" s="26" t="n">
        <v>10653</v>
      </c>
      <c r="B1135" s="1" t="n">
        <v>1929</v>
      </c>
      <c r="C1135" s="1" t="n">
        <v>3</v>
      </c>
      <c r="D1135" s="1" t="s">
        <v>44</v>
      </c>
      <c r="E1135" s="1" t="s">
        <v>14</v>
      </c>
      <c r="F1135" s="1" t="n">
        <v>20.72</v>
      </c>
      <c r="G1135" s="1" t="n">
        <f aca="false">IF(E1135=E1134,F1135/F1134-1,"")</f>
        <v>0</v>
      </c>
    </row>
    <row r="1136" customFormat="false" ht="14.25" hidden="false" customHeight="true" outlineLevel="0" collapsed="false">
      <c r="A1136" s="26" t="n">
        <v>10684</v>
      </c>
      <c r="B1136" s="1" t="n">
        <v>1929</v>
      </c>
      <c r="C1136" s="1" t="n">
        <v>4</v>
      </c>
      <c r="D1136" s="1" t="s">
        <v>45</v>
      </c>
      <c r="E1136" s="1" t="s">
        <v>14</v>
      </c>
      <c r="F1136" s="1" t="n">
        <v>20.72</v>
      </c>
      <c r="G1136" s="1" t="n">
        <f aca="false">IF(E1136=E1135,F1136/F1135-1,"")</f>
        <v>0</v>
      </c>
    </row>
    <row r="1137" customFormat="false" ht="14.25" hidden="false" customHeight="true" outlineLevel="0" collapsed="false">
      <c r="A1137" s="26" t="n">
        <v>10714</v>
      </c>
      <c r="B1137" s="1" t="n">
        <v>1929</v>
      </c>
      <c r="C1137" s="1" t="n">
        <v>5</v>
      </c>
      <c r="D1137" s="1" t="s">
        <v>46</v>
      </c>
      <c r="E1137" s="1" t="s">
        <v>14</v>
      </c>
      <c r="F1137" s="1" t="n">
        <v>20.72</v>
      </c>
      <c r="G1137" s="1" t="n">
        <f aca="false">IF(E1137=E1136,F1137/F1136-1,"")</f>
        <v>0</v>
      </c>
    </row>
    <row r="1138" customFormat="false" ht="14.25" hidden="false" customHeight="true" outlineLevel="0" collapsed="false">
      <c r="A1138" s="26" t="n">
        <v>10745</v>
      </c>
      <c r="B1138" s="1" t="n">
        <v>1929</v>
      </c>
      <c r="C1138" s="1" t="n">
        <v>6</v>
      </c>
      <c r="D1138" s="1" t="s">
        <v>47</v>
      </c>
      <c r="E1138" s="1" t="s">
        <v>14</v>
      </c>
      <c r="F1138" s="1" t="n">
        <v>20.72</v>
      </c>
      <c r="G1138" s="1" t="n">
        <f aca="false">IF(E1138=E1137,F1138/F1137-1,"")</f>
        <v>0</v>
      </c>
    </row>
    <row r="1139" customFormat="false" ht="14.25" hidden="false" customHeight="true" outlineLevel="0" collapsed="false">
      <c r="A1139" s="26" t="n">
        <v>10775</v>
      </c>
      <c r="B1139" s="1" t="n">
        <v>1929</v>
      </c>
      <c r="C1139" s="1" t="n">
        <v>7</v>
      </c>
      <c r="D1139" s="1" t="s">
        <v>48</v>
      </c>
      <c r="E1139" s="1" t="s">
        <v>14</v>
      </c>
      <c r="F1139" s="1" t="n">
        <v>20.72</v>
      </c>
      <c r="G1139" s="1" t="n">
        <f aca="false">IF(E1139=E1138,F1139/F1138-1,"")</f>
        <v>0</v>
      </c>
    </row>
    <row r="1140" customFormat="false" ht="14.25" hidden="false" customHeight="true" outlineLevel="0" collapsed="false">
      <c r="A1140" s="26" t="n">
        <v>10806</v>
      </c>
      <c r="B1140" s="1" t="n">
        <v>1929</v>
      </c>
      <c r="C1140" s="1" t="n">
        <v>8</v>
      </c>
      <c r="D1140" s="1" t="s">
        <v>49</v>
      </c>
      <c r="E1140" s="1" t="s">
        <v>14</v>
      </c>
      <c r="F1140" s="1" t="n">
        <v>20.72</v>
      </c>
      <c r="G1140" s="1" t="n">
        <f aca="false">IF(E1140=E1139,F1140/F1139-1,"")</f>
        <v>0</v>
      </c>
    </row>
    <row r="1141" customFormat="false" ht="14.25" hidden="false" customHeight="true" outlineLevel="0" collapsed="false">
      <c r="A1141" s="26" t="n">
        <v>10837</v>
      </c>
      <c r="B1141" s="1" t="n">
        <v>1929</v>
      </c>
      <c r="C1141" s="1" t="n">
        <v>9</v>
      </c>
      <c r="D1141" s="1" t="s">
        <v>50</v>
      </c>
      <c r="E1141" s="1" t="s">
        <v>14</v>
      </c>
      <c r="F1141" s="1" t="n">
        <v>20.72</v>
      </c>
      <c r="G1141" s="1" t="n">
        <f aca="false">IF(E1141=E1140,F1141/F1140-1,"")</f>
        <v>0</v>
      </c>
    </row>
    <row r="1142" customFormat="false" ht="14.25" hidden="false" customHeight="true" outlineLevel="0" collapsed="false">
      <c r="A1142" s="26" t="n">
        <v>10867</v>
      </c>
      <c r="B1142" s="1" t="n">
        <v>1929</v>
      </c>
      <c r="C1142" s="1" t="n">
        <v>10</v>
      </c>
      <c r="D1142" s="1" t="s">
        <v>51</v>
      </c>
      <c r="E1142" s="1" t="s">
        <v>14</v>
      </c>
      <c r="F1142" s="1" t="n">
        <v>20.72</v>
      </c>
      <c r="G1142" s="1" t="n">
        <f aca="false">IF(E1142=E1141,F1142/F1141-1,"")</f>
        <v>0</v>
      </c>
    </row>
    <row r="1143" customFormat="false" ht="14.25" hidden="false" customHeight="true" outlineLevel="0" collapsed="false">
      <c r="A1143" s="26" t="n">
        <v>10898</v>
      </c>
      <c r="B1143" s="1" t="n">
        <v>1929</v>
      </c>
      <c r="C1143" s="1" t="n">
        <v>11</v>
      </c>
      <c r="D1143" s="1" t="s">
        <v>52</v>
      </c>
      <c r="E1143" s="1" t="s">
        <v>14</v>
      </c>
      <c r="F1143" s="1" t="n">
        <v>20.72</v>
      </c>
      <c r="G1143" s="1" t="n">
        <f aca="false">IF(E1143=E1142,F1143/F1142-1,"")</f>
        <v>0</v>
      </c>
    </row>
    <row r="1144" customFormat="false" ht="14.25" hidden="false" customHeight="true" outlineLevel="0" collapsed="false">
      <c r="A1144" s="26" t="n">
        <v>10928</v>
      </c>
      <c r="B1144" s="1" t="n">
        <v>1929</v>
      </c>
      <c r="C1144" s="1" t="n">
        <v>12</v>
      </c>
      <c r="D1144" s="1" t="s">
        <v>53</v>
      </c>
      <c r="E1144" s="1" t="s">
        <v>14</v>
      </c>
      <c r="F1144" s="1" t="n">
        <v>20.72</v>
      </c>
      <c r="G1144" s="1" t="n">
        <f aca="false">IF(E1144=E1143,F1144/F1143-1,"")</f>
        <v>0</v>
      </c>
    </row>
    <row r="1145" customFormat="false" ht="14.25" hidden="false" customHeight="true" outlineLevel="0" collapsed="false">
      <c r="A1145" s="26" t="n">
        <v>10959</v>
      </c>
      <c r="B1145" s="1" t="n">
        <v>1930</v>
      </c>
      <c r="C1145" s="1" t="n">
        <v>1</v>
      </c>
      <c r="D1145" s="1" t="s">
        <v>42</v>
      </c>
      <c r="E1145" s="1" t="s">
        <v>14</v>
      </c>
      <c r="F1145" s="1" t="n">
        <v>20.69</v>
      </c>
      <c r="G1145" s="1" t="n">
        <f aca="false">IF(E1145=E1144,F1145/F1144-1,"")</f>
        <v>-0.00144787644787636</v>
      </c>
    </row>
    <row r="1146" customFormat="false" ht="14.25" hidden="false" customHeight="true" outlineLevel="0" collapsed="false">
      <c r="A1146" s="26" t="n">
        <v>10990</v>
      </c>
      <c r="B1146" s="1" t="n">
        <v>1930</v>
      </c>
      <c r="C1146" s="1" t="n">
        <v>2</v>
      </c>
      <c r="D1146" s="1" t="s">
        <v>43</v>
      </c>
      <c r="E1146" s="1" t="s">
        <v>14</v>
      </c>
      <c r="F1146" s="1" t="n">
        <v>20.69</v>
      </c>
      <c r="G1146" s="1" t="n">
        <f aca="false">IF(E1146=E1145,F1146/F1145-1,"")</f>
        <v>0</v>
      </c>
    </row>
    <row r="1147" customFormat="false" ht="14.25" hidden="false" customHeight="true" outlineLevel="0" collapsed="false">
      <c r="A1147" s="26" t="n">
        <v>11018</v>
      </c>
      <c r="B1147" s="1" t="n">
        <v>1930</v>
      </c>
      <c r="C1147" s="1" t="n">
        <v>3</v>
      </c>
      <c r="D1147" s="1" t="s">
        <v>44</v>
      </c>
      <c r="E1147" s="1" t="s">
        <v>14</v>
      </c>
      <c r="F1147" s="1" t="n">
        <v>20.69</v>
      </c>
      <c r="G1147" s="1" t="n">
        <f aca="false">IF(E1147=E1146,F1147/F1146-1,"")</f>
        <v>0</v>
      </c>
    </row>
    <row r="1148" customFormat="false" ht="14.25" hidden="false" customHeight="true" outlineLevel="0" collapsed="false">
      <c r="A1148" s="26" t="n">
        <v>11049</v>
      </c>
      <c r="B1148" s="1" t="n">
        <v>1930</v>
      </c>
      <c r="C1148" s="1" t="n">
        <v>4</v>
      </c>
      <c r="D1148" s="1" t="s">
        <v>45</v>
      </c>
      <c r="E1148" s="1" t="s">
        <v>14</v>
      </c>
      <c r="F1148" s="1" t="n">
        <v>20.69</v>
      </c>
      <c r="G1148" s="1" t="n">
        <f aca="false">IF(E1148=E1147,F1148/F1147-1,"")</f>
        <v>0</v>
      </c>
    </row>
    <row r="1149" customFormat="false" ht="14.25" hidden="false" customHeight="true" outlineLevel="0" collapsed="false">
      <c r="A1149" s="26" t="n">
        <v>11079</v>
      </c>
      <c r="B1149" s="1" t="n">
        <v>1930</v>
      </c>
      <c r="C1149" s="1" t="n">
        <v>5</v>
      </c>
      <c r="D1149" s="1" t="s">
        <v>46</v>
      </c>
      <c r="E1149" s="1" t="s">
        <v>14</v>
      </c>
      <c r="F1149" s="1" t="n">
        <v>20.69</v>
      </c>
      <c r="G1149" s="1" t="n">
        <f aca="false">IF(E1149=E1148,F1149/F1148-1,"")</f>
        <v>0</v>
      </c>
    </row>
    <row r="1150" customFormat="false" ht="14.25" hidden="false" customHeight="true" outlineLevel="0" collapsed="false">
      <c r="A1150" s="26" t="n">
        <v>11110</v>
      </c>
      <c r="B1150" s="1" t="n">
        <v>1930</v>
      </c>
      <c r="C1150" s="1" t="n">
        <v>6</v>
      </c>
      <c r="D1150" s="1" t="s">
        <v>47</v>
      </c>
      <c r="E1150" s="1" t="s">
        <v>14</v>
      </c>
      <c r="F1150" s="1" t="n">
        <v>20.69</v>
      </c>
      <c r="G1150" s="1" t="n">
        <f aca="false">IF(E1150=E1149,F1150/F1149-1,"")</f>
        <v>0</v>
      </c>
    </row>
    <row r="1151" customFormat="false" ht="14.25" hidden="false" customHeight="true" outlineLevel="0" collapsed="false">
      <c r="A1151" s="26" t="n">
        <v>11140</v>
      </c>
      <c r="B1151" s="1" t="n">
        <v>1930</v>
      </c>
      <c r="C1151" s="1" t="n">
        <v>7</v>
      </c>
      <c r="D1151" s="1" t="s">
        <v>48</v>
      </c>
      <c r="E1151" s="1" t="s">
        <v>14</v>
      </c>
      <c r="F1151" s="1" t="n">
        <v>20.69</v>
      </c>
      <c r="G1151" s="1" t="n">
        <f aca="false">IF(E1151=E1150,F1151/F1150-1,"")</f>
        <v>0</v>
      </c>
    </row>
    <row r="1152" customFormat="false" ht="14.25" hidden="false" customHeight="true" outlineLevel="0" collapsed="false">
      <c r="A1152" s="26" t="n">
        <v>11171</v>
      </c>
      <c r="B1152" s="1" t="n">
        <v>1930</v>
      </c>
      <c r="C1152" s="1" t="n">
        <v>8</v>
      </c>
      <c r="D1152" s="1" t="s">
        <v>49</v>
      </c>
      <c r="E1152" s="1" t="s">
        <v>14</v>
      </c>
      <c r="F1152" s="1" t="n">
        <v>20.69</v>
      </c>
      <c r="G1152" s="1" t="n">
        <f aca="false">IF(E1152=E1151,F1152/F1151-1,"")</f>
        <v>0</v>
      </c>
    </row>
    <row r="1153" customFormat="false" ht="14.25" hidden="false" customHeight="true" outlineLevel="0" collapsed="false">
      <c r="A1153" s="26" t="n">
        <v>11202</v>
      </c>
      <c r="B1153" s="1" t="n">
        <v>1930</v>
      </c>
      <c r="C1153" s="1" t="n">
        <v>9</v>
      </c>
      <c r="D1153" s="1" t="s">
        <v>50</v>
      </c>
      <c r="E1153" s="1" t="s">
        <v>14</v>
      </c>
      <c r="F1153" s="1" t="n">
        <v>20.69</v>
      </c>
      <c r="G1153" s="1" t="n">
        <f aca="false">IF(E1153=E1152,F1153/F1152-1,"")</f>
        <v>0</v>
      </c>
    </row>
    <row r="1154" customFormat="false" ht="14.25" hidden="false" customHeight="true" outlineLevel="0" collapsed="false">
      <c r="A1154" s="26" t="n">
        <v>11232</v>
      </c>
      <c r="B1154" s="1" t="n">
        <v>1930</v>
      </c>
      <c r="C1154" s="1" t="n">
        <v>10</v>
      </c>
      <c r="D1154" s="1" t="s">
        <v>51</v>
      </c>
      <c r="E1154" s="1" t="s">
        <v>14</v>
      </c>
      <c r="F1154" s="1" t="n">
        <v>20.69</v>
      </c>
      <c r="G1154" s="1" t="n">
        <f aca="false">IF(E1154=E1153,F1154/F1153-1,"")</f>
        <v>0</v>
      </c>
    </row>
    <row r="1155" customFormat="false" ht="14.25" hidden="false" customHeight="true" outlineLevel="0" collapsed="false">
      <c r="A1155" s="26" t="n">
        <v>11263</v>
      </c>
      <c r="B1155" s="1" t="n">
        <v>1930</v>
      </c>
      <c r="C1155" s="1" t="n">
        <v>11</v>
      </c>
      <c r="D1155" s="1" t="s">
        <v>52</v>
      </c>
      <c r="E1155" s="1" t="s">
        <v>14</v>
      </c>
      <c r="F1155" s="1" t="n">
        <v>20.69</v>
      </c>
      <c r="G1155" s="1" t="n">
        <f aca="false">IF(E1155=E1154,F1155/F1154-1,"")</f>
        <v>0</v>
      </c>
    </row>
    <row r="1156" customFormat="false" ht="14.25" hidden="false" customHeight="true" outlineLevel="0" collapsed="false">
      <c r="A1156" s="26" t="n">
        <v>11293</v>
      </c>
      <c r="B1156" s="1" t="n">
        <v>1930</v>
      </c>
      <c r="C1156" s="1" t="n">
        <v>12</v>
      </c>
      <c r="D1156" s="1" t="s">
        <v>53</v>
      </c>
      <c r="E1156" s="1" t="s">
        <v>14</v>
      </c>
      <c r="F1156" s="1" t="n">
        <v>20.69</v>
      </c>
      <c r="G1156" s="1" t="n">
        <f aca="false">IF(E1156=E1155,F1156/F1155-1,"")</f>
        <v>0</v>
      </c>
    </row>
    <row r="1157" customFormat="false" ht="14.25" hidden="false" customHeight="true" outlineLevel="0" collapsed="false">
      <c r="A1157" s="26" t="n">
        <v>11324</v>
      </c>
      <c r="B1157" s="1" t="n">
        <v>1931</v>
      </c>
      <c r="C1157" s="1" t="n">
        <v>1</v>
      </c>
      <c r="D1157" s="1" t="s">
        <v>42</v>
      </c>
      <c r="E1157" s="1" t="s">
        <v>14</v>
      </c>
      <c r="F1157" s="1" t="n">
        <v>22.59</v>
      </c>
      <c r="G1157" s="1" t="n">
        <f aca="false">IF(E1157=E1156,F1157/F1156-1,"")</f>
        <v>0.0918318028032865</v>
      </c>
    </row>
    <row r="1158" customFormat="false" ht="14.25" hidden="false" customHeight="true" outlineLevel="0" collapsed="false">
      <c r="A1158" s="26" t="n">
        <v>11355</v>
      </c>
      <c r="B1158" s="1" t="n">
        <v>1931</v>
      </c>
      <c r="C1158" s="1" t="n">
        <v>2</v>
      </c>
      <c r="D1158" s="1" t="s">
        <v>43</v>
      </c>
      <c r="E1158" s="1" t="s">
        <v>14</v>
      </c>
      <c r="F1158" s="1" t="n">
        <v>22.59</v>
      </c>
      <c r="G1158" s="1" t="n">
        <f aca="false">IF(E1158=E1157,F1158/F1157-1,"")</f>
        <v>0</v>
      </c>
    </row>
    <row r="1159" customFormat="false" ht="14.25" hidden="false" customHeight="true" outlineLevel="0" collapsed="false">
      <c r="A1159" s="26" t="n">
        <v>11383</v>
      </c>
      <c r="B1159" s="1" t="n">
        <v>1931</v>
      </c>
      <c r="C1159" s="1" t="n">
        <v>3</v>
      </c>
      <c r="D1159" s="1" t="s">
        <v>44</v>
      </c>
      <c r="E1159" s="1" t="s">
        <v>14</v>
      </c>
      <c r="F1159" s="1" t="n">
        <v>22.59</v>
      </c>
      <c r="G1159" s="1" t="n">
        <f aca="false">IF(E1159=E1158,F1159/F1158-1,"")</f>
        <v>0</v>
      </c>
    </row>
    <row r="1160" customFormat="false" ht="14.25" hidden="false" customHeight="true" outlineLevel="0" collapsed="false">
      <c r="A1160" s="26" t="n">
        <v>11414</v>
      </c>
      <c r="B1160" s="1" t="n">
        <v>1931</v>
      </c>
      <c r="C1160" s="1" t="n">
        <v>4</v>
      </c>
      <c r="D1160" s="1" t="s">
        <v>45</v>
      </c>
      <c r="E1160" s="1" t="s">
        <v>14</v>
      </c>
      <c r="F1160" s="1" t="n">
        <v>22.59</v>
      </c>
      <c r="G1160" s="1" t="n">
        <f aca="false">IF(E1160=E1159,F1160/F1159-1,"")</f>
        <v>0</v>
      </c>
    </row>
    <row r="1161" customFormat="false" ht="14.25" hidden="false" customHeight="true" outlineLevel="0" collapsed="false">
      <c r="A1161" s="26" t="n">
        <v>11444</v>
      </c>
      <c r="B1161" s="1" t="n">
        <v>1931</v>
      </c>
      <c r="C1161" s="1" t="n">
        <v>5</v>
      </c>
      <c r="D1161" s="1" t="s">
        <v>46</v>
      </c>
      <c r="E1161" s="1" t="s">
        <v>14</v>
      </c>
      <c r="F1161" s="1" t="n">
        <v>22.59</v>
      </c>
      <c r="G1161" s="1" t="n">
        <f aca="false">IF(E1161=E1160,F1161/F1160-1,"")</f>
        <v>0</v>
      </c>
    </row>
    <row r="1162" customFormat="false" ht="14.25" hidden="false" customHeight="true" outlineLevel="0" collapsed="false">
      <c r="A1162" s="26" t="n">
        <v>11475</v>
      </c>
      <c r="B1162" s="1" t="n">
        <v>1931</v>
      </c>
      <c r="C1162" s="1" t="n">
        <v>6</v>
      </c>
      <c r="D1162" s="1" t="s">
        <v>47</v>
      </c>
      <c r="E1162" s="1" t="s">
        <v>14</v>
      </c>
      <c r="F1162" s="1" t="n">
        <v>22.59</v>
      </c>
      <c r="G1162" s="1" t="n">
        <f aca="false">IF(E1162=E1161,F1162/F1161-1,"")</f>
        <v>0</v>
      </c>
    </row>
    <row r="1163" customFormat="false" ht="14.25" hidden="false" customHeight="true" outlineLevel="0" collapsed="false">
      <c r="A1163" s="26" t="n">
        <v>11505</v>
      </c>
      <c r="B1163" s="1" t="n">
        <v>1931</v>
      </c>
      <c r="C1163" s="1" t="n">
        <v>7</v>
      </c>
      <c r="D1163" s="1" t="s">
        <v>48</v>
      </c>
      <c r="E1163" s="1" t="s">
        <v>14</v>
      </c>
      <c r="F1163" s="1" t="n">
        <v>22.59</v>
      </c>
      <c r="G1163" s="1" t="n">
        <f aca="false">IF(E1163=E1162,F1163/F1162-1,"")</f>
        <v>0</v>
      </c>
    </row>
    <row r="1164" customFormat="false" ht="14.25" hidden="false" customHeight="true" outlineLevel="0" collapsed="false">
      <c r="A1164" s="26" t="n">
        <v>11536</v>
      </c>
      <c r="B1164" s="1" t="n">
        <v>1931</v>
      </c>
      <c r="C1164" s="1" t="n">
        <v>8</v>
      </c>
      <c r="D1164" s="1" t="s">
        <v>49</v>
      </c>
      <c r="E1164" s="1" t="s">
        <v>14</v>
      </c>
      <c r="F1164" s="1" t="n">
        <v>22.59</v>
      </c>
      <c r="G1164" s="1" t="n">
        <f aca="false">IF(E1164=E1163,F1164/F1163-1,"")</f>
        <v>0</v>
      </c>
    </row>
    <row r="1165" customFormat="false" ht="14.25" hidden="false" customHeight="true" outlineLevel="0" collapsed="false">
      <c r="A1165" s="26" t="n">
        <v>11567</v>
      </c>
      <c r="B1165" s="1" t="n">
        <v>1931</v>
      </c>
      <c r="C1165" s="1" t="n">
        <v>9</v>
      </c>
      <c r="D1165" s="1" t="s">
        <v>50</v>
      </c>
      <c r="E1165" s="1" t="s">
        <v>14</v>
      </c>
      <c r="F1165" s="1" t="n">
        <v>22.59</v>
      </c>
      <c r="G1165" s="1" t="n">
        <f aca="false">IF(E1165=E1164,F1165/F1164-1,"")</f>
        <v>0</v>
      </c>
    </row>
    <row r="1166" customFormat="false" ht="14.25" hidden="false" customHeight="true" outlineLevel="0" collapsed="false">
      <c r="A1166" s="26" t="n">
        <v>11597</v>
      </c>
      <c r="B1166" s="1" t="n">
        <v>1931</v>
      </c>
      <c r="C1166" s="1" t="n">
        <v>10</v>
      </c>
      <c r="D1166" s="1" t="s">
        <v>51</v>
      </c>
      <c r="E1166" s="1" t="s">
        <v>14</v>
      </c>
      <c r="F1166" s="1" t="n">
        <v>22.59</v>
      </c>
      <c r="G1166" s="1" t="n">
        <f aca="false">IF(E1166=E1165,F1166/F1165-1,"")</f>
        <v>0</v>
      </c>
    </row>
    <row r="1167" customFormat="false" ht="14.25" hidden="false" customHeight="true" outlineLevel="0" collapsed="false">
      <c r="A1167" s="26" t="n">
        <v>11628</v>
      </c>
      <c r="B1167" s="1" t="n">
        <v>1931</v>
      </c>
      <c r="C1167" s="1" t="n">
        <v>11</v>
      </c>
      <c r="D1167" s="1" t="s">
        <v>52</v>
      </c>
      <c r="E1167" s="1" t="s">
        <v>14</v>
      </c>
      <c r="F1167" s="1" t="n">
        <v>22.59</v>
      </c>
      <c r="G1167" s="1" t="n">
        <f aca="false">IF(E1167=E1166,F1167/F1166-1,"")</f>
        <v>0</v>
      </c>
    </row>
    <row r="1168" customFormat="false" ht="14.25" hidden="false" customHeight="true" outlineLevel="0" collapsed="false">
      <c r="A1168" s="26" t="n">
        <v>11658</v>
      </c>
      <c r="B1168" s="1" t="n">
        <v>1931</v>
      </c>
      <c r="C1168" s="1" t="n">
        <v>12</v>
      </c>
      <c r="D1168" s="1" t="s">
        <v>53</v>
      </c>
      <c r="E1168" s="1" t="s">
        <v>14</v>
      </c>
      <c r="F1168" s="1" t="n">
        <v>22.59</v>
      </c>
      <c r="G1168" s="1" t="n">
        <f aca="false">IF(E1168=E1167,F1168/F1167-1,"")</f>
        <v>0</v>
      </c>
    </row>
    <row r="1169" customFormat="false" ht="14.25" hidden="false" customHeight="true" outlineLevel="0" collapsed="false">
      <c r="A1169" s="26" t="n">
        <v>11689</v>
      </c>
      <c r="B1169" s="1" t="n">
        <v>1932</v>
      </c>
      <c r="C1169" s="1" t="n">
        <v>1</v>
      </c>
      <c r="D1169" s="1" t="s">
        <v>42</v>
      </c>
      <c r="E1169" s="1" t="s">
        <v>14</v>
      </c>
      <c r="F1169" s="1" t="n">
        <v>20.78</v>
      </c>
      <c r="G1169" s="1" t="n">
        <f aca="false">IF(E1169=E1168,F1169/F1168-1,"")</f>
        <v>-0.080123948649845</v>
      </c>
    </row>
    <row r="1170" customFormat="false" ht="14.25" hidden="false" customHeight="true" outlineLevel="0" collapsed="false">
      <c r="A1170" s="26" t="n">
        <v>11720</v>
      </c>
      <c r="B1170" s="1" t="n">
        <v>1932</v>
      </c>
      <c r="C1170" s="1" t="n">
        <v>2</v>
      </c>
      <c r="D1170" s="1" t="s">
        <v>43</v>
      </c>
      <c r="E1170" s="1" t="s">
        <v>14</v>
      </c>
      <c r="F1170" s="1" t="n">
        <v>20.78</v>
      </c>
      <c r="G1170" s="1" t="n">
        <f aca="false">IF(E1170=E1169,F1170/F1169-1,"")</f>
        <v>0</v>
      </c>
    </row>
    <row r="1171" customFormat="false" ht="14.25" hidden="false" customHeight="true" outlineLevel="0" collapsed="false">
      <c r="A1171" s="26" t="n">
        <v>11749</v>
      </c>
      <c r="B1171" s="1" t="n">
        <v>1932</v>
      </c>
      <c r="C1171" s="1" t="n">
        <v>3</v>
      </c>
      <c r="D1171" s="1" t="s">
        <v>44</v>
      </c>
      <c r="E1171" s="1" t="s">
        <v>14</v>
      </c>
      <c r="F1171" s="1" t="n">
        <v>20.78</v>
      </c>
      <c r="G1171" s="1" t="n">
        <f aca="false">IF(E1171=E1170,F1171/F1170-1,"")</f>
        <v>0</v>
      </c>
    </row>
    <row r="1172" customFormat="false" ht="14.25" hidden="false" customHeight="true" outlineLevel="0" collapsed="false">
      <c r="A1172" s="26" t="n">
        <v>11780</v>
      </c>
      <c r="B1172" s="1" t="n">
        <v>1932</v>
      </c>
      <c r="C1172" s="1" t="n">
        <v>4</v>
      </c>
      <c r="D1172" s="1" t="s">
        <v>45</v>
      </c>
      <c r="E1172" s="1" t="s">
        <v>14</v>
      </c>
      <c r="F1172" s="1" t="n">
        <v>20.78</v>
      </c>
      <c r="G1172" s="1" t="n">
        <f aca="false">IF(E1172=E1171,F1172/F1171-1,"")</f>
        <v>0</v>
      </c>
    </row>
    <row r="1173" customFormat="false" ht="14.25" hidden="false" customHeight="true" outlineLevel="0" collapsed="false">
      <c r="A1173" s="26" t="n">
        <v>11810</v>
      </c>
      <c r="B1173" s="1" t="n">
        <v>1932</v>
      </c>
      <c r="C1173" s="1" t="n">
        <v>5</v>
      </c>
      <c r="D1173" s="1" t="s">
        <v>46</v>
      </c>
      <c r="E1173" s="1" t="s">
        <v>14</v>
      </c>
      <c r="F1173" s="1" t="n">
        <v>20.78</v>
      </c>
      <c r="G1173" s="1" t="n">
        <f aca="false">IF(E1173=E1172,F1173/F1172-1,"")</f>
        <v>0</v>
      </c>
    </row>
    <row r="1174" customFormat="false" ht="14.25" hidden="false" customHeight="true" outlineLevel="0" collapsed="false">
      <c r="A1174" s="26" t="n">
        <v>11841</v>
      </c>
      <c r="B1174" s="1" t="n">
        <v>1932</v>
      </c>
      <c r="C1174" s="1" t="n">
        <v>6</v>
      </c>
      <c r="D1174" s="1" t="s">
        <v>47</v>
      </c>
      <c r="E1174" s="1" t="s">
        <v>14</v>
      </c>
      <c r="F1174" s="1" t="n">
        <v>20.78</v>
      </c>
      <c r="G1174" s="1" t="n">
        <f aca="false">IF(E1174=E1173,F1174/F1173-1,"")</f>
        <v>0</v>
      </c>
    </row>
    <row r="1175" customFormat="false" ht="14.25" hidden="false" customHeight="true" outlineLevel="0" collapsed="false">
      <c r="A1175" s="26" t="n">
        <v>11871</v>
      </c>
      <c r="B1175" s="1" t="n">
        <v>1932</v>
      </c>
      <c r="C1175" s="1" t="n">
        <v>7</v>
      </c>
      <c r="D1175" s="1" t="s">
        <v>48</v>
      </c>
      <c r="E1175" s="1" t="s">
        <v>14</v>
      </c>
      <c r="F1175" s="1" t="n">
        <v>20.78</v>
      </c>
      <c r="G1175" s="1" t="n">
        <f aca="false">IF(E1175=E1174,F1175/F1174-1,"")</f>
        <v>0</v>
      </c>
    </row>
    <row r="1176" customFormat="false" ht="14.25" hidden="false" customHeight="true" outlineLevel="0" collapsed="false">
      <c r="A1176" s="26" t="n">
        <v>11902</v>
      </c>
      <c r="B1176" s="1" t="n">
        <v>1932</v>
      </c>
      <c r="C1176" s="1" t="n">
        <v>8</v>
      </c>
      <c r="D1176" s="1" t="s">
        <v>49</v>
      </c>
      <c r="E1176" s="1" t="s">
        <v>14</v>
      </c>
      <c r="F1176" s="1" t="n">
        <v>20.78</v>
      </c>
      <c r="G1176" s="1" t="n">
        <f aca="false">IF(E1176=E1175,F1176/F1175-1,"")</f>
        <v>0</v>
      </c>
    </row>
    <row r="1177" customFormat="false" ht="14.25" hidden="false" customHeight="true" outlineLevel="0" collapsed="false">
      <c r="A1177" s="26" t="n">
        <v>11933</v>
      </c>
      <c r="B1177" s="1" t="n">
        <v>1932</v>
      </c>
      <c r="C1177" s="1" t="n">
        <v>9</v>
      </c>
      <c r="D1177" s="1" t="s">
        <v>50</v>
      </c>
      <c r="E1177" s="1" t="s">
        <v>14</v>
      </c>
      <c r="F1177" s="1" t="n">
        <v>20.78</v>
      </c>
      <c r="G1177" s="1" t="n">
        <f aca="false">IF(E1177=E1176,F1177/F1176-1,"")</f>
        <v>0</v>
      </c>
    </row>
    <row r="1178" customFormat="false" ht="14.25" hidden="false" customHeight="true" outlineLevel="0" collapsed="false">
      <c r="A1178" s="26" t="n">
        <v>11963</v>
      </c>
      <c r="B1178" s="1" t="n">
        <v>1932</v>
      </c>
      <c r="C1178" s="1" t="n">
        <v>10</v>
      </c>
      <c r="D1178" s="1" t="s">
        <v>51</v>
      </c>
      <c r="E1178" s="1" t="s">
        <v>14</v>
      </c>
      <c r="F1178" s="1" t="n">
        <v>20.78</v>
      </c>
      <c r="G1178" s="1" t="n">
        <f aca="false">IF(E1178=E1177,F1178/F1177-1,"")</f>
        <v>0</v>
      </c>
    </row>
    <row r="1179" customFormat="false" ht="14.25" hidden="false" customHeight="true" outlineLevel="0" collapsed="false">
      <c r="A1179" s="26" t="n">
        <v>11994</v>
      </c>
      <c r="B1179" s="1" t="n">
        <v>1932</v>
      </c>
      <c r="C1179" s="1" t="n">
        <v>11</v>
      </c>
      <c r="D1179" s="1" t="s">
        <v>52</v>
      </c>
      <c r="E1179" s="1" t="s">
        <v>14</v>
      </c>
      <c r="F1179" s="1" t="n">
        <v>20.78</v>
      </c>
      <c r="G1179" s="1" t="n">
        <f aca="false">IF(E1179=E1178,F1179/F1178-1,"")</f>
        <v>0</v>
      </c>
    </row>
    <row r="1180" customFormat="false" ht="14.25" hidden="false" customHeight="true" outlineLevel="0" collapsed="false">
      <c r="A1180" s="26" t="n">
        <v>12024</v>
      </c>
      <c r="B1180" s="1" t="n">
        <v>1932</v>
      </c>
      <c r="C1180" s="1" t="n">
        <v>12</v>
      </c>
      <c r="D1180" s="1" t="s">
        <v>53</v>
      </c>
      <c r="E1180" s="1" t="s">
        <v>14</v>
      </c>
      <c r="F1180" s="1" t="n">
        <v>20.78</v>
      </c>
      <c r="G1180" s="1" t="n">
        <f aca="false">IF(E1180=E1179,F1180/F1179-1,"")</f>
        <v>0</v>
      </c>
    </row>
    <row r="1181" customFormat="false" ht="14.25" hidden="false" customHeight="true" outlineLevel="0" collapsed="false">
      <c r="A1181" s="26" t="n">
        <v>12055</v>
      </c>
      <c r="B1181" s="1" t="n">
        <v>1933</v>
      </c>
      <c r="C1181" s="1" t="n">
        <v>1</v>
      </c>
      <c r="D1181" s="1" t="s">
        <v>42</v>
      </c>
      <c r="E1181" s="1" t="s">
        <v>14</v>
      </c>
      <c r="F1181" s="1" t="n">
        <v>26.47</v>
      </c>
      <c r="G1181" s="1" t="n">
        <f aca="false">IF(E1181=E1180,F1181/F1180-1,"")</f>
        <v>0.273820981713186</v>
      </c>
    </row>
    <row r="1182" customFormat="false" ht="14.25" hidden="false" customHeight="true" outlineLevel="0" collapsed="false">
      <c r="A1182" s="26" t="n">
        <v>12086</v>
      </c>
      <c r="B1182" s="1" t="n">
        <v>1933</v>
      </c>
      <c r="C1182" s="1" t="n">
        <v>2</v>
      </c>
      <c r="D1182" s="1" t="s">
        <v>43</v>
      </c>
      <c r="E1182" s="1" t="s">
        <v>14</v>
      </c>
      <c r="F1182" s="1" t="n">
        <v>26.47</v>
      </c>
      <c r="G1182" s="1" t="n">
        <f aca="false">IF(E1182=E1181,F1182/F1181-1,"")</f>
        <v>0</v>
      </c>
    </row>
    <row r="1183" customFormat="false" ht="14.25" hidden="false" customHeight="true" outlineLevel="0" collapsed="false">
      <c r="A1183" s="26" t="n">
        <v>12114</v>
      </c>
      <c r="B1183" s="1" t="n">
        <v>1933</v>
      </c>
      <c r="C1183" s="1" t="n">
        <v>3</v>
      </c>
      <c r="D1183" s="1" t="s">
        <v>44</v>
      </c>
      <c r="E1183" s="1" t="s">
        <v>14</v>
      </c>
      <c r="F1183" s="1" t="n">
        <v>26.47</v>
      </c>
      <c r="G1183" s="1" t="n">
        <f aca="false">IF(E1183=E1182,F1183/F1182-1,"")</f>
        <v>0</v>
      </c>
    </row>
    <row r="1184" customFormat="false" ht="14.25" hidden="false" customHeight="true" outlineLevel="0" collapsed="false">
      <c r="A1184" s="26" t="n">
        <v>12145</v>
      </c>
      <c r="B1184" s="1" t="n">
        <v>1933</v>
      </c>
      <c r="C1184" s="1" t="n">
        <v>4</v>
      </c>
      <c r="D1184" s="1" t="s">
        <v>45</v>
      </c>
      <c r="E1184" s="1" t="s">
        <v>14</v>
      </c>
      <c r="F1184" s="1" t="n">
        <v>26.47</v>
      </c>
      <c r="G1184" s="1" t="n">
        <f aca="false">IF(E1184=E1183,F1184/F1183-1,"")</f>
        <v>0</v>
      </c>
    </row>
    <row r="1185" customFormat="false" ht="14.25" hidden="false" customHeight="true" outlineLevel="0" collapsed="false">
      <c r="A1185" s="26" t="n">
        <v>12175</v>
      </c>
      <c r="B1185" s="1" t="n">
        <v>1933</v>
      </c>
      <c r="C1185" s="1" t="n">
        <v>5</v>
      </c>
      <c r="D1185" s="1" t="s">
        <v>46</v>
      </c>
      <c r="E1185" s="1" t="s">
        <v>14</v>
      </c>
      <c r="F1185" s="1" t="n">
        <v>26.47</v>
      </c>
      <c r="G1185" s="1" t="n">
        <f aca="false">IF(E1185=E1184,F1185/F1184-1,"")</f>
        <v>0</v>
      </c>
    </row>
    <row r="1186" customFormat="false" ht="14.25" hidden="false" customHeight="true" outlineLevel="0" collapsed="false">
      <c r="A1186" s="26" t="n">
        <v>12206</v>
      </c>
      <c r="B1186" s="1" t="n">
        <v>1933</v>
      </c>
      <c r="C1186" s="1" t="n">
        <v>6</v>
      </c>
      <c r="D1186" s="1" t="s">
        <v>47</v>
      </c>
      <c r="E1186" s="1" t="s">
        <v>14</v>
      </c>
      <c r="F1186" s="1" t="n">
        <v>26.47</v>
      </c>
      <c r="G1186" s="1" t="n">
        <f aca="false">IF(E1186=E1185,F1186/F1185-1,"")</f>
        <v>0</v>
      </c>
    </row>
    <row r="1187" customFormat="false" ht="14.25" hidden="false" customHeight="true" outlineLevel="0" collapsed="false">
      <c r="A1187" s="26" t="n">
        <v>12236</v>
      </c>
      <c r="B1187" s="1" t="n">
        <v>1933</v>
      </c>
      <c r="C1187" s="1" t="n">
        <v>7</v>
      </c>
      <c r="D1187" s="1" t="s">
        <v>48</v>
      </c>
      <c r="E1187" s="1" t="s">
        <v>14</v>
      </c>
      <c r="F1187" s="1" t="n">
        <v>26.47</v>
      </c>
      <c r="G1187" s="1" t="n">
        <f aca="false">IF(E1187=E1186,F1187/F1186-1,"")</f>
        <v>0</v>
      </c>
    </row>
    <row r="1188" customFormat="false" ht="14.25" hidden="false" customHeight="true" outlineLevel="0" collapsed="false">
      <c r="A1188" s="26" t="n">
        <v>12267</v>
      </c>
      <c r="B1188" s="1" t="n">
        <v>1933</v>
      </c>
      <c r="C1188" s="1" t="n">
        <v>8</v>
      </c>
      <c r="D1188" s="1" t="s">
        <v>49</v>
      </c>
      <c r="E1188" s="1" t="s">
        <v>14</v>
      </c>
      <c r="F1188" s="1" t="n">
        <v>26.47</v>
      </c>
      <c r="G1188" s="1" t="n">
        <f aca="false">IF(E1188=E1187,F1188/F1187-1,"")</f>
        <v>0</v>
      </c>
    </row>
    <row r="1189" customFormat="false" ht="14.25" hidden="false" customHeight="true" outlineLevel="0" collapsed="false">
      <c r="A1189" s="26" t="n">
        <v>12298</v>
      </c>
      <c r="B1189" s="1" t="n">
        <v>1933</v>
      </c>
      <c r="C1189" s="1" t="n">
        <v>9</v>
      </c>
      <c r="D1189" s="1" t="s">
        <v>50</v>
      </c>
      <c r="E1189" s="1" t="s">
        <v>14</v>
      </c>
      <c r="F1189" s="1" t="n">
        <v>26.47</v>
      </c>
      <c r="G1189" s="1" t="n">
        <f aca="false">IF(E1189=E1188,F1189/F1188-1,"")</f>
        <v>0</v>
      </c>
    </row>
    <row r="1190" customFormat="false" ht="14.25" hidden="false" customHeight="true" outlineLevel="0" collapsed="false">
      <c r="A1190" s="26" t="n">
        <v>12328</v>
      </c>
      <c r="B1190" s="1" t="n">
        <v>1933</v>
      </c>
      <c r="C1190" s="1" t="n">
        <v>10</v>
      </c>
      <c r="D1190" s="1" t="s">
        <v>51</v>
      </c>
      <c r="E1190" s="1" t="s">
        <v>14</v>
      </c>
      <c r="F1190" s="1" t="n">
        <v>26.47</v>
      </c>
      <c r="G1190" s="1" t="n">
        <f aca="false">IF(E1190=E1189,F1190/F1189-1,"")</f>
        <v>0</v>
      </c>
    </row>
    <row r="1191" customFormat="false" ht="14.25" hidden="false" customHeight="true" outlineLevel="0" collapsed="false">
      <c r="A1191" s="26" t="n">
        <v>12359</v>
      </c>
      <c r="B1191" s="1" t="n">
        <v>1933</v>
      </c>
      <c r="C1191" s="1" t="n">
        <v>11</v>
      </c>
      <c r="D1191" s="1" t="s">
        <v>52</v>
      </c>
      <c r="E1191" s="1" t="s">
        <v>14</v>
      </c>
      <c r="F1191" s="1" t="n">
        <v>26.47</v>
      </c>
      <c r="G1191" s="1" t="n">
        <f aca="false">IF(E1191=E1190,F1191/F1190-1,"")</f>
        <v>0</v>
      </c>
    </row>
    <row r="1192" customFormat="false" ht="14.25" hidden="false" customHeight="true" outlineLevel="0" collapsed="false">
      <c r="A1192" s="26" t="n">
        <v>12389</v>
      </c>
      <c r="B1192" s="1" t="n">
        <v>1933</v>
      </c>
      <c r="C1192" s="1" t="n">
        <v>12</v>
      </c>
      <c r="D1192" s="1" t="s">
        <v>53</v>
      </c>
      <c r="E1192" s="1" t="s">
        <v>14</v>
      </c>
      <c r="F1192" s="1" t="n">
        <v>26.47</v>
      </c>
      <c r="G1192" s="1" t="n">
        <f aca="false">IF(E1192=E1191,F1192/F1191-1,"")</f>
        <v>0</v>
      </c>
    </row>
    <row r="1193" customFormat="false" ht="14.25" hidden="false" customHeight="true" outlineLevel="0" collapsed="false">
      <c r="A1193" s="26" t="n">
        <v>12420</v>
      </c>
      <c r="B1193" s="1" t="n">
        <v>1934</v>
      </c>
      <c r="C1193" s="1" t="n">
        <v>1</v>
      </c>
      <c r="D1193" s="1" t="s">
        <v>42</v>
      </c>
      <c r="E1193" s="1" t="s">
        <v>14</v>
      </c>
      <c r="F1193" s="1" t="n">
        <v>35</v>
      </c>
      <c r="G1193" s="1" t="n">
        <f aca="false">IF(E1193=E1192,F1193/F1192-1,"")</f>
        <v>0.322251605591235</v>
      </c>
    </row>
    <row r="1194" customFormat="false" ht="14.25" hidden="false" customHeight="true" outlineLevel="0" collapsed="false">
      <c r="A1194" s="26" t="n">
        <v>12451</v>
      </c>
      <c r="B1194" s="1" t="n">
        <v>1934</v>
      </c>
      <c r="C1194" s="1" t="n">
        <v>2</v>
      </c>
      <c r="D1194" s="1" t="s">
        <v>43</v>
      </c>
      <c r="E1194" s="1" t="s">
        <v>14</v>
      </c>
      <c r="F1194" s="1" t="n">
        <v>35</v>
      </c>
      <c r="G1194" s="1" t="n">
        <f aca="false">IF(E1194=E1193,F1194/F1193-1,"")</f>
        <v>0</v>
      </c>
    </row>
    <row r="1195" customFormat="false" ht="14.25" hidden="false" customHeight="true" outlineLevel="0" collapsed="false">
      <c r="A1195" s="26" t="n">
        <v>12479</v>
      </c>
      <c r="B1195" s="1" t="n">
        <v>1934</v>
      </c>
      <c r="C1195" s="1" t="n">
        <v>3</v>
      </c>
      <c r="D1195" s="1" t="s">
        <v>44</v>
      </c>
      <c r="E1195" s="1" t="s">
        <v>14</v>
      </c>
      <c r="F1195" s="1" t="n">
        <v>35</v>
      </c>
      <c r="G1195" s="1" t="n">
        <f aca="false">IF(E1195=E1194,F1195/F1194-1,"")</f>
        <v>0</v>
      </c>
    </row>
    <row r="1196" customFormat="false" ht="14.25" hidden="false" customHeight="true" outlineLevel="0" collapsed="false">
      <c r="A1196" s="26" t="n">
        <v>12510</v>
      </c>
      <c r="B1196" s="1" t="n">
        <v>1934</v>
      </c>
      <c r="C1196" s="1" t="n">
        <v>4</v>
      </c>
      <c r="D1196" s="1" t="s">
        <v>45</v>
      </c>
      <c r="E1196" s="1" t="s">
        <v>14</v>
      </c>
      <c r="F1196" s="1" t="n">
        <v>35</v>
      </c>
      <c r="G1196" s="1" t="n">
        <f aca="false">IF(E1196=E1195,F1196/F1195-1,"")</f>
        <v>0</v>
      </c>
    </row>
    <row r="1197" customFormat="false" ht="14.25" hidden="false" customHeight="true" outlineLevel="0" collapsed="false">
      <c r="A1197" s="26" t="n">
        <v>12540</v>
      </c>
      <c r="B1197" s="1" t="n">
        <v>1934</v>
      </c>
      <c r="C1197" s="1" t="n">
        <v>5</v>
      </c>
      <c r="D1197" s="1" t="s">
        <v>46</v>
      </c>
      <c r="E1197" s="1" t="s">
        <v>14</v>
      </c>
      <c r="F1197" s="1" t="n">
        <v>35</v>
      </c>
      <c r="G1197" s="1" t="n">
        <f aca="false">IF(E1197=E1196,F1197/F1196-1,"")</f>
        <v>0</v>
      </c>
    </row>
    <row r="1198" customFormat="false" ht="14.25" hidden="false" customHeight="true" outlineLevel="0" collapsed="false">
      <c r="A1198" s="26" t="n">
        <v>12571</v>
      </c>
      <c r="B1198" s="1" t="n">
        <v>1934</v>
      </c>
      <c r="C1198" s="1" t="n">
        <v>6</v>
      </c>
      <c r="D1198" s="1" t="s">
        <v>47</v>
      </c>
      <c r="E1198" s="1" t="s">
        <v>14</v>
      </c>
      <c r="F1198" s="1" t="n">
        <v>35</v>
      </c>
      <c r="G1198" s="1" t="n">
        <f aca="false">IF(E1198=E1197,F1198/F1197-1,"")</f>
        <v>0</v>
      </c>
    </row>
    <row r="1199" customFormat="false" ht="14.25" hidden="false" customHeight="true" outlineLevel="0" collapsed="false">
      <c r="A1199" s="26" t="n">
        <v>12601</v>
      </c>
      <c r="B1199" s="1" t="n">
        <v>1934</v>
      </c>
      <c r="C1199" s="1" t="n">
        <v>7</v>
      </c>
      <c r="D1199" s="1" t="s">
        <v>48</v>
      </c>
      <c r="E1199" s="1" t="s">
        <v>14</v>
      </c>
      <c r="F1199" s="1" t="n">
        <v>35</v>
      </c>
      <c r="G1199" s="1" t="n">
        <f aca="false">IF(E1199=E1198,F1199/F1198-1,"")</f>
        <v>0</v>
      </c>
    </row>
    <row r="1200" customFormat="false" ht="14.25" hidden="false" customHeight="true" outlineLevel="0" collapsed="false">
      <c r="A1200" s="26" t="n">
        <v>12632</v>
      </c>
      <c r="B1200" s="1" t="n">
        <v>1934</v>
      </c>
      <c r="C1200" s="1" t="n">
        <v>8</v>
      </c>
      <c r="D1200" s="1" t="s">
        <v>49</v>
      </c>
      <c r="E1200" s="1" t="s">
        <v>14</v>
      </c>
      <c r="F1200" s="1" t="n">
        <v>35</v>
      </c>
      <c r="G1200" s="1" t="n">
        <f aca="false">IF(E1200=E1199,F1200/F1199-1,"")</f>
        <v>0</v>
      </c>
    </row>
    <row r="1201" customFormat="false" ht="14.25" hidden="false" customHeight="true" outlineLevel="0" collapsed="false">
      <c r="A1201" s="26" t="n">
        <v>12663</v>
      </c>
      <c r="B1201" s="1" t="n">
        <v>1934</v>
      </c>
      <c r="C1201" s="1" t="n">
        <v>9</v>
      </c>
      <c r="D1201" s="1" t="s">
        <v>50</v>
      </c>
      <c r="E1201" s="1" t="s">
        <v>14</v>
      </c>
      <c r="F1201" s="1" t="n">
        <v>35</v>
      </c>
      <c r="G1201" s="1" t="n">
        <f aca="false">IF(E1201=E1200,F1201/F1200-1,"")</f>
        <v>0</v>
      </c>
    </row>
    <row r="1202" customFormat="false" ht="14.25" hidden="false" customHeight="true" outlineLevel="0" collapsed="false">
      <c r="A1202" s="26" t="n">
        <v>12693</v>
      </c>
      <c r="B1202" s="1" t="n">
        <v>1934</v>
      </c>
      <c r="C1202" s="1" t="n">
        <v>10</v>
      </c>
      <c r="D1202" s="1" t="s">
        <v>51</v>
      </c>
      <c r="E1202" s="1" t="s">
        <v>14</v>
      </c>
      <c r="F1202" s="1" t="n">
        <v>35</v>
      </c>
      <c r="G1202" s="1" t="n">
        <f aca="false">IF(E1202=E1201,F1202/F1201-1,"")</f>
        <v>0</v>
      </c>
    </row>
    <row r="1203" customFormat="false" ht="14.25" hidden="false" customHeight="true" outlineLevel="0" collapsed="false">
      <c r="A1203" s="26" t="n">
        <v>12724</v>
      </c>
      <c r="B1203" s="1" t="n">
        <v>1934</v>
      </c>
      <c r="C1203" s="1" t="n">
        <v>11</v>
      </c>
      <c r="D1203" s="1" t="s">
        <v>52</v>
      </c>
      <c r="E1203" s="1" t="s">
        <v>14</v>
      </c>
      <c r="F1203" s="1" t="n">
        <v>35</v>
      </c>
      <c r="G1203" s="1" t="n">
        <f aca="false">IF(E1203=E1202,F1203/F1202-1,"")</f>
        <v>0</v>
      </c>
    </row>
    <row r="1204" customFormat="false" ht="14.25" hidden="false" customHeight="true" outlineLevel="0" collapsed="false">
      <c r="A1204" s="26" t="n">
        <v>12754</v>
      </c>
      <c r="B1204" s="1" t="n">
        <v>1934</v>
      </c>
      <c r="C1204" s="1" t="n">
        <v>12</v>
      </c>
      <c r="D1204" s="1" t="s">
        <v>53</v>
      </c>
      <c r="E1204" s="1" t="s">
        <v>14</v>
      </c>
      <c r="F1204" s="1" t="n">
        <v>35</v>
      </c>
      <c r="G1204" s="1" t="n">
        <f aca="false">IF(E1204=E1203,F1204/F1203-1,"")</f>
        <v>0</v>
      </c>
    </row>
    <row r="1205" customFormat="false" ht="14.25" hidden="false" customHeight="true" outlineLevel="0" collapsed="false">
      <c r="A1205" s="26" t="n">
        <v>12785</v>
      </c>
      <c r="B1205" s="1" t="n">
        <v>1935</v>
      </c>
      <c r="C1205" s="1" t="n">
        <v>1</v>
      </c>
      <c r="D1205" s="1" t="s">
        <v>42</v>
      </c>
      <c r="E1205" s="1" t="s">
        <v>14</v>
      </c>
      <c r="F1205" s="1" t="n">
        <v>35</v>
      </c>
      <c r="G1205" s="1" t="n">
        <f aca="false">IF(E1205=E1204,F1205/F1204-1,"")</f>
        <v>0</v>
      </c>
    </row>
    <row r="1206" customFormat="false" ht="14.25" hidden="false" customHeight="true" outlineLevel="0" collapsed="false">
      <c r="A1206" s="26" t="n">
        <v>12816</v>
      </c>
      <c r="B1206" s="1" t="n">
        <v>1935</v>
      </c>
      <c r="C1206" s="1" t="n">
        <v>2</v>
      </c>
      <c r="D1206" s="1" t="s">
        <v>43</v>
      </c>
      <c r="E1206" s="1" t="s">
        <v>14</v>
      </c>
      <c r="F1206" s="1" t="n">
        <v>35</v>
      </c>
      <c r="G1206" s="1" t="n">
        <f aca="false">IF(E1206=E1205,F1206/F1205-1,"")</f>
        <v>0</v>
      </c>
    </row>
    <row r="1207" customFormat="false" ht="14.25" hidden="false" customHeight="true" outlineLevel="0" collapsed="false">
      <c r="A1207" s="26" t="n">
        <v>12844</v>
      </c>
      <c r="B1207" s="1" t="n">
        <v>1935</v>
      </c>
      <c r="C1207" s="1" t="n">
        <v>3</v>
      </c>
      <c r="D1207" s="1" t="s">
        <v>44</v>
      </c>
      <c r="E1207" s="1" t="s">
        <v>14</v>
      </c>
      <c r="F1207" s="1" t="n">
        <v>35</v>
      </c>
      <c r="G1207" s="1" t="n">
        <f aca="false">IF(E1207=E1206,F1207/F1206-1,"")</f>
        <v>0</v>
      </c>
    </row>
    <row r="1208" customFormat="false" ht="14.25" hidden="false" customHeight="true" outlineLevel="0" collapsed="false">
      <c r="A1208" s="26" t="n">
        <v>12875</v>
      </c>
      <c r="B1208" s="1" t="n">
        <v>1935</v>
      </c>
      <c r="C1208" s="1" t="n">
        <v>4</v>
      </c>
      <c r="D1208" s="1" t="s">
        <v>45</v>
      </c>
      <c r="E1208" s="1" t="s">
        <v>14</v>
      </c>
      <c r="F1208" s="1" t="n">
        <v>35</v>
      </c>
      <c r="G1208" s="1" t="n">
        <f aca="false">IF(E1208=E1207,F1208/F1207-1,"")</f>
        <v>0</v>
      </c>
    </row>
    <row r="1209" customFormat="false" ht="14.25" hidden="false" customHeight="true" outlineLevel="0" collapsed="false">
      <c r="A1209" s="26" t="n">
        <v>12905</v>
      </c>
      <c r="B1209" s="1" t="n">
        <v>1935</v>
      </c>
      <c r="C1209" s="1" t="n">
        <v>5</v>
      </c>
      <c r="D1209" s="1" t="s">
        <v>46</v>
      </c>
      <c r="E1209" s="1" t="s">
        <v>14</v>
      </c>
      <c r="F1209" s="1" t="n">
        <v>35</v>
      </c>
      <c r="G1209" s="1" t="n">
        <f aca="false">IF(E1209=E1208,F1209/F1208-1,"")</f>
        <v>0</v>
      </c>
    </row>
    <row r="1210" customFormat="false" ht="14.25" hidden="false" customHeight="true" outlineLevel="0" collapsed="false">
      <c r="A1210" s="26" t="n">
        <v>12936</v>
      </c>
      <c r="B1210" s="1" t="n">
        <v>1935</v>
      </c>
      <c r="C1210" s="1" t="n">
        <v>6</v>
      </c>
      <c r="D1210" s="1" t="s">
        <v>47</v>
      </c>
      <c r="E1210" s="1" t="s">
        <v>14</v>
      </c>
      <c r="F1210" s="1" t="n">
        <v>35</v>
      </c>
      <c r="G1210" s="1" t="n">
        <f aca="false">IF(E1210=E1209,F1210/F1209-1,"")</f>
        <v>0</v>
      </c>
    </row>
    <row r="1211" customFormat="false" ht="14.25" hidden="false" customHeight="true" outlineLevel="0" collapsed="false">
      <c r="A1211" s="26" t="n">
        <v>12966</v>
      </c>
      <c r="B1211" s="1" t="n">
        <v>1935</v>
      </c>
      <c r="C1211" s="1" t="n">
        <v>7</v>
      </c>
      <c r="D1211" s="1" t="s">
        <v>48</v>
      </c>
      <c r="E1211" s="1" t="s">
        <v>14</v>
      </c>
      <c r="F1211" s="1" t="n">
        <v>35</v>
      </c>
      <c r="G1211" s="1" t="n">
        <f aca="false">IF(E1211=E1210,F1211/F1210-1,"")</f>
        <v>0</v>
      </c>
    </row>
    <row r="1212" customFormat="false" ht="14.25" hidden="false" customHeight="true" outlineLevel="0" collapsed="false">
      <c r="A1212" s="26" t="n">
        <v>12997</v>
      </c>
      <c r="B1212" s="1" t="n">
        <v>1935</v>
      </c>
      <c r="C1212" s="1" t="n">
        <v>8</v>
      </c>
      <c r="D1212" s="1" t="s">
        <v>49</v>
      </c>
      <c r="E1212" s="1" t="s">
        <v>14</v>
      </c>
      <c r="F1212" s="1" t="n">
        <v>35</v>
      </c>
      <c r="G1212" s="1" t="n">
        <f aca="false">IF(E1212=E1211,F1212/F1211-1,"")</f>
        <v>0</v>
      </c>
    </row>
    <row r="1213" customFormat="false" ht="14.25" hidden="false" customHeight="true" outlineLevel="0" collapsed="false">
      <c r="A1213" s="26" t="n">
        <v>13028</v>
      </c>
      <c r="B1213" s="1" t="n">
        <v>1935</v>
      </c>
      <c r="C1213" s="1" t="n">
        <v>9</v>
      </c>
      <c r="D1213" s="1" t="s">
        <v>50</v>
      </c>
      <c r="E1213" s="1" t="s">
        <v>14</v>
      </c>
      <c r="F1213" s="1" t="n">
        <v>35</v>
      </c>
      <c r="G1213" s="1" t="n">
        <f aca="false">IF(E1213=E1212,F1213/F1212-1,"")</f>
        <v>0</v>
      </c>
    </row>
    <row r="1214" customFormat="false" ht="14.25" hidden="false" customHeight="true" outlineLevel="0" collapsed="false">
      <c r="A1214" s="26" t="n">
        <v>13058</v>
      </c>
      <c r="B1214" s="1" t="n">
        <v>1935</v>
      </c>
      <c r="C1214" s="1" t="n">
        <v>10</v>
      </c>
      <c r="D1214" s="1" t="s">
        <v>51</v>
      </c>
      <c r="E1214" s="1" t="s">
        <v>14</v>
      </c>
      <c r="F1214" s="1" t="n">
        <v>35</v>
      </c>
      <c r="G1214" s="1" t="n">
        <f aca="false">IF(E1214=E1213,F1214/F1213-1,"")</f>
        <v>0</v>
      </c>
    </row>
    <row r="1215" customFormat="false" ht="14.25" hidden="false" customHeight="true" outlineLevel="0" collapsed="false">
      <c r="A1215" s="26" t="n">
        <v>13089</v>
      </c>
      <c r="B1215" s="1" t="n">
        <v>1935</v>
      </c>
      <c r="C1215" s="1" t="n">
        <v>11</v>
      </c>
      <c r="D1215" s="1" t="s">
        <v>52</v>
      </c>
      <c r="E1215" s="1" t="s">
        <v>14</v>
      </c>
      <c r="F1215" s="1" t="n">
        <v>35</v>
      </c>
      <c r="G1215" s="1" t="n">
        <f aca="false">IF(E1215=E1214,F1215/F1214-1,"")</f>
        <v>0</v>
      </c>
    </row>
    <row r="1216" customFormat="false" ht="14.25" hidden="false" customHeight="true" outlineLevel="0" collapsed="false">
      <c r="A1216" s="26" t="n">
        <v>13119</v>
      </c>
      <c r="B1216" s="1" t="n">
        <v>1935</v>
      </c>
      <c r="C1216" s="1" t="n">
        <v>12</v>
      </c>
      <c r="D1216" s="1" t="s">
        <v>53</v>
      </c>
      <c r="E1216" s="1" t="s">
        <v>14</v>
      </c>
      <c r="F1216" s="1" t="n">
        <v>35</v>
      </c>
      <c r="G1216" s="1" t="n">
        <f aca="false">IF(E1216=E1215,F1216/F1215-1,"")</f>
        <v>0</v>
      </c>
    </row>
    <row r="1217" customFormat="false" ht="14.25" hidden="false" customHeight="true" outlineLevel="0" collapsed="false">
      <c r="A1217" s="26" t="n">
        <v>13150</v>
      </c>
      <c r="B1217" s="1" t="n">
        <v>1936</v>
      </c>
      <c r="C1217" s="1" t="n">
        <v>1</v>
      </c>
      <c r="D1217" s="1" t="s">
        <v>42</v>
      </c>
      <c r="E1217" s="1" t="s">
        <v>14</v>
      </c>
      <c r="F1217" s="1" t="n">
        <v>35</v>
      </c>
      <c r="G1217" s="1" t="n">
        <f aca="false">IF(E1217=E1216,F1217/F1216-1,"")</f>
        <v>0</v>
      </c>
    </row>
    <row r="1218" customFormat="false" ht="14.25" hidden="false" customHeight="true" outlineLevel="0" collapsed="false">
      <c r="A1218" s="26" t="n">
        <v>13181</v>
      </c>
      <c r="B1218" s="1" t="n">
        <v>1936</v>
      </c>
      <c r="C1218" s="1" t="n">
        <v>2</v>
      </c>
      <c r="D1218" s="1" t="s">
        <v>43</v>
      </c>
      <c r="E1218" s="1" t="s">
        <v>14</v>
      </c>
      <c r="F1218" s="1" t="n">
        <v>35</v>
      </c>
      <c r="G1218" s="1" t="n">
        <f aca="false">IF(E1218=E1217,F1218/F1217-1,"")</f>
        <v>0</v>
      </c>
    </row>
    <row r="1219" customFormat="false" ht="14.25" hidden="false" customHeight="true" outlineLevel="0" collapsed="false">
      <c r="A1219" s="26" t="n">
        <v>13210</v>
      </c>
      <c r="B1219" s="1" t="n">
        <v>1936</v>
      </c>
      <c r="C1219" s="1" t="n">
        <v>3</v>
      </c>
      <c r="D1219" s="1" t="s">
        <v>44</v>
      </c>
      <c r="E1219" s="1" t="s">
        <v>14</v>
      </c>
      <c r="F1219" s="1" t="n">
        <v>35</v>
      </c>
      <c r="G1219" s="1" t="n">
        <f aca="false">IF(E1219=E1218,F1219/F1218-1,"")</f>
        <v>0</v>
      </c>
    </row>
    <row r="1220" customFormat="false" ht="14.25" hidden="false" customHeight="true" outlineLevel="0" collapsed="false">
      <c r="A1220" s="26" t="n">
        <v>13241</v>
      </c>
      <c r="B1220" s="1" t="n">
        <v>1936</v>
      </c>
      <c r="C1220" s="1" t="n">
        <v>4</v>
      </c>
      <c r="D1220" s="1" t="s">
        <v>45</v>
      </c>
      <c r="E1220" s="1" t="s">
        <v>14</v>
      </c>
      <c r="F1220" s="1" t="n">
        <v>35</v>
      </c>
      <c r="G1220" s="1" t="n">
        <f aca="false">IF(E1220=E1219,F1220/F1219-1,"")</f>
        <v>0</v>
      </c>
    </row>
    <row r="1221" customFormat="false" ht="14.25" hidden="false" customHeight="true" outlineLevel="0" collapsed="false">
      <c r="A1221" s="26" t="n">
        <v>13271</v>
      </c>
      <c r="B1221" s="1" t="n">
        <v>1936</v>
      </c>
      <c r="C1221" s="1" t="n">
        <v>5</v>
      </c>
      <c r="D1221" s="1" t="s">
        <v>46</v>
      </c>
      <c r="E1221" s="1" t="s">
        <v>14</v>
      </c>
      <c r="F1221" s="1" t="n">
        <v>35</v>
      </c>
      <c r="G1221" s="1" t="n">
        <f aca="false">IF(E1221=E1220,F1221/F1220-1,"")</f>
        <v>0</v>
      </c>
    </row>
    <row r="1222" customFormat="false" ht="14.25" hidden="false" customHeight="true" outlineLevel="0" collapsed="false">
      <c r="A1222" s="26" t="n">
        <v>13302</v>
      </c>
      <c r="B1222" s="1" t="n">
        <v>1936</v>
      </c>
      <c r="C1222" s="1" t="n">
        <v>6</v>
      </c>
      <c r="D1222" s="1" t="s">
        <v>47</v>
      </c>
      <c r="E1222" s="1" t="s">
        <v>14</v>
      </c>
      <c r="F1222" s="1" t="n">
        <v>35</v>
      </c>
      <c r="G1222" s="1" t="n">
        <f aca="false">IF(E1222=E1221,F1222/F1221-1,"")</f>
        <v>0</v>
      </c>
    </row>
    <row r="1223" customFormat="false" ht="14.25" hidden="false" customHeight="true" outlineLevel="0" collapsed="false">
      <c r="A1223" s="26" t="n">
        <v>13332</v>
      </c>
      <c r="B1223" s="1" t="n">
        <v>1936</v>
      </c>
      <c r="C1223" s="1" t="n">
        <v>7</v>
      </c>
      <c r="D1223" s="1" t="s">
        <v>48</v>
      </c>
      <c r="E1223" s="1" t="s">
        <v>14</v>
      </c>
      <c r="F1223" s="1" t="n">
        <v>35</v>
      </c>
      <c r="G1223" s="1" t="n">
        <f aca="false">IF(E1223=E1222,F1223/F1222-1,"")</f>
        <v>0</v>
      </c>
    </row>
    <row r="1224" customFormat="false" ht="14.25" hidden="false" customHeight="true" outlineLevel="0" collapsed="false">
      <c r="A1224" s="26" t="n">
        <v>13363</v>
      </c>
      <c r="B1224" s="1" t="n">
        <v>1936</v>
      </c>
      <c r="C1224" s="1" t="n">
        <v>8</v>
      </c>
      <c r="D1224" s="1" t="s">
        <v>49</v>
      </c>
      <c r="E1224" s="1" t="s">
        <v>14</v>
      </c>
      <c r="F1224" s="1" t="n">
        <v>35</v>
      </c>
      <c r="G1224" s="1" t="n">
        <f aca="false">IF(E1224=E1223,F1224/F1223-1,"")</f>
        <v>0</v>
      </c>
    </row>
    <row r="1225" customFormat="false" ht="14.25" hidden="false" customHeight="true" outlineLevel="0" collapsed="false">
      <c r="A1225" s="26" t="n">
        <v>13394</v>
      </c>
      <c r="B1225" s="1" t="n">
        <v>1936</v>
      </c>
      <c r="C1225" s="1" t="n">
        <v>9</v>
      </c>
      <c r="D1225" s="1" t="s">
        <v>50</v>
      </c>
      <c r="E1225" s="1" t="s">
        <v>14</v>
      </c>
      <c r="F1225" s="1" t="n">
        <v>35</v>
      </c>
      <c r="G1225" s="1" t="n">
        <f aca="false">IF(E1225=E1224,F1225/F1224-1,"")</f>
        <v>0</v>
      </c>
    </row>
    <row r="1226" customFormat="false" ht="14.25" hidden="false" customHeight="true" outlineLevel="0" collapsed="false">
      <c r="A1226" s="26" t="n">
        <v>13424</v>
      </c>
      <c r="B1226" s="1" t="n">
        <v>1936</v>
      </c>
      <c r="C1226" s="1" t="n">
        <v>10</v>
      </c>
      <c r="D1226" s="1" t="s">
        <v>51</v>
      </c>
      <c r="E1226" s="1" t="s">
        <v>14</v>
      </c>
      <c r="F1226" s="1" t="n">
        <v>35</v>
      </c>
      <c r="G1226" s="1" t="n">
        <f aca="false">IF(E1226=E1225,F1226/F1225-1,"")</f>
        <v>0</v>
      </c>
    </row>
    <row r="1227" customFormat="false" ht="14.25" hidden="false" customHeight="true" outlineLevel="0" collapsed="false">
      <c r="A1227" s="26" t="n">
        <v>13455</v>
      </c>
      <c r="B1227" s="1" t="n">
        <v>1936</v>
      </c>
      <c r="C1227" s="1" t="n">
        <v>11</v>
      </c>
      <c r="D1227" s="1" t="s">
        <v>52</v>
      </c>
      <c r="E1227" s="1" t="s">
        <v>14</v>
      </c>
      <c r="F1227" s="1" t="n">
        <v>35</v>
      </c>
      <c r="G1227" s="1" t="n">
        <f aca="false">IF(E1227=E1226,F1227/F1226-1,"")</f>
        <v>0</v>
      </c>
    </row>
    <row r="1228" customFormat="false" ht="14.25" hidden="false" customHeight="true" outlineLevel="0" collapsed="false">
      <c r="A1228" s="26" t="n">
        <v>13485</v>
      </c>
      <c r="B1228" s="1" t="n">
        <v>1936</v>
      </c>
      <c r="C1228" s="1" t="n">
        <v>12</v>
      </c>
      <c r="D1228" s="1" t="s">
        <v>53</v>
      </c>
      <c r="E1228" s="1" t="s">
        <v>14</v>
      </c>
      <c r="F1228" s="1" t="n">
        <v>35</v>
      </c>
      <c r="G1228" s="1" t="n">
        <f aca="false">IF(E1228=E1227,F1228/F1227-1,"")</f>
        <v>0</v>
      </c>
    </row>
    <row r="1229" customFormat="false" ht="14.25" hidden="false" customHeight="true" outlineLevel="0" collapsed="false">
      <c r="A1229" s="26" t="n">
        <v>13516</v>
      </c>
      <c r="B1229" s="1" t="n">
        <v>1937</v>
      </c>
      <c r="C1229" s="1" t="n">
        <v>1</v>
      </c>
      <c r="D1229" s="1" t="s">
        <v>42</v>
      </c>
      <c r="E1229" s="1" t="s">
        <v>14</v>
      </c>
      <c r="F1229" s="1" t="n">
        <v>35</v>
      </c>
      <c r="G1229" s="1" t="n">
        <f aca="false">IF(E1229=E1228,F1229/F1228-1,"")</f>
        <v>0</v>
      </c>
    </row>
    <row r="1230" customFormat="false" ht="14.25" hidden="false" customHeight="true" outlineLevel="0" collapsed="false">
      <c r="A1230" s="26" t="n">
        <v>13547</v>
      </c>
      <c r="B1230" s="1" t="n">
        <v>1937</v>
      </c>
      <c r="C1230" s="1" t="n">
        <v>2</v>
      </c>
      <c r="D1230" s="1" t="s">
        <v>43</v>
      </c>
      <c r="E1230" s="1" t="s">
        <v>14</v>
      </c>
      <c r="F1230" s="1" t="n">
        <v>35</v>
      </c>
      <c r="G1230" s="1" t="n">
        <f aca="false">IF(E1230=E1229,F1230/F1229-1,"")</f>
        <v>0</v>
      </c>
    </row>
    <row r="1231" customFormat="false" ht="14.25" hidden="false" customHeight="true" outlineLevel="0" collapsed="false">
      <c r="A1231" s="26" t="n">
        <v>13575</v>
      </c>
      <c r="B1231" s="1" t="n">
        <v>1937</v>
      </c>
      <c r="C1231" s="1" t="n">
        <v>3</v>
      </c>
      <c r="D1231" s="1" t="s">
        <v>44</v>
      </c>
      <c r="E1231" s="1" t="s">
        <v>14</v>
      </c>
      <c r="F1231" s="1" t="n">
        <v>35</v>
      </c>
      <c r="G1231" s="1" t="n">
        <f aca="false">IF(E1231=E1230,F1231/F1230-1,"")</f>
        <v>0</v>
      </c>
    </row>
    <row r="1232" customFormat="false" ht="14.25" hidden="false" customHeight="true" outlineLevel="0" collapsed="false">
      <c r="A1232" s="26" t="n">
        <v>13606</v>
      </c>
      <c r="B1232" s="1" t="n">
        <v>1937</v>
      </c>
      <c r="C1232" s="1" t="n">
        <v>4</v>
      </c>
      <c r="D1232" s="1" t="s">
        <v>45</v>
      </c>
      <c r="E1232" s="1" t="s">
        <v>14</v>
      </c>
      <c r="F1232" s="1" t="n">
        <v>35</v>
      </c>
      <c r="G1232" s="1" t="n">
        <f aca="false">IF(E1232=E1231,F1232/F1231-1,"")</f>
        <v>0</v>
      </c>
    </row>
    <row r="1233" customFormat="false" ht="14.25" hidden="false" customHeight="true" outlineLevel="0" collapsed="false">
      <c r="A1233" s="26" t="n">
        <v>13636</v>
      </c>
      <c r="B1233" s="1" t="n">
        <v>1937</v>
      </c>
      <c r="C1233" s="1" t="n">
        <v>5</v>
      </c>
      <c r="D1233" s="1" t="s">
        <v>46</v>
      </c>
      <c r="E1233" s="1" t="s">
        <v>14</v>
      </c>
      <c r="F1233" s="1" t="n">
        <v>35</v>
      </c>
      <c r="G1233" s="1" t="n">
        <f aca="false">IF(E1233=E1232,F1233/F1232-1,"")</f>
        <v>0</v>
      </c>
    </row>
    <row r="1234" customFormat="false" ht="14.25" hidden="false" customHeight="true" outlineLevel="0" collapsed="false">
      <c r="A1234" s="26" t="n">
        <v>13667</v>
      </c>
      <c r="B1234" s="1" t="n">
        <v>1937</v>
      </c>
      <c r="C1234" s="1" t="n">
        <v>6</v>
      </c>
      <c r="D1234" s="1" t="s">
        <v>47</v>
      </c>
      <c r="E1234" s="1" t="s">
        <v>14</v>
      </c>
      <c r="F1234" s="1" t="n">
        <v>35</v>
      </c>
      <c r="G1234" s="1" t="n">
        <f aca="false">IF(E1234=E1233,F1234/F1233-1,"")</f>
        <v>0</v>
      </c>
    </row>
    <row r="1235" customFormat="false" ht="14.25" hidden="false" customHeight="true" outlineLevel="0" collapsed="false">
      <c r="A1235" s="26" t="n">
        <v>13697</v>
      </c>
      <c r="B1235" s="1" t="n">
        <v>1937</v>
      </c>
      <c r="C1235" s="1" t="n">
        <v>7</v>
      </c>
      <c r="D1235" s="1" t="s">
        <v>48</v>
      </c>
      <c r="E1235" s="1" t="s">
        <v>14</v>
      </c>
      <c r="F1235" s="1" t="n">
        <v>35</v>
      </c>
      <c r="G1235" s="1" t="n">
        <f aca="false">IF(E1235=E1234,F1235/F1234-1,"")</f>
        <v>0</v>
      </c>
    </row>
    <row r="1236" customFormat="false" ht="14.25" hidden="false" customHeight="true" outlineLevel="0" collapsed="false">
      <c r="A1236" s="26" t="n">
        <v>13728</v>
      </c>
      <c r="B1236" s="1" t="n">
        <v>1937</v>
      </c>
      <c r="C1236" s="1" t="n">
        <v>8</v>
      </c>
      <c r="D1236" s="1" t="s">
        <v>49</v>
      </c>
      <c r="E1236" s="1" t="s">
        <v>14</v>
      </c>
      <c r="F1236" s="1" t="n">
        <v>35</v>
      </c>
      <c r="G1236" s="1" t="n">
        <f aca="false">IF(E1236=E1235,F1236/F1235-1,"")</f>
        <v>0</v>
      </c>
    </row>
    <row r="1237" customFormat="false" ht="14.25" hidden="false" customHeight="true" outlineLevel="0" collapsed="false">
      <c r="A1237" s="26" t="n">
        <v>13759</v>
      </c>
      <c r="B1237" s="1" t="n">
        <v>1937</v>
      </c>
      <c r="C1237" s="1" t="n">
        <v>9</v>
      </c>
      <c r="D1237" s="1" t="s">
        <v>50</v>
      </c>
      <c r="E1237" s="1" t="s">
        <v>14</v>
      </c>
      <c r="F1237" s="1" t="n">
        <v>35</v>
      </c>
      <c r="G1237" s="1" t="n">
        <f aca="false">IF(E1237=E1236,F1237/F1236-1,"")</f>
        <v>0</v>
      </c>
    </row>
    <row r="1238" customFormat="false" ht="14.25" hidden="false" customHeight="true" outlineLevel="0" collapsed="false">
      <c r="A1238" s="26" t="n">
        <v>13789</v>
      </c>
      <c r="B1238" s="1" t="n">
        <v>1937</v>
      </c>
      <c r="C1238" s="1" t="n">
        <v>10</v>
      </c>
      <c r="D1238" s="1" t="s">
        <v>51</v>
      </c>
      <c r="E1238" s="1" t="s">
        <v>14</v>
      </c>
      <c r="F1238" s="1" t="n">
        <v>35</v>
      </c>
      <c r="G1238" s="1" t="n">
        <f aca="false">IF(E1238=E1237,F1238/F1237-1,"")</f>
        <v>0</v>
      </c>
    </row>
    <row r="1239" customFormat="false" ht="14.25" hidden="false" customHeight="true" outlineLevel="0" collapsed="false">
      <c r="A1239" s="26" t="n">
        <v>13820</v>
      </c>
      <c r="B1239" s="1" t="n">
        <v>1937</v>
      </c>
      <c r="C1239" s="1" t="n">
        <v>11</v>
      </c>
      <c r="D1239" s="1" t="s">
        <v>52</v>
      </c>
      <c r="E1239" s="1" t="s">
        <v>14</v>
      </c>
      <c r="F1239" s="1" t="n">
        <v>35</v>
      </c>
      <c r="G1239" s="1" t="n">
        <f aca="false">IF(E1239=E1238,F1239/F1238-1,"")</f>
        <v>0</v>
      </c>
    </row>
    <row r="1240" customFormat="false" ht="14.25" hidden="false" customHeight="true" outlineLevel="0" collapsed="false">
      <c r="A1240" s="26" t="n">
        <v>13850</v>
      </c>
      <c r="B1240" s="1" t="n">
        <v>1937</v>
      </c>
      <c r="C1240" s="1" t="n">
        <v>12</v>
      </c>
      <c r="D1240" s="1" t="s">
        <v>53</v>
      </c>
      <c r="E1240" s="1" t="s">
        <v>14</v>
      </c>
      <c r="F1240" s="1" t="n">
        <v>35</v>
      </c>
      <c r="G1240" s="1" t="n">
        <f aca="false">IF(E1240=E1239,F1240/F1239-1,"")</f>
        <v>0</v>
      </c>
    </row>
    <row r="1241" customFormat="false" ht="14.25" hidden="false" customHeight="true" outlineLevel="0" collapsed="false">
      <c r="A1241" s="26" t="n">
        <v>13881</v>
      </c>
      <c r="B1241" s="1" t="n">
        <v>1938</v>
      </c>
      <c r="C1241" s="1" t="n">
        <v>1</v>
      </c>
      <c r="D1241" s="1" t="s">
        <v>42</v>
      </c>
      <c r="E1241" s="1" t="s">
        <v>14</v>
      </c>
      <c r="F1241" s="1" t="n">
        <v>35</v>
      </c>
      <c r="G1241" s="1" t="n">
        <f aca="false">IF(E1241=E1240,F1241/F1240-1,"")</f>
        <v>0</v>
      </c>
    </row>
    <row r="1242" customFormat="false" ht="14.25" hidden="false" customHeight="true" outlineLevel="0" collapsed="false">
      <c r="A1242" s="26" t="n">
        <v>13912</v>
      </c>
      <c r="B1242" s="1" t="n">
        <v>1938</v>
      </c>
      <c r="C1242" s="1" t="n">
        <v>2</v>
      </c>
      <c r="D1242" s="1" t="s">
        <v>43</v>
      </c>
      <c r="E1242" s="1" t="s">
        <v>14</v>
      </c>
      <c r="F1242" s="1" t="n">
        <v>35</v>
      </c>
      <c r="G1242" s="1" t="n">
        <f aca="false">IF(E1242=E1241,F1242/F1241-1,"")</f>
        <v>0</v>
      </c>
    </row>
    <row r="1243" customFormat="false" ht="14.25" hidden="false" customHeight="true" outlineLevel="0" collapsed="false">
      <c r="A1243" s="26" t="n">
        <v>13940</v>
      </c>
      <c r="B1243" s="1" t="n">
        <v>1938</v>
      </c>
      <c r="C1243" s="1" t="n">
        <v>3</v>
      </c>
      <c r="D1243" s="1" t="s">
        <v>44</v>
      </c>
      <c r="E1243" s="1" t="s">
        <v>14</v>
      </c>
      <c r="F1243" s="1" t="n">
        <v>35</v>
      </c>
      <c r="G1243" s="1" t="n">
        <f aca="false">IF(E1243=E1242,F1243/F1242-1,"")</f>
        <v>0</v>
      </c>
    </row>
    <row r="1244" customFormat="false" ht="14.25" hidden="false" customHeight="true" outlineLevel="0" collapsed="false">
      <c r="A1244" s="26" t="n">
        <v>13971</v>
      </c>
      <c r="B1244" s="1" t="n">
        <v>1938</v>
      </c>
      <c r="C1244" s="1" t="n">
        <v>4</v>
      </c>
      <c r="D1244" s="1" t="s">
        <v>45</v>
      </c>
      <c r="E1244" s="1" t="s">
        <v>14</v>
      </c>
      <c r="F1244" s="1" t="n">
        <v>35</v>
      </c>
      <c r="G1244" s="1" t="n">
        <f aca="false">IF(E1244=E1243,F1244/F1243-1,"")</f>
        <v>0</v>
      </c>
    </row>
    <row r="1245" customFormat="false" ht="14.25" hidden="false" customHeight="true" outlineLevel="0" collapsed="false">
      <c r="A1245" s="26" t="n">
        <v>14001</v>
      </c>
      <c r="B1245" s="1" t="n">
        <v>1938</v>
      </c>
      <c r="C1245" s="1" t="n">
        <v>5</v>
      </c>
      <c r="D1245" s="1" t="s">
        <v>46</v>
      </c>
      <c r="E1245" s="1" t="s">
        <v>14</v>
      </c>
      <c r="F1245" s="1" t="n">
        <v>35</v>
      </c>
      <c r="G1245" s="1" t="n">
        <f aca="false">IF(E1245=E1244,F1245/F1244-1,"")</f>
        <v>0</v>
      </c>
    </row>
    <row r="1246" customFormat="false" ht="14.25" hidden="false" customHeight="true" outlineLevel="0" collapsed="false">
      <c r="A1246" s="26" t="n">
        <v>14032</v>
      </c>
      <c r="B1246" s="1" t="n">
        <v>1938</v>
      </c>
      <c r="C1246" s="1" t="n">
        <v>6</v>
      </c>
      <c r="D1246" s="1" t="s">
        <v>47</v>
      </c>
      <c r="E1246" s="1" t="s">
        <v>14</v>
      </c>
      <c r="F1246" s="1" t="n">
        <v>35</v>
      </c>
      <c r="G1246" s="1" t="n">
        <f aca="false">IF(E1246=E1245,F1246/F1245-1,"")</f>
        <v>0</v>
      </c>
    </row>
    <row r="1247" customFormat="false" ht="14.25" hidden="false" customHeight="true" outlineLevel="0" collapsed="false">
      <c r="A1247" s="26" t="n">
        <v>14062</v>
      </c>
      <c r="B1247" s="1" t="n">
        <v>1938</v>
      </c>
      <c r="C1247" s="1" t="n">
        <v>7</v>
      </c>
      <c r="D1247" s="1" t="s">
        <v>48</v>
      </c>
      <c r="E1247" s="1" t="s">
        <v>14</v>
      </c>
      <c r="F1247" s="1" t="n">
        <v>35</v>
      </c>
      <c r="G1247" s="1" t="n">
        <f aca="false">IF(E1247=E1246,F1247/F1246-1,"")</f>
        <v>0</v>
      </c>
    </row>
    <row r="1248" customFormat="false" ht="14.25" hidden="false" customHeight="true" outlineLevel="0" collapsed="false">
      <c r="A1248" s="26" t="n">
        <v>14093</v>
      </c>
      <c r="B1248" s="1" t="n">
        <v>1938</v>
      </c>
      <c r="C1248" s="1" t="n">
        <v>8</v>
      </c>
      <c r="D1248" s="1" t="s">
        <v>49</v>
      </c>
      <c r="E1248" s="1" t="s">
        <v>14</v>
      </c>
      <c r="F1248" s="1" t="n">
        <v>35</v>
      </c>
      <c r="G1248" s="1" t="n">
        <f aca="false">IF(E1248=E1247,F1248/F1247-1,"")</f>
        <v>0</v>
      </c>
    </row>
    <row r="1249" customFormat="false" ht="14.25" hidden="false" customHeight="true" outlineLevel="0" collapsed="false">
      <c r="A1249" s="26" t="n">
        <v>14124</v>
      </c>
      <c r="B1249" s="1" t="n">
        <v>1938</v>
      </c>
      <c r="C1249" s="1" t="n">
        <v>9</v>
      </c>
      <c r="D1249" s="1" t="s">
        <v>50</v>
      </c>
      <c r="E1249" s="1" t="s">
        <v>14</v>
      </c>
      <c r="F1249" s="1" t="n">
        <v>35</v>
      </c>
      <c r="G1249" s="1" t="n">
        <f aca="false">IF(E1249=E1248,F1249/F1248-1,"")</f>
        <v>0</v>
      </c>
    </row>
    <row r="1250" customFormat="false" ht="14.25" hidden="false" customHeight="true" outlineLevel="0" collapsed="false">
      <c r="A1250" s="26" t="n">
        <v>14154</v>
      </c>
      <c r="B1250" s="1" t="n">
        <v>1938</v>
      </c>
      <c r="C1250" s="1" t="n">
        <v>10</v>
      </c>
      <c r="D1250" s="1" t="s">
        <v>51</v>
      </c>
      <c r="E1250" s="1" t="s">
        <v>14</v>
      </c>
      <c r="F1250" s="1" t="n">
        <v>35</v>
      </c>
      <c r="G1250" s="1" t="n">
        <f aca="false">IF(E1250=E1249,F1250/F1249-1,"")</f>
        <v>0</v>
      </c>
    </row>
    <row r="1251" customFormat="false" ht="14.25" hidden="false" customHeight="true" outlineLevel="0" collapsed="false">
      <c r="A1251" s="26" t="n">
        <v>14185</v>
      </c>
      <c r="B1251" s="1" t="n">
        <v>1938</v>
      </c>
      <c r="C1251" s="1" t="n">
        <v>11</v>
      </c>
      <c r="D1251" s="1" t="s">
        <v>52</v>
      </c>
      <c r="E1251" s="1" t="s">
        <v>14</v>
      </c>
      <c r="F1251" s="1" t="n">
        <v>35</v>
      </c>
      <c r="G1251" s="1" t="n">
        <f aca="false">IF(E1251=E1250,F1251/F1250-1,"")</f>
        <v>0</v>
      </c>
    </row>
    <row r="1252" customFormat="false" ht="14.25" hidden="false" customHeight="true" outlineLevel="0" collapsed="false">
      <c r="A1252" s="26" t="n">
        <v>14215</v>
      </c>
      <c r="B1252" s="1" t="n">
        <v>1938</v>
      </c>
      <c r="C1252" s="1" t="n">
        <v>12</v>
      </c>
      <c r="D1252" s="1" t="s">
        <v>53</v>
      </c>
      <c r="E1252" s="1" t="s">
        <v>14</v>
      </c>
      <c r="F1252" s="1" t="n">
        <v>35</v>
      </c>
      <c r="G1252" s="1" t="n">
        <f aca="false">IF(E1252=E1251,F1252/F1251-1,"")</f>
        <v>0</v>
      </c>
    </row>
    <row r="1253" customFormat="false" ht="14.25" hidden="false" customHeight="true" outlineLevel="0" collapsed="false">
      <c r="A1253" s="26" t="n">
        <v>14246</v>
      </c>
      <c r="B1253" s="1" t="n">
        <v>1939</v>
      </c>
      <c r="C1253" s="1" t="n">
        <v>1</v>
      </c>
      <c r="D1253" s="1" t="s">
        <v>42</v>
      </c>
      <c r="E1253" s="1" t="s">
        <v>14</v>
      </c>
      <c r="F1253" s="1" t="n">
        <v>34.69</v>
      </c>
      <c r="G1253" s="1" t="n">
        <f aca="false">IF(E1253=E1252,F1253/F1252-1,"")</f>
        <v>-0.0088571428571429</v>
      </c>
    </row>
    <row r="1254" customFormat="false" ht="14.25" hidden="false" customHeight="true" outlineLevel="0" collapsed="false">
      <c r="A1254" s="26" t="n">
        <v>14277</v>
      </c>
      <c r="B1254" s="1" t="n">
        <v>1939</v>
      </c>
      <c r="C1254" s="1" t="n">
        <v>2</v>
      </c>
      <c r="D1254" s="1" t="s">
        <v>43</v>
      </c>
      <c r="E1254" s="1" t="s">
        <v>14</v>
      </c>
      <c r="F1254" s="1" t="n">
        <v>34.69</v>
      </c>
      <c r="G1254" s="1" t="n">
        <f aca="false">IF(E1254=E1253,F1254/F1253-1,"")</f>
        <v>0</v>
      </c>
    </row>
    <row r="1255" customFormat="false" ht="14.25" hidden="false" customHeight="true" outlineLevel="0" collapsed="false">
      <c r="A1255" s="26" t="n">
        <v>14305</v>
      </c>
      <c r="B1255" s="1" t="n">
        <v>1939</v>
      </c>
      <c r="C1255" s="1" t="n">
        <v>3</v>
      </c>
      <c r="D1255" s="1" t="s">
        <v>44</v>
      </c>
      <c r="E1255" s="1" t="s">
        <v>14</v>
      </c>
      <c r="F1255" s="1" t="n">
        <v>34.69</v>
      </c>
      <c r="G1255" s="1" t="n">
        <f aca="false">IF(E1255=E1254,F1255/F1254-1,"")</f>
        <v>0</v>
      </c>
    </row>
    <row r="1256" customFormat="false" ht="14.25" hidden="false" customHeight="true" outlineLevel="0" collapsed="false">
      <c r="A1256" s="26" t="n">
        <v>14336</v>
      </c>
      <c r="B1256" s="1" t="n">
        <v>1939</v>
      </c>
      <c r="C1256" s="1" t="n">
        <v>4</v>
      </c>
      <c r="D1256" s="1" t="s">
        <v>45</v>
      </c>
      <c r="E1256" s="1" t="s">
        <v>14</v>
      </c>
      <c r="F1256" s="1" t="n">
        <v>34.69</v>
      </c>
      <c r="G1256" s="1" t="n">
        <f aca="false">IF(E1256=E1255,F1256/F1255-1,"")</f>
        <v>0</v>
      </c>
    </row>
    <row r="1257" customFormat="false" ht="14.25" hidden="false" customHeight="true" outlineLevel="0" collapsed="false">
      <c r="A1257" s="26" t="n">
        <v>14366</v>
      </c>
      <c r="B1257" s="1" t="n">
        <v>1939</v>
      </c>
      <c r="C1257" s="1" t="n">
        <v>5</v>
      </c>
      <c r="D1257" s="1" t="s">
        <v>46</v>
      </c>
      <c r="E1257" s="1" t="s">
        <v>14</v>
      </c>
      <c r="F1257" s="1" t="n">
        <v>34.69</v>
      </c>
      <c r="G1257" s="1" t="n">
        <f aca="false">IF(E1257=E1256,F1257/F1256-1,"")</f>
        <v>0</v>
      </c>
    </row>
    <row r="1258" customFormat="false" ht="14.25" hidden="false" customHeight="true" outlineLevel="0" collapsed="false">
      <c r="A1258" s="26" t="n">
        <v>14397</v>
      </c>
      <c r="B1258" s="1" t="n">
        <v>1939</v>
      </c>
      <c r="C1258" s="1" t="n">
        <v>6</v>
      </c>
      <c r="D1258" s="1" t="s">
        <v>47</v>
      </c>
      <c r="E1258" s="1" t="s">
        <v>14</v>
      </c>
      <c r="F1258" s="1" t="n">
        <v>34.69</v>
      </c>
      <c r="G1258" s="1" t="n">
        <f aca="false">IF(E1258=E1257,F1258/F1257-1,"")</f>
        <v>0</v>
      </c>
    </row>
    <row r="1259" customFormat="false" ht="14.25" hidden="false" customHeight="true" outlineLevel="0" collapsed="false">
      <c r="A1259" s="26" t="n">
        <v>14427</v>
      </c>
      <c r="B1259" s="1" t="n">
        <v>1939</v>
      </c>
      <c r="C1259" s="1" t="n">
        <v>7</v>
      </c>
      <c r="D1259" s="1" t="s">
        <v>48</v>
      </c>
      <c r="E1259" s="1" t="s">
        <v>14</v>
      </c>
      <c r="F1259" s="1" t="n">
        <v>34.69</v>
      </c>
      <c r="G1259" s="1" t="n">
        <f aca="false">IF(E1259=E1258,F1259/F1258-1,"")</f>
        <v>0</v>
      </c>
    </row>
    <row r="1260" customFormat="false" ht="14.25" hidden="false" customHeight="true" outlineLevel="0" collapsed="false">
      <c r="A1260" s="26" t="n">
        <v>14458</v>
      </c>
      <c r="B1260" s="1" t="n">
        <v>1939</v>
      </c>
      <c r="C1260" s="1" t="n">
        <v>8</v>
      </c>
      <c r="D1260" s="1" t="s">
        <v>49</v>
      </c>
      <c r="E1260" s="1" t="s">
        <v>14</v>
      </c>
      <c r="F1260" s="1" t="n">
        <v>34.69</v>
      </c>
      <c r="G1260" s="1" t="n">
        <f aca="false">IF(E1260=E1259,F1260/F1259-1,"")</f>
        <v>0</v>
      </c>
    </row>
    <row r="1261" customFormat="false" ht="14.25" hidden="false" customHeight="true" outlineLevel="0" collapsed="false">
      <c r="A1261" s="26" t="n">
        <v>14489</v>
      </c>
      <c r="B1261" s="1" t="n">
        <v>1939</v>
      </c>
      <c r="C1261" s="1" t="n">
        <v>9</v>
      </c>
      <c r="D1261" s="1" t="s">
        <v>50</v>
      </c>
      <c r="E1261" s="1" t="s">
        <v>14</v>
      </c>
      <c r="F1261" s="1" t="n">
        <v>34.69</v>
      </c>
      <c r="G1261" s="1" t="n">
        <f aca="false">IF(E1261=E1260,F1261/F1260-1,"")</f>
        <v>0</v>
      </c>
    </row>
    <row r="1262" customFormat="false" ht="14.25" hidden="false" customHeight="true" outlineLevel="0" collapsed="false">
      <c r="A1262" s="26" t="n">
        <v>14519</v>
      </c>
      <c r="B1262" s="1" t="n">
        <v>1939</v>
      </c>
      <c r="C1262" s="1" t="n">
        <v>10</v>
      </c>
      <c r="D1262" s="1" t="s">
        <v>51</v>
      </c>
      <c r="E1262" s="1" t="s">
        <v>14</v>
      </c>
      <c r="F1262" s="1" t="n">
        <v>34.69</v>
      </c>
      <c r="G1262" s="1" t="n">
        <f aca="false">IF(E1262=E1261,F1262/F1261-1,"")</f>
        <v>0</v>
      </c>
    </row>
    <row r="1263" customFormat="false" ht="14.25" hidden="false" customHeight="true" outlineLevel="0" collapsed="false">
      <c r="A1263" s="26" t="n">
        <v>14550</v>
      </c>
      <c r="B1263" s="1" t="n">
        <v>1939</v>
      </c>
      <c r="C1263" s="1" t="n">
        <v>11</v>
      </c>
      <c r="D1263" s="1" t="s">
        <v>52</v>
      </c>
      <c r="E1263" s="1" t="s">
        <v>14</v>
      </c>
      <c r="F1263" s="1" t="n">
        <v>34.69</v>
      </c>
      <c r="G1263" s="1" t="n">
        <f aca="false">IF(E1263=E1262,F1263/F1262-1,"")</f>
        <v>0</v>
      </c>
    </row>
    <row r="1264" customFormat="false" ht="14.25" hidden="false" customHeight="true" outlineLevel="0" collapsed="false">
      <c r="A1264" s="26" t="n">
        <v>14580</v>
      </c>
      <c r="B1264" s="1" t="n">
        <v>1939</v>
      </c>
      <c r="C1264" s="1" t="n">
        <v>12</v>
      </c>
      <c r="D1264" s="1" t="s">
        <v>53</v>
      </c>
      <c r="E1264" s="1" t="s">
        <v>14</v>
      </c>
      <c r="F1264" s="1" t="n">
        <v>34.69</v>
      </c>
      <c r="G1264" s="1" t="n">
        <f aca="false">IF(E1264=E1263,F1264/F1263-1,"")</f>
        <v>0</v>
      </c>
    </row>
    <row r="1265" customFormat="false" ht="14.25" hidden="false" customHeight="true" outlineLevel="0" collapsed="false">
      <c r="A1265" s="26" t="n">
        <v>14611</v>
      </c>
      <c r="B1265" s="1" t="n">
        <v>1940</v>
      </c>
      <c r="C1265" s="1" t="n">
        <v>1</v>
      </c>
      <c r="D1265" s="1" t="s">
        <v>42</v>
      </c>
      <c r="E1265" s="1" t="s">
        <v>14</v>
      </c>
      <c r="F1265" s="1" t="n">
        <v>34.06</v>
      </c>
      <c r="G1265" s="1" t="n">
        <f aca="false">IF(E1265=E1264,F1265/F1264-1,"")</f>
        <v>-0.0181608532718361</v>
      </c>
    </row>
    <row r="1266" customFormat="false" ht="14.25" hidden="false" customHeight="true" outlineLevel="0" collapsed="false">
      <c r="A1266" s="26" t="n">
        <v>14642</v>
      </c>
      <c r="B1266" s="1" t="n">
        <v>1940</v>
      </c>
      <c r="C1266" s="1" t="n">
        <v>2</v>
      </c>
      <c r="D1266" s="1" t="s">
        <v>43</v>
      </c>
      <c r="E1266" s="1" t="s">
        <v>14</v>
      </c>
      <c r="F1266" s="1" t="n">
        <v>34.06</v>
      </c>
      <c r="G1266" s="1" t="n">
        <f aca="false">IF(E1266=E1265,F1266/F1265-1,"")</f>
        <v>0</v>
      </c>
    </row>
    <row r="1267" customFormat="false" ht="14.25" hidden="false" customHeight="true" outlineLevel="0" collapsed="false">
      <c r="A1267" s="26" t="n">
        <v>14671</v>
      </c>
      <c r="B1267" s="1" t="n">
        <v>1940</v>
      </c>
      <c r="C1267" s="1" t="n">
        <v>3</v>
      </c>
      <c r="D1267" s="1" t="s">
        <v>44</v>
      </c>
      <c r="E1267" s="1" t="s">
        <v>14</v>
      </c>
      <c r="F1267" s="1" t="n">
        <v>34.06</v>
      </c>
      <c r="G1267" s="1" t="n">
        <f aca="false">IF(E1267=E1266,F1267/F1266-1,"")</f>
        <v>0</v>
      </c>
    </row>
    <row r="1268" customFormat="false" ht="14.25" hidden="false" customHeight="true" outlineLevel="0" collapsed="false">
      <c r="A1268" s="26" t="n">
        <v>14702</v>
      </c>
      <c r="B1268" s="1" t="n">
        <v>1940</v>
      </c>
      <c r="C1268" s="1" t="n">
        <v>4</v>
      </c>
      <c r="D1268" s="1" t="s">
        <v>45</v>
      </c>
      <c r="E1268" s="1" t="s">
        <v>14</v>
      </c>
      <c r="F1268" s="1" t="n">
        <v>34.06</v>
      </c>
      <c r="G1268" s="1" t="n">
        <f aca="false">IF(E1268=E1267,F1268/F1267-1,"")</f>
        <v>0</v>
      </c>
    </row>
    <row r="1269" customFormat="false" ht="14.25" hidden="false" customHeight="true" outlineLevel="0" collapsed="false">
      <c r="A1269" s="26" t="n">
        <v>14732</v>
      </c>
      <c r="B1269" s="1" t="n">
        <v>1940</v>
      </c>
      <c r="C1269" s="1" t="n">
        <v>5</v>
      </c>
      <c r="D1269" s="1" t="s">
        <v>46</v>
      </c>
      <c r="E1269" s="1" t="s">
        <v>14</v>
      </c>
      <c r="F1269" s="1" t="n">
        <v>34.06</v>
      </c>
      <c r="G1269" s="1" t="n">
        <f aca="false">IF(E1269=E1268,F1269/F1268-1,"")</f>
        <v>0</v>
      </c>
    </row>
    <row r="1270" customFormat="false" ht="14.25" hidden="false" customHeight="true" outlineLevel="0" collapsed="false">
      <c r="A1270" s="26" t="n">
        <v>14763</v>
      </c>
      <c r="B1270" s="1" t="n">
        <v>1940</v>
      </c>
      <c r="C1270" s="1" t="n">
        <v>6</v>
      </c>
      <c r="D1270" s="1" t="s">
        <v>47</v>
      </c>
      <c r="E1270" s="1" t="s">
        <v>14</v>
      </c>
      <c r="F1270" s="1" t="n">
        <v>34.06</v>
      </c>
      <c r="G1270" s="1" t="n">
        <f aca="false">IF(E1270=E1269,F1270/F1269-1,"")</f>
        <v>0</v>
      </c>
    </row>
    <row r="1271" customFormat="false" ht="14.25" hidden="false" customHeight="true" outlineLevel="0" collapsed="false">
      <c r="A1271" s="26" t="n">
        <v>14793</v>
      </c>
      <c r="B1271" s="1" t="n">
        <v>1940</v>
      </c>
      <c r="C1271" s="1" t="n">
        <v>7</v>
      </c>
      <c r="D1271" s="1" t="s">
        <v>48</v>
      </c>
      <c r="E1271" s="1" t="s">
        <v>14</v>
      </c>
      <c r="F1271" s="1" t="n">
        <v>34.06</v>
      </c>
      <c r="G1271" s="1" t="n">
        <f aca="false">IF(E1271=E1270,F1271/F1270-1,"")</f>
        <v>0</v>
      </c>
    </row>
    <row r="1272" customFormat="false" ht="14.25" hidden="false" customHeight="true" outlineLevel="0" collapsed="false">
      <c r="A1272" s="26" t="n">
        <v>14824</v>
      </c>
      <c r="B1272" s="1" t="n">
        <v>1940</v>
      </c>
      <c r="C1272" s="1" t="n">
        <v>8</v>
      </c>
      <c r="D1272" s="1" t="s">
        <v>49</v>
      </c>
      <c r="E1272" s="1" t="s">
        <v>14</v>
      </c>
      <c r="F1272" s="1" t="n">
        <v>34.06</v>
      </c>
      <c r="G1272" s="1" t="n">
        <f aca="false">IF(E1272=E1271,F1272/F1271-1,"")</f>
        <v>0</v>
      </c>
    </row>
    <row r="1273" customFormat="false" ht="14.25" hidden="false" customHeight="true" outlineLevel="0" collapsed="false">
      <c r="A1273" s="26" t="n">
        <v>14855</v>
      </c>
      <c r="B1273" s="1" t="n">
        <v>1940</v>
      </c>
      <c r="C1273" s="1" t="n">
        <v>9</v>
      </c>
      <c r="D1273" s="1" t="s">
        <v>50</v>
      </c>
      <c r="E1273" s="1" t="s">
        <v>14</v>
      </c>
      <c r="F1273" s="1" t="n">
        <v>34.06</v>
      </c>
      <c r="G1273" s="1" t="n">
        <f aca="false">IF(E1273=E1272,F1273/F1272-1,"")</f>
        <v>0</v>
      </c>
    </row>
    <row r="1274" customFormat="false" ht="14.25" hidden="false" customHeight="true" outlineLevel="0" collapsed="false">
      <c r="A1274" s="26" t="n">
        <v>14885</v>
      </c>
      <c r="B1274" s="1" t="n">
        <v>1940</v>
      </c>
      <c r="C1274" s="1" t="n">
        <v>10</v>
      </c>
      <c r="D1274" s="1" t="s">
        <v>51</v>
      </c>
      <c r="E1274" s="1" t="s">
        <v>14</v>
      </c>
      <c r="F1274" s="1" t="n">
        <v>34.06</v>
      </c>
      <c r="G1274" s="1" t="n">
        <f aca="false">IF(E1274=E1273,F1274/F1273-1,"")</f>
        <v>0</v>
      </c>
    </row>
    <row r="1275" customFormat="false" ht="14.25" hidden="false" customHeight="true" outlineLevel="0" collapsed="false">
      <c r="A1275" s="26" t="n">
        <v>14916</v>
      </c>
      <c r="B1275" s="1" t="n">
        <v>1940</v>
      </c>
      <c r="C1275" s="1" t="n">
        <v>11</v>
      </c>
      <c r="D1275" s="1" t="s">
        <v>52</v>
      </c>
      <c r="E1275" s="1" t="s">
        <v>14</v>
      </c>
      <c r="F1275" s="1" t="n">
        <v>34.06</v>
      </c>
      <c r="G1275" s="1" t="n">
        <f aca="false">IF(E1275=E1274,F1275/F1274-1,"")</f>
        <v>0</v>
      </c>
    </row>
    <row r="1276" customFormat="false" ht="14.25" hidden="false" customHeight="true" outlineLevel="0" collapsed="false">
      <c r="A1276" s="26" t="n">
        <v>14946</v>
      </c>
      <c r="B1276" s="1" t="n">
        <v>1940</v>
      </c>
      <c r="C1276" s="1" t="n">
        <v>12</v>
      </c>
      <c r="D1276" s="1" t="s">
        <v>53</v>
      </c>
      <c r="E1276" s="1" t="s">
        <v>14</v>
      </c>
      <c r="F1276" s="1" t="n">
        <v>34.06</v>
      </c>
      <c r="G1276" s="1" t="n">
        <f aca="false">IF(E1276=E1275,F1276/F1275-1,"")</f>
        <v>0</v>
      </c>
    </row>
    <row r="1277" customFormat="false" ht="14.25" hidden="false" customHeight="true" outlineLevel="0" collapsed="false">
      <c r="A1277" s="26" t="n">
        <v>14977</v>
      </c>
      <c r="B1277" s="1" t="n">
        <v>1941</v>
      </c>
      <c r="C1277" s="1" t="n">
        <v>1</v>
      </c>
      <c r="D1277" s="1" t="s">
        <v>42</v>
      </c>
      <c r="E1277" s="1" t="s">
        <v>14</v>
      </c>
      <c r="F1277" s="1" t="n">
        <v>34.06</v>
      </c>
      <c r="G1277" s="1" t="n">
        <f aca="false">IF(E1277=E1276,F1277/F1276-1,"")</f>
        <v>0</v>
      </c>
    </row>
    <row r="1278" customFormat="false" ht="14.25" hidden="false" customHeight="true" outlineLevel="0" collapsed="false">
      <c r="A1278" s="26" t="n">
        <v>15008</v>
      </c>
      <c r="B1278" s="1" t="n">
        <v>1941</v>
      </c>
      <c r="C1278" s="1" t="n">
        <v>2</v>
      </c>
      <c r="D1278" s="1" t="s">
        <v>43</v>
      </c>
      <c r="E1278" s="1" t="s">
        <v>14</v>
      </c>
      <c r="F1278" s="1" t="n">
        <v>34.06</v>
      </c>
      <c r="G1278" s="1" t="n">
        <f aca="false">IF(E1278=E1277,F1278/F1277-1,"")</f>
        <v>0</v>
      </c>
    </row>
    <row r="1279" customFormat="false" ht="14.25" hidden="false" customHeight="true" outlineLevel="0" collapsed="false">
      <c r="A1279" s="26" t="n">
        <v>15036</v>
      </c>
      <c r="B1279" s="1" t="n">
        <v>1941</v>
      </c>
      <c r="C1279" s="1" t="n">
        <v>3</v>
      </c>
      <c r="D1279" s="1" t="s">
        <v>44</v>
      </c>
      <c r="E1279" s="1" t="s">
        <v>14</v>
      </c>
      <c r="F1279" s="1" t="n">
        <v>34.06</v>
      </c>
      <c r="G1279" s="1" t="n">
        <f aca="false">IF(E1279=E1278,F1279/F1278-1,"")</f>
        <v>0</v>
      </c>
    </row>
    <row r="1280" customFormat="false" ht="14.25" hidden="false" customHeight="true" outlineLevel="0" collapsed="false">
      <c r="A1280" s="26" t="n">
        <v>15067</v>
      </c>
      <c r="B1280" s="1" t="n">
        <v>1941</v>
      </c>
      <c r="C1280" s="1" t="n">
        <v>4</v>
      </c>
      <c r="D1280" s="1" t="s">
        <v>45</v>
      </c>
      <c r="E1280" s="1" t="s">
        <v>14</v>
      </c>
      <c r="F1280" s="1" t="n">
        <v>34.06</v>
      </c>
      <c r="G1280" s="1" t="n">
        <f aca="false">IF(E1280=E1279,F1280/F1279-1,"")</f>
        <v>0</v>
      </c>
    </row>
    <row r="1281" customFormat="false" ht="14.25" hidden="false" customHeight="true" outlineLevel="0" collapsed="false">
      <c r="A1281" s="26" t="n">
        <v>15097</v>
      </c>
      <c r="B1281" s="1" t="n">
        <v>1941</v>
      </c>
      <c r="C1281" s="1" t="n">
        <v>5</v>
      </c>
      <c r="D1281" s="1" t="s">
        <v>46</v>
      </c>
      <c r="E1281" s="1" t="s">
        <v>14</v>
      </c>
      <c r="F1281" s="1" t="n">
        <v>34.06</v>
      </c>
      <c r="G1281" s="1" t="n">
        <f aca="false">IF(E1281=E1280,F1281/F1280-1,"")</f>
        <v>0</v>
      </c>
    </row>
    <row r="1282" customFormat="false" ht="14.25" hidden="false" customHeight="true" outlineLevel="0" collapsed="false">
      <c r="A1282" s="26" t="n">
        <v>15128</v>
      </c>
      <c r="B1282" s="1" t="n">
        <v>1941</v>
      </c>
      <c r="C1282" s="1" t="n">
        <v>6</v>
      </c>
      <c r="D1282" s="1" t="s">
        <v>47</v>
      </c>
      <c r="E1282" s="1" t="s">
        <v>14</v>
      </c>
      <c r="F1282" s="1" t="n">
        <v>34.06</v>
      </c>
      <c r="G1282" s="1" t="n">
        <f aca="false">IF(E1282=E1281,F1282/F1281-1,"")</f>
        <v>0</v>
      </c>
    </row>
    <row r="1283" customFormat="false" ht="14.25" hidden="false" customHeight="true" outlineLevel="0" collapsed="false">
      <c r="A1283" s="26" t="n">
        <v>15158</v>
      </c>
      <c r="B1283" s="1" t="n">
        <v>1941</v>
      </c>
      <c r="C1283" s="1" t="n">
        <v>7</v>
      </c>
      <c r="D1283" s="1" t="s">
        <v>48</v>
      </c>
      <c r="E1283" s="1" t="s">
        <v>14</v>
      </c>
      <c r="F1283" s="1" t="n">
        <v>34.06</v>
      </c>
      <c r="G1283" s="1" t="n">
        <f aca="false">IF(E1283=E1282,F1283/F1282-1,"")</f>
        <v>0</v>
      </c>
    </row>
    <row r="1284" customFormat="false" ht="14.25" hidden="false" customHeight="true" outlineLevel="0" collapsed="false">
      <c r="A1284" s="26" t="n">
        <v>15189</v>
      </c>
      <c r="B1284" s="1" t="n">
        <v>1941</v>
      </c>
      <c r="C1284" s="1" t="n">
        <v>8</v>
      </c>
      <c r="D1284" s="1" t="s">
        <v>49</v>
      </c>
      <c r="E1284" s="1" t="s">
        <v>14</v>
      </c>
      <c r="F1284" s="1" t="n">
        <v>34.06</v>
      </c>
      <c r="G1284" s="1" t="n">
        <f aca="false">IF(E1284=E1283,F1284/F1283-1,"")</f>
        <v>0</v>
      </c>
    </row>
    <row r="1285" customFormat="false" ht="14.25" hidden="false" customHeight="true" outlineLevel="0" collapsed="false">
      <c r="A1285" s="26" t="n">
        <v>15220</v>
      </c>
      <c r="B1285" s="1" t="n">
        <v>1941</v>
      </c>
      <c r="C1285" s="1" t="n">
        <v>9</v>
      </c>
      <c r="D1285" s="1" t="s">
        <v>50</v>
      </c>
      <c r="E1285" s="1" t="s">
        <v>14</v>
      </c>
      <c r="F1285" s="1" t="n">
        <v>34.06</v>
      </c>
      <c r="G1285" s="1" t="n">
        <f aca="false">IF(E1285=E1284,F1285/F1284-1,"")</f>
        <v>0</v>
      </c>
    </row>
    <row r="1286" customFormat="false" ht="14.25" hidden="false" customHeight="true" outlineLevel="0" collapsed="false">
      <c r="A1286" s="26" t="n">
        <v>15250</v>
      </c>
      <c r="B1286" s="1" t="n">
        <v>1941</v>
      </c>
      <c r="C1286" s="1" t="n">
        <v>10</v>
      </c>
      <c r="D1286" s="1" t="s">
        <v>51</v>
      </c>
      <c r="E1286" s="1" t="s">
        <v>14</v>
      </c>
      <c r="F1286" s="1" t="n">
        <v>34.06</v>
      </c>
      <c r="G1286" s="1" t="n">
        <f aca="false">IF(E1286=E1285,F1286/F1285-1,"")</f>
        <v>0</v>
      </c>
    </row>
    <row r="1287" customFormat="false" ht="14.25" hidden="false" customHeight="true" outlineLevel="0" collapsed="false">
      <c r="A1287" s="26" t="n">
        <v>15281</v>
      </c>
      <c r="B1287" s="1" t="n">
        <v>1941</v>
      </c>
      <c r="C1287" s="1" t="n">
        <v>11</v>
      </c>
      <c r="D1287" s="1" t="s">
        <v>52</v>
      </c>
      <c r="E1287" s="1" t="s">
        <v>14</v>
      </c>
      <c r="F1287" s="1" t="n">
        <v>34.06</v>
      </c>
      <c r="G1287" s="1" t="n">
        <f aca="false">IF(E1287=E1286,F1287/F1286-1,"")</f>
        <v>0</v>
      </c>
    </row>
    <row r="1288" customFormat="false" ht="14.25" hidden="false" customHeight="true" outlineLevel="0" collapsed="false">
      <c r="A1288" s="26" t="n">
        <v>15311</v>
      </c>
      <c r="B1288" s="1" t="n">
        <v>1941</v>
      </c>
      <c r="C1288" s="1" t="n">
        <v>12</v>
      </c>
      <c r="D1288" s="1" t="s">
        <v>53</v>
      </c>
      <c r="E1288" s="1" t="s">
        <v>14</v>
      </c>
      <c r="F1288" s="1" t="n">
        <v>34.06</v>
      </c>
      <c r="G1288" s="1" t="n">
        <f aca="false">IF(E1288=E1287,F1288/F1287-1,"")</f>
        <v>0</v>
      </c>
    </row>
    <row r="1289" customFormat="false" ht="14.25" hidden="false" customHeight="true" outlineLevel="0" collapsed="false">
      <c r="A1289" s="26" t="n">
        <v>15342</v>
      </c>
      <c r="B1289" s="1" t="n">
        <v>1942</v>
      </c>
      <c r="C1289" s="1" t="n">
        <v>1</v>
      </c>
      <c r="D1289" s="1" t="s">
        <v>42</v>
      </c>
      <c r="E1289" s="1" t="s">
        <v>14</v>
      </c>
      <c r="F1289" s="1" t="n">
        <v>34.06</v>
      </c>
      <c r="G1289" s="1" t="n">
        <f aca="false">IF(E1289=E1288,F1289/F1288-1,"")</f>
        <v>0</v>
      </c>
    </row>
    <row r="1290" customFormat="false" ht="14.25" hidden="false" customHeight="true" outlineLevel="0" collapsed="false">
      <c r="A1290" s="26" t="n">
        <v>15373</v>
      </c>
      <c r="B1290" s="1" t="n">
        <v>1942</v>
      </c>
      <c r="C1290" s="1" t="n">
        <v>2</v>
      </c>
      <c r="D1290" s="1" t="s">
        <v>43</v>
      </c>
      <c r="E1290" s="1" t="s">
        <v>14</v>
      </c>
      <c r="F1290" s="1" t="n">
        <v>34.06</v>
      </c>
      <c r="G1290" s="1" t="n">
        <f aca="false">IF(E1290=E1289,F1290/F1289-1,"")</f>
        <v>0</v>
      </c>
    </row>
    <row r="1291" customFormat="false" ht="14.25" hidden="false" customHeight="true" outlineLevel="0" collapsed="false">
      <c r="A1291" s="26" t="n">
        <v>15401</v>
      </c>
      <c r="B1291" s="1" t="n">
        <v>1942</v>
      </c>
      <c r="C1291" s="1" t="n">
        <v>3</v>
      </c>
      <c r="D1291" s="1" t="s">
        <v>44</v>
      </c>
      <c r="E1291" s="1" t="s">
        <v>14</v>
      </c>
      <c r="F1291" s="1" t="n">
        <v>34.06</v>
      </c>
      <c r="G1291" s="1" t="n">
        <f aca="false">IF(E1291=E1290,F1291/F1290-1,"")</f>
        <v>0</v>
      </c>
    </row>
    <row r="1292" customFormat="false" ht="14.25" hidden="false" customHeight="true" outlineLevel="0" collapsed="false">
      <c r="A1292" s="26" t="n">
        <v>15432</v>
      </c>
      <c r="B1292" s="1" t="n">
        <v>1942</v>
      </c>
      <c r="C1292" s="1" t="n">
        <v>4</v>
      </c>
      <c r="D1292" s="1" t="s">
        <v>45</v>
      </c>
      <c r="E1292" s="1" t="s">
        <v>14</v>
      </c>
      <c r="F1292" s="1" t="n">
        <v>34.06</v>
      </c>
      <c r="G1292" s="1" t="n">
        <f aca="false">IF(E1292=E1291,F1292/F1291-1,"")</f>
        <v>0</v>
      </c>
    </row>
    <row r="1293" customFormat="false" ht="14.25" hidden="false" customHeight="true" outlineLevel="0" collapsed="false">
      <c r="A1293" s="26" t="n">
        <v>15462</v>
      </c>
      <c r="B1293" s="1" t="n">
        <v>1942</v>
      </c>
      <c r="C1293" s="1" t="n">
        <v>5</v>
      </c>
      <c r="D1293" s="1" t="s">
        <v>46</v>
      </c>
      <c r="E1293" s="1" t="s">
        <v>14</v>
      </c>
      <c r="F1293" s="1" t="n">
        <v>34.06</v>
      </c>
      <c r="G1293" s="1" t="n">
        <f aca="false">IF(E1293=E1292,F1293/F1292-1,"")</f>
        <v>0</v>
      </c>
    </row>
    <row r="1294" customFormat="false" ht="14.25" hidden="false" customHeight="true" outlineLevel="0" collapsed="false">
      <c r="A1294" s="26" t="n">
        <v>15493</v>
      </c>
      <c r="B1294" s="1" t="n">
        <v>1942</v>
      </c>
      <c r="C1294" s="1" t="n">
        <v>6</v>
      </c>
      <c r="D1294" s="1" t="s">
        <v>47</v>
      </c>
      <c r="E1294" s="1" t="s">
        <v>14</v>
      </c>
      <c r="F1294" s="1" t="n">
        <v>34.06</v>
      </c>
      <c r="G1294" s="1" t="n">
        <f aca="false">IF(E1294=E1293,F1294/F1293-1,"")</f>
        <v>0</v>
      </c>
    </row>
    <row r="1295" customFormat="false" ht="14.25" hidden="false" customHeight="true" outlineLevel="0" collapsed="false">
      <c r="A1295" s="26" t="n">
        <v>15523</v>
      </c>
      <c r="B1295" s="1" t="n">
        <v>1942</v>
      </c>
      <c r="C1295" s="1" t="n">
        <v>7</v>
      </c>
      <c r="D1295" s="1" t="s">
        <v>48</v>
      </c>
      <c r="E1295" s="1" t="s">
        <v>14</v>
      </c>
      <c r="F1295" s="1" t="n">
        <v>34.06</v>
      </c>
      <c r="G1295" s="1" t="n">
        <f aca="false">IF(E1295=E1294,F1295/F1294-1,"")</f>
        <v>0</v>
      </c>
    </row>
    <row r="1296" customFormat="false" ht="14.25" hidden="false" customHeight="true" outlineLevel="0" collapsed="false">
      <c r="A1296" s="26" t="n">
        <v>15554</v>
      </c>
      <c r="B1296" s="1" t="n">
        <v>1942</v>
      </c>
      <c r="C1296" s="1" t="n">
        <v>8</v>
      </c>
      <c r="D1296" s="1" t="s">
        <v>49</v>
      </c>
      <c r="E1296" s="1" t="s">
        <v>14</v>
      </c>
      <c r="F1296" s="1" t="n">
        <v>34.06</v>
      </c>
      <c r="G1296" s="1" t="n">
        <f aca="false">IF(E1296=E1295,F1296/F1295-1,"")</f>
        <v>0</v>
      </c>
    </row>
    <row r="1297" customFormat="false" ht="14.25" hidden="false" customHeight="true" outlineLevel="0" collapsed="false">
      <c r="A1297" s="26" t="n">
        <v>15585</v>
      </c>
      <c r="B1297" s="1" t="n">
        <v>1942</v>
      </c>
      <c r="C1297" s="1" t="n">
        <v>9</v>
      </c>
      <c r="D1297" s="1" t="s">
        <v>50</v>
      </c>
      <c r="E1297" s="1" t="s">
        <v>14</v>
      </c>
      <c r="F1297" s="1" t="n">
        <v>34.06</v>
      </c>
      <c r="G1297" s="1" t="n">
        <f aca="false">IF(E1297=E1296,F1297/F1296-1,"")</f>
        <v>0</v>
      </c>
    </row>
    <row r="1298" customFormat="false" ht="14.25" hidden="false" customHeight="true" outlineLevel="0" collapsed="false">
      <c r="A1298" s="26" t="n">
        <v>15615</v>
      </c>
      <c r="B1298" s="1" t="n">
        <v>1942</v>
      </c>
      <c r="C1298" s="1" t="n">
        <v>10</v>
      </c>
      <c r="D1298" s="1" t="s">
        <v>51</v>
      </c>
      <c r="E1298" s="1" t="s">
        <v>14</v>
      </c>
      <c r="F1298" s="1" t="n">
        <v>34.06</v>
      </c>
      <c r="G1298" s="1" t="n">
        <f aca="false">IF(E1298=E1297,F1298/F1297-1,"")</f>
        <v>0</v>
      </c>
    </row>
    <row r="1299" customFormat="false" ht="14.25" hidden="false" customHeight="true" outlineLevel="0" collapsed="false">
      <c r="A1299" s="26" t="n">
        <v>15646</v>
      </c>
      <c r="B1299" s="1" t="n">
        <v>1942</v>
      </c>
      <c r="C1299" s="1" t="n">
        <v>11</v>
      </c>
      <c r="D1299" s="1" t="s">
        <v>52</v>
      </c>
      <c r="E1299" s="1" t="s">
        <v>14</v>
      </c>
      <c r="F1299" s="1" t="n">
        <v>34.06</v>
      </c>
      <c r="G1299" s="1" t="n">
        <f aca="false">IF(E1299=E1298,F1299/F1298-1,"")</f>
        <v>0</v>
      </c>
    </row>
    <row r="1300" customFormat="false" ht="14.25" hidden="false" customHeight="true" outlineLevel="0" collapsed="false">
      <c r="A1300" s="26" t="n">
        <v>15676</v>
      </c>
      <c r="B1300" s="1" t="n">
        <v>1942</v>
      </c>
      <c r="C1300" s="1" t="n">
        <v>12</v>
      </c>
      <c r="D1300" s="1" t="s">
        <v>53</v>
      </c>
      <c r="E1300" s="1" t="s">
        <v>14</v>
      </c>
      <c r="F1300" s="1" t="n">
        <v>34.06</v>
      </c>
      <c r="G1300" s="1" t="n">
        <f aca="false">IF(E1300=E1299,F1300/F1299-1,"")</f>
        <v>0</v>
      </c>
    </row>
    <row r="1301" customFormat="false" ht="14.25" hidden="false" customHeight="true" outlineLevel="0" collapsed="false">
      <c r="A1301" s="26" t="n">
        <v>15707</v>
      </c>
      <c r="B1301" s="1" t="n">
        <v>1943</v>
      </c>
      <c r="C1301" s="1" t="n">
        <v>1</v>
      </c>
      <c r="D1301" s="1" t="s">
        <v>42</v>
      </c>
      <c r="E1301" s="1" t="s">
        <v>14</v>
      </c>
      <c r="F1301" s="1" t="n">
        <v>34.06</v>
      </c>
      <c r="G1301" s="1" t="n">
        <f aca="false">IF(E1301=E1300,F1301/F1300-1,"")</f>
        <v>0</v>
      </c>
    </row>
    <row r="1302" customFormat="false" ht="14.25" hidden="false" customHeight="true" outlineLevel="0" collapsed="false">
      <c r="A1302" s="26" t="n">
        <v>15738</v>
      </c>
      <c r="B1302" s="1" t="n">
        <v>1943</v>
      </c>
      <c r="C1302" s="1" t="n">
        <v>2</v>
      </c>
      <c r="D1302" s="1" t="s">
        <v>43</v>
      </c>
      <c r="E1302" s="1" t="s">
        <v>14</v>
      </c>
      <c r="F1302" s="1" t="n">
        <v>34.06</v>
      </c>
      <c r="G1302" s="1" t="n">
        <f aca="false">IF(E1302=E1301,F1302/F1301-1,"")</f>
        <v>0</v>
      </c>
    </row>
    <row r="1303" customFormat="false" ht="14.25" hidden="false" customHeight="true" outlineLevel="0" collapsed="false">
      <c r="A1303" s="26" t="n">
        <v>15766</v>
      </c>
      <c r="B1303" s="1" t="n">
        <v>1943</v>
      </c>
      <c r="C1303" s="1" t="n">
        <v>3</v>
      </c>
      <c r="D1303" s="1" t="s">
        <v>44</v>
      </c>
      <c r="E1303" s="1" t="s">
        <v>14</v>
      </c>
      <c r="F1303" s="1" t="n">
        <v>34.06</v>
      </c>
      <c r="G1303" s="1" t="n">
        <f aca="false">IF(E1303=E1302,F1303/F1302-1,"")</f>
        <v>0</v>
      </c>
    </row>
    <row r="1304" customFormat="false" ht="14.25" hidden="false" customHeight="true" outlineLevel="0" collapsed="false">
      <c r="A1304" s="26" t="n">
        <v>15797</v>
      </c>
      <c r="B1304" s="1" t="n">
        <v>1943</v>
      </c>
      <c r="C1304" s="1" t="n">
        <v>4</v>
      </c>
      <c r="D1304" s="1" t="s">
        <v>45</v>
      </c>
      <c r="E1304" s="1" t="s">
        <v>14</v>
      </c>
      <c r="F1304" s="1" t="n">
        <v>34.06</v>
      </c>
      <c r="G1304" s="1" t="n">
        <f aca="false">IF(E1304=E1303,F1304/F1303-1,"")</f>
        <v>0</v>
      </c>
    </row>
    <row r="1305" customFormat="false" ht="14.25" hidden="false" customHeight="true" outlineLevel="0" collapsed="false">
      <c r="A1305" s="26" t="n">
        <v>15827</v>
      </c>
      <c r="B1305" s="1" t="n">
        <v>1943</v>
      </c>
      <c r="C1305" s="1" t="n">
        <v>5</v>
      </c>
      <c r="D1305" s="1" t="s">
        <v>46</v>
      </c>
      <c r="E1305" s="1" t="s">
        <v>14</v>
      </c>
      <c r="F1305" s="1" t="n">
        <v>34.06</v>
      </c>
      <c r="G1305" s="1" t="n">
        <f aca="false">IF(E1305=E1304,F1305/F1304-1,"")</f>
        <v>0</v>
      </c>
    </row>
    <row r="1306" customFormat="false" ht="14.25" hidden="false" customHeight="true" outlineLevel="0" collapsed="false">
      <c r="A1306" s="26" t="n">
        <v>15858</v>
      </c>
      <c r="B1306" s="1" t="n">
        <v>1943</v>
      </c>
      <c r="C1306" s="1" t="n">
        <v>6</v>
      </c>
      <c r="D1306" s="1" t="s">
        <v>47</v>
      </c>
      <c r="E1306" s="1" t="s">
        <v>14</v>
      </c>
      <c r="F1306" s="1" t="n">
        <v>34.06</v>
      </c>
      <c r="G1306" s="1" t="n">
        <f aca="false">IF(E1306=E1305,F1306/F1305-1,"")</f>
        <v>0</v>
      </c>
    </row>
    <row r="1307" customFormat="false" ht="14.25" hidden="false" customHeight="true" outlineLevel="0" collapsed="false">
      <c r="A1307" s="26" t="n">
        <v>15888</v>
      </c>
      <c r="B1307" s="1" t="n">
        <v>1943</v>
      </c>
      <c r="C1307" s="1" t="n">
        <v>7</v>
      </c>
      <c r="D1307" s="1" t="s">
        <v>48</v>
      </c>
      <c r="E1307" s="1" t="s">
        <v>14</v>
      </c>
      <c r="F1307" s="1" t="n">
        <v>34.06</v>
      </c>
      <c r="G1307" s="1" t="n">
        <f aca="false">IF(E1307=E1306,F1307/F1306-1,"")</f>
        <v>0</v>
      </c>
    </row>
    <row r="1308" customFormat="false" ht="14.25" hidden="false" customHeight="true" outlineLevel="0" collapsed="false">
      <c r="A1308" s="26" t="n">
        <v>15919</v>
      </c>
      <c r="B1308" s="1" t="n">
        <v>1943</v>
      </c>
      <c r="C1308" s="1" t="n">
        <v>8</v>
      </c>
      <c r="D1308" s="1" t="s">
        <v>49</v>
      </c>
      <c r="E1308" s="1" t="s">
        <v>14</v>
      </c>
      <c r="F1308" s="1" t="n">
        <v>34.06</v>
      </c>
      <c r="G1308" s="1" t="n">
        <f aca="false">IF(E1308=E1307,F1308/F1307-1,"")</f>
        <v>0</v>
      </c>
    </row>
    <row r="1309" customFormat="false" ht="14.25" hidden="false" customHeight="true" outlineLevel="0" collapsed="false">
      <c r="A1309" s="26" t="n">
        <v>15950</v>
      </c>
      <c r="B1309" s="1" t="n">
        <v>1943</v>
      </c>
      <c r="C1309" s="1" t="n">
        <v>9</v>
      </c>
      <c r="D1309" s="1" t="s">
        <v>50</v>
      </c>
      <c r="E1309" s="1" t="s">
        <v>14</v>
      </c>
      <c r="F1309" s="1" t="n">
        <v>34.06</v>
      </c>
      <c r="G1309" s="1" t="n">
        <f aca="false">IF(E1309=E1308,F1309/F1308-1,"")</f>
        <v>0</v>
      </c>
    </row>
    <row r="1310" customFormat="false" ht="14.25" hidden="false" customHeight="true" outlineLevel="0" collapsed="false">
      <c r="A1310" s="26" t="n">
        <v>15980</v>
      </c>
      <c r="B1310" s="1" t="n">
        <v>1943</v>
      </c>
      <c r="C1310" s="1" t="n">
        <v>10</v>
      </c>
      <c r="D1310" s="1" t="s">
        <v>51</v>
      </c>
      <c r="E1310" s="1" t="s">
        <v>14</v>
      </c>
      <c r="F1310" s="1" t="n">
        <v>34.06</v>
      </c>
      <c r="G1310" s="1" t="n">
        <f aca="false">IF(E1310=E1309,F1310/F1309-1,"")</f>
        <v>0</v>
      </c>
    </row>
    <row r="1311" customFormat="false" ht="14.25" hidden="false" customHeight="true" outlineLevel="0" collapsed="false">
      <c r="A1311" s="26" t="n">
        <v>16011</v>
      </c>
      <c r="B1311" s="1" t="n">
        <v>1943</v>
      </c>
      <c r="C1311" s="1" t="n">
        <v>11</v>
      </c>
      <c r="D1311" s="1" t="s">
        <v>52</v>
      </c>
      <c r="E1311" s="1" t="s">
        <v>14</v>
      </c>
      <c r="F1311" s="1" t="n">
        <v>34.06</v>
      </c>
      <c r="G1311" s="1" t="n">
        <f aca="false">IF(E1311=E1310,F1311/F1310-1,"")</f>
        <v>0</v>
      </c>
    </row>
    <row r="1312" customFormat="false" ht="14.25" hidden="false" customHeight="true" outlineLevel="0" collapsed="false">
      <c r="A1312" s="26" t="n">
        <v>16041</v>
      </c>
      <c r="B1312" s="1" t="n">
        <v>1943</v>
      </c>
      <c r="C1312" s="1" t="n">
        <v>12</v>
      </c>
      <c r="D1312" s="1" t="s">
        <v>53</v>
      </c>
      <c r="E1312" s="1" t="s">
        <v>14</v>
      </c>
      <c r="F1312" s="1" t="n">
        <v>34.06</v>
      </c>
      <c r="G1312" s="1" t="n">
        <f aca="false">IF(E1312=E1311,F1312/F1311-1,"")</f>
        <v>0</v>
      </c>
    </row>
    <row r="1313" customFormat="false" ht="14.25" hidden="false" customHeight="true" outlineLevel="0" collapsed="false">
      <c r="A1313" s="26" t="n">
        <v>16072</v>
      </c>
      <c r="B1313" s="1" t="n">
        <v>1944</v>
      </c>
      <c r="C1313" s="1" t="n">
        <v>1</v>
      </c>
      <c r="D1313" s="1" t="s">
        <v>42</v>
      </c>
      <c r="E1313" s="1" t="s">
        <v>14</v>
      </c>
      <c r="F1313" s="1" t="n">
        <v>34.06</v>
      </c>
      <c r="G1313" s="1" t="n">
        <f aca="false">IF(E1313=E1312,F1313/F1312-1,"")</f>
        <v>0</v>
      </c>
    </row>
    <row r="1314" customFormat="false" ht="14.25" hidden="false" customHeight="true" outlineLevel="0" collapsed="false">
      <c r="A1314" s="26" t="n">
        <v>16103</v>
      </c>
      <c r="B1314" s="1" t="n">
        <v>1944</v>
      </c>
      <c r="C1314" s="1" t="n">
        <v>2</v>
      </c>
      <c r="D1314" s="1" t="s">
        <v>43</v>
      </c>
      <c r="E1314" s="1" t="s">
        <v>14</v>
      </c>
      <c r="F1314" s="1" t="n">
        <v>34.06</v>
      </c>
      <c r="G1314" s="1" t="n">
        <f aca="false">IF(E1314=E1313,F1314/F1313-1,"")</f>
        <v>0</v>
      </c>
    </row>
    <row r="1315" customFormat="false" ht="14.25" hidden="false" customHeight="true" outlineLevel="0" collapsed="false">
      <c r="A1315" s="26" t="n">
        <v>16132</v>
      </c>
      <c r="B1315" s="1" t="n">
        <v>1944</v>
      </c>
      <c r="C1315" s="1" t="n">
        <v>3</v>
      </c>
      <c r="D1315" s="1" t="s">
        <v>44</v>
      </c>
      <c r="E1315" s="1" t="s">
        <v>14</v>
      </c>
      <c r="F1315" s="1" t="n">
        <v>34.06</v>
      </c>
      <c r="G1315" s="1" t="n">
        <f aca="false">IF(E1315=E1314,F1315/F1314-1,"")</f>
        <v>0</v>
      </c>
    </row>
    <row r="1316" customFormat="false" ht="14.25" hidden="false" customHeight="true" outlineLevel="0" collapsed="false">
      <c r="A1316" s="26" t="n">
        <v>16163</v>
      </c>
      <c r="B1316" s="1" t="n">
        <v>1944</v>
      </c>
      <c r="C1316" s="1" t="n">
        <v>4</v>
      </c>
      <c r="D1316" s="1" t="s">
        <v>45</v>
      </c>
      <c r="E1316" s="1" t="s">
        <v>14</v>
      </c>
      <c r="F1316" s="1" t="n">
        <v>34.06</v>
      </c>
      <c r="G1316" s="1" t="n">
        <f aca="false">IF(E1316=E1315,F1316/F1315-1,"")</f>
        <v>0</v>
      </c>
    </row>
    <row r="1317" customFormat="false" ht="14.25" hidden="false" customHeight="true" outlineLevel="0" collapsed="false">
      <c r="A1317" s="26" t="n">
        <v>16193</v>
      </c>
      <c r="B1317" s="1" t="n">
        <v>1944</v>
      </c>
      <c r="C1317" s="1" t="n">
        <v>5</v>
      </c>
      <c r="D1317" s="1" t="s">
        <v>46</v>
      </c>
      <c r="E1317" s="1" t="s">
        <v>14</v>
      </c>
      <c r="F1317" s="1" t="n">
        <v>34.06</v>
      </c>
      <c r="G1317" s="1" t="n">
        <f aca="false">IF(E1317=E1316,F1317/F1316-1,"")</f>
        <v>0</v>
      </c>
    </row>
    <row r="1318" customFormat="false" ht="14.25" hidden="false" customHeight="true" outlineLevel="0" collapsed="false">
      <c r="A1318" s="26" t="n">
        <v>16224</v>
      </c>
      <c r="B1318" s="1" t="n">
        <v>1944</v>
      </c>
      <c r="C1318" s="1" t="n">
        <v>6</v>
      </c>
      <c r="D1318" s="1" t="s">
        <v>47</v>
      </c>
      <c r="E1318" s="1" t="s">
        <v>14</v>
      </c>
      <c r="F1318" s="1" t="n">
        <v>34.06</v>
      </c>
      <c r="G1318" s="1" t="n">
        <f aca="false">IF(E1318=E1317,F1318/F1317-1,"")</f>
        <v>0</v>
      </c>
    </row>
    <row r="1319" customFormat="false" ht="14.25" hidden="false" customHeight="true" outlineLevel="0" collapsed="false">
      <c r="A1319" s="26" t="n">
        <v>16254</v>
      </c>
      <c r="B1319" s="1" t="n">
        <v>1944</v>
      </c>
      <c r="C1319" s="1" t="n">
        <v>7</v>
      </c>
      <c r="D1319" s="1" t="s">
        <v>48</v>
      </c>
      <c r="E1319" s="1" t="s">
        <v>14</v>
      </c>
      <c r="F1319" s="1" t="n">
        <v>34.06</v>
      </c>
      <c r="G1319" s="1" t="n">
        <f aca="false">IF(E1319=E1318,F1319/F1318-1,"")</f>
        <v>0</v>
      </c>
    </row>
    <row r="1320" customFormat="false" ht="14.25" hidden="false" customHeight="true" outlineLevel="0" collapsed="false">
      <c r="A1320" s="26" t="n">
        <v>16285</v>
      </c>
      <c r="B1320" s="1" t="n">
        <v>1944</v>
      </c>
      <c r="C1320" s="1" t="n">
        <v>8</v>
      </c>
      <c r="D1320" s="1" t="s">
        <v>49</v>
      </c>
      <c r="E1320" s="1" t="s">
        <v>14</v>
      </c>
      <c r="F1320" s="1" t="n">
        <v>34.06</v>
      </c>
      <c r="G1320" s="1" t="n">
        <f aca="false">IF(E1320=E1319,F1320/F1319-1,"")</f>
        <v>0</v>
      </c>
    </row>
    <row r="1321" customFormat="false" ht="14.25" hidden="false" customHeight="true" outlineLevel="0" collapsed="false">
      <c r="A1321" s="26" t="n">
        <v>16316</v>
      </c>
      <c r="B1321" s="1" t="n">
        <v>1944</v>
      </c>
      <c r="C1321" s="1" t="n">
        <v>9</v>
      </c>
      <c r="D1321" s="1" t="s">
        <v>50</v>
      </c>
      <c r="E1321" s="1" t="s">
        <v>14</v>
      </c>
      <c r="F1321" s="1" t="n">
        <v>34.06</v>
      </c>
      <c r="G1321" s="1" t="n">
        <f aca="false">IF(E1321=E1320,F1321/F1320-1,"")</f>
        <v>0</v>
      </c>
    </row>
    <row r="1322" customFormat="false" ht="14.25" hidden="false" customHeight="true" outlineLevel="0" collapsed="false">
      <c r="A1322" s="26" t="n">
        <v>16346</v>
      </c>
      <c r="B1322" s="1" t="n">
        <v>1944</v>
      </c>
      <c r="C1322" s="1" t="n">
        <v>10</v>
      </c>
      <c r="D1322" s="1" t="s">
        <v>51</v>
      </c>
      <c r="E1322" s="1" t="s">
        <v>14</v>
      </c>
      <c r="F1322" s="1" t="n">
        <v>34.06</v>
      </c>
      <c r="G1322" s="1" t="n">
        <f aca="false">IF(E1322=E1321,F1322/F1321-1,"")</f>
        <v>0</v>
      </c>
    </row>
    <row r="1323" customFormat="false" ht="14.25" hidden="false" customHeight="true" outlineLevel="0" collapsed="false">
      <c r="A1323" s="26" t="n">
        <v>16377</v>
      </c>
      <c r="B1323" s="1" t="n">
        <v>1944</v>
      </c>
      <c r="C1323" s="1" t="n">
        <v>11</v>
      </c>
      <c r="D1323" s="1" t="s">
        <v>52</v>
      </c>
      <c r="E1323" s="1" t="s">
        <v>14</v>
      </c>
      <c r="F1323" s="1" t="n">
        <v>34.06</v>
      </c>
      <c r="G1323" s="1" t="n">
        <f aca="false">IF(E1323=E1322,F1323/F1322-1,"")</f>
        <v>0</v>
      </c>
    </row>
    <row r="1324" customFormat="false" ht="14.25" hidden="false" customHeight="true" outlineLevel="0" collapsed="false">
      <c r="A1324" s="26" t="n">
        <v>16407</v>
      </c>
      <c r="B1324" s="1" t="n">
        <v>1944</v>
      </c>
      <c r="C1324" s="1" t="n">
        <v>12</v>
      </c>
      <c r="D1324" s="1" t="s">
        <v>53</v>
      </c>
      <c r="E1324" s="1" t="s">
        <v>14</v>
      </c>
      <c r="F1324" s="1" t="n">
        <v>34.06</v>
      </c>
      <c r="G1324" s="1" t="n">
        <f aca="false">IF(E1324=E1323,F1324/F1323-1,"")</f>
        <v>0</v>
      </c>
    </row>
    <row r="1325" customFormat="false" ht="14.25" hidden="false" customHeight="true" outlineLevel="0" collapsed="false">
      <c r="A1325" s="26" t="n">
        <v>16438</v>
      </c>
      <c r="B1325" s="1" t="n">
        <v>1945</v>
      </c>
      <c r="C1325" s="1" t="n">
        <v>1</v>
      </c>
      <c r="D1325" s="1" t="s">
        <v>42</v>
      </c>
      <c r="E1325" s="1" t="s">
        <v>14</v>
      </c>
      <c r="F1325" s="1" t="n">
        <v>35</v>
      </c>
      <c r="G1325" s="1" t="n">
        <f aca="false">IF(E1325=E1324,F1325/F1324-1,"")</f>
        <v>0.0275983558426305</v>
      </c>
    </row>
    <row r="1326" customFormat="false" ht="14.25" hidden="false" customHeight="true" outlineLevel="0" collapsed="false">
      <c r="A1326" s="26" t="n">
        <v>16469</v>
      </c>
      <c r="B1326" s="1" t="n">
        <v>1945</v>
      </c>
      <c r="C1326" s="1" t="n">
        <v>2</v>
      </c>
      <c r="D1326" s="1" t="s">
        <v>43</v>
      </c>
      <c r="E1326" s="1" t="s">
        <v>14</v>
      </c>
      <c r="F1326" s="1" t="n">
        <v>35</v>
      </c>
      <c r="G1326" s="1" t="n">
        <f aca="false">IF(E1326=E1325,F1326/F1325-1,"")</f>
        <v>0</v>
      </c>
    </row>
    <row r="1327" customFormat="false" ht="14.25" hidden="false" customHeight="true" outlineLevel="0" collapsed="false">
      <c r="A1327" s="26" t="n">
        <v>16497</v>
      </c>
      <c r="B1327" s="1" t="n">
        <v>1945</v>
      </c>
      <c r="C1327" s="1" t="n">
        <v>3</v>
      </c>
      <c r="D1327" s="1" t="s">
        <v>44</v>
      </c>
      <c r="E1327" s="1" t="s">
        <v>14</v>
      </c>
      <c r="F1327" s="1" t="n">
        <v>35</v>
      </c>
      <c r="G1327" s="1" t="n">
        <f aca="false">IF(E1327=E1326,F1327/F1326-1,"")</f>
        <v>0</v>
      </c>
    </row>
    <row r="1328" customFormat="false" ht="14.25" hidden="false" customHeight="true" outlineLevel="0" collapsed="false">
      <c r="A1328" s="26" t="n">
        <v>16528</v>
      </c>
      <c r="B1328" s="1" t="n">
        <v>1945</v>
      </c>
      <c r="C1328" s="1" t="n">
        <v>4</v>
      </c>
      <c r="D1328" s="1" t="s">
        <v>45</v>
      </c>
      <c r="E1328" s="1" t="s">
        <v>14</v>
      </c>
      <c r="F1328" s="1" t="n">
        <v>35</v>
      </c>
      <c r="G1328" s="1" t="n">
        <f aca="false">IF(E1328=E1327,F1328/F1327-1,"")</f>
        <v>0</v>
      </c>
    </row>
    <row r="1329" customFormat="false" ht="14.25" hidden="false" customHeight="true" outlineLevel="0" collapsed="false">
      <c r="A1329" s="26" t="n">
        <v>16558</v>
      </c>
      <c r="B1329" s="1" t="n">
        <v>1945</v>
      </c>
      <c r="C1329" s="1" t="n">
        <v>5</v>
      </c>
      <c r="D1329" s="1" t="s">
        <v>46</v>
      </c>
      <c r="E1329" s="1" t="s">
        <v>14</v>
      </c>
      <c r="F1329" s="1" t="n">
        <v>35</v>
      </c>
      <c r="G1329" s="1" t="n">
        <f aca="false">IF(E1329=E1328,F1329/F1328-1,"")</f>
        <v>0</v>
      </c>
    </row>
    <row r="1330" customFormat="false" ht="14.25" hidden="false" customHeight="true" outlineLevel="0" collapsed="false">
      <c r="A1330" s="26" t="n">
        <v>16589</v>
      </c>
      <c r="B1330" s="1" t="n">
        <v>1945</v>
      </c>
      <c r="C1330" s="1" t="n">
        <v>6</v>
      </c>
      <c r="D1330" s="1" t="s">
        <v>47</v>
      </c>
      <c r="E1330" s="1" t="s">
        <v>14</v>
      </c>
      <c r="F1330" s="1" t="n">
        <v>35</v>
      </c>
      <c r="G1330" s="1" t="n">
        <f aca="false">IF(E1330=E1329,F1330/F1329-1,"")</f>
        <v>0</v>
      </c>
    </row>
    <row r="1331" customFormat="false" ht="14.25" hidden="false" customHeight="true" outlineLevel="0" collapsed="false">
      <c r="A1331" s="26" t="n">
        <v>16619</v>
      </c>
      <c r="B1331" s="1" t="n">
        <v>1945</v>
      </c>
      <c r="C1331" s="1" t="n">
        <v>7</v>
      </c>
      <c r="D1331" s="1" t="s">
        <v>48</v>
      </c>
      <c r="E1331" s="1" t="s">
        <v>14</v>
      </c>
      <c r="F1331" s="1" t="n">
        <v>35</v>
      </c>
      <c r="G1331" s="1" t="n">
        <f aca="false">IF(E1331=E1330,F1331/F1330-1,"")</f>
        <v>0</v>
      </c>
    </row>
    <row r="1332" customFormat="false" ht="14.25" hidden="false" customHeight="true" outlineLevel="0" collapsed="false">
      <c r="A1332" s="26" t="n">
        <v>16650</v>
      </c>
      <c r="B1332" s="1" t="n">
        <v>1945</v>
      </c>
      <c r="C1332" s="1" t="n">
        <v>8</v>
      </c>
      <c r="D1332" s="1" t="s">
        <v>49</v>
      </c>
      <c r="E1332" s="1" t="s">
        <v>14</v>
      </c>
      <c r="F1332" s="1" t="n">
        <v>35</v>
      </c>
      <c r="G1332" s="1" t="n">
        <f aca="false">IF(E1332=E1331,F1332/F1331-1,"")</f>
        <v>0</v>
      </c>
    </row>
    <row r="1333" customFormat="false" ht="14.25" hidden="false" customHeight="true" outlineLevel="0" collapsed="false">
      <c r="A1333" s="26" t="n">
        <v>16681</v>
      </c>
      <c r="B1333" s="1" t="n">
        <v>1945</v>
      </c>
      <c r="C1333" s="1" t="n">
        <v>9</v>
      </c>
      <c r="D1333" s="1" t="s">
        <v>50</v>
      </c>
      <c r="E1333" s="1" t="s">
        <v>14</v>
      </c>
      <c r="F1333" s="1" t="n">
        <v>35</v>
      </c>
      <c r="G1333" s="1" t="n">
        <f aca="false">IF(E1333=E1332,F1333/F1332-1,"")</f>
        <v>0</v>
      </c>
    </row>
    <row r="1334" customFormat="false" ht="14.25" hidden="false" customHeight="true" outlineLevel="0" collapsed="false">
      <c r="A1334" s="26" t="n">
        <v>16711</v>
      </c>
      <c r="B1334" s="1" t="n">
        <v>1945</v>
      </c>
      <c r="C1334" s="1" t="n">
        <v>10</v>
      </c>
      <c r="D1334" s="1" t="s">
        <v>51</v>
      </c>
      <c r="E1334" s="1" t="s">
        <v>14</v>
      </c>
      <c r="F1334" s="1" t="n">
        <v>35</v>
      </c>
      <c r="G1334" s="1" t="n">
        <f aca="false">IF(E1334=E1333,F1334/F1333-1,"")</f>
        <v>0</v>
      </c>
    </row>
    <row r="1335" customFormat="false" ht="14.25" hidden="false" customHeight="true" outlineLevel="0" collapsed="false">
      <c r="A1335" s="26" t="n">
        <v>16742</v>
      </c>
      <c r="B1335" s="1" t="n">
        <v>1945</v>
      </c>
      <c r="C1335" s="1" t="n">
        <v>11</v>
      </c>
      <c r="D1335" s="1" t="s">
        <v>52</v>
      </c>
      <c r="E1335" s="1" t="s">
        <v>14</v>
      </c>
      <c r="F1335" s="1" t="n">
        <v>35</v>
      </c>
      <c r="G1335" s="1" t="n">
        <f aca="false">IF(E1335=E1334,F1335/F1334-1,"")</f>
        <v>0</v>
      </c>
    </row>
    <row r="1336" customFormat="false" ht="14.25" hidden="false" customHeight="true" outlineLevel="0" collapsed="false">
      <c r="A1336" s="26" t="n">
        <v>16772</v>
      </c>
      <c r="B1336" s="1" t="n">
        <v>1945</v>
      </c>
      <c r="C1336" s="1" t="n">
        <v>12</v>
      </c>
      <c r="D1336" s="1" t="s">
        <v>53</v>
      </c>
      <c r="E1336" s="1" t="s">
        <v>14</v>
      </c>
      <c r="F1336" s="1" t="n">
        <v>35</v>
      </c>
      <c r="G1336" s="1" t="n">
        <f aca="false">IF(E1336=E1335,F1336/F1335-1,"")</f>
        <v>0</v>
      </c>
    </row>
    <row r="1337" customFormat="false" ht="14.25" hidden="false" customHeight="true" outlineLevel="0" collapsed="false">
      <c r="A1337" s="26" t="n">
        <v>16803</v>
      </c>
      <c r="B1337" s="1" t="n">
        <v>1946</v>
      </c>
      <c r="C1337" s="1" t="n">
        <v>1</v>
      </c>
      <c r="D1337" s="1" t="s">
        <v>42</v>
      </c>
      <c r="E1337" s="1" t="s">
        <v>14</v>
      </c>
      <c r="F1337" s="1" t="n">
        <v>35</v>
      </c>
      <c r="G1337" s="1" t="n">
        <f aca="false">IF(E1337=E1336,F1337/F1336-1,"")</f>
        <v>0</v>
      </c>
    </row>
    <row r="1338" customFormat="false" ht="14.25" hidden="false" customHeight="true" outlineLevel="0" collapsed="false">
      <c r="A1338" s="26" t="n">
        <v>16834</v>
      </c>
      <c r="B1338" s="1" t="n">
        <v>1946</v>
      </c>
      <c r="C1338" s="1" t="n">
        <v>2</v>
      </c>
      <c r="D1338" s="1" t="s">
        <v>43</v>
      </c>
      <c r="E1338" s="1" t="s">
        <v>14</v>
      </c>
      <c r="F1338" s="1" t="n">
        <v>35</v>
      </c>
      <c r="G1338" s="1" t="n">
        <f aca="false">IF(E1338=E1337,F1338/F1337-1,"")</f>
        <v>0</v>
      </c>
    </row>
    <row r="1339" customFormat="false" ht="14.25" hidden="false" customHeight="true" outlineLevel="0" collapsed="false">
      <c r="A1339" s="26" t="n">
        <v>16862</v>
      </c>
      <c r="B1339" s="1" t="n">
        <v>1946</v>
      </c>
      <c r="C1339" s="1" t="n">
        <v>3</v>
      </c>
      <c r="D1339" s="1" t="s">
        <v>44</v>
      </c>
      <c r="E1339" s="1" t="s">
        <v>14</v>
      </c>
      <c r="F1339" s="1" t="n">
        <v>35</v>
      </c>
      <c r="G1339" s="1" t="n">
        <f aca="false">IF(E1339=E1338,F1339/F1338-1,"")</f>
        <v>0</v>
      </c>
    </row>
    <row r="1340" customFormat="false" ht="14.25" hidden="false" customHeight="true" outlineLevel="0" collapsed="false">
      <c r="A1340" s="26" t="n">
        <v>16893</v>
      </c>
      <c r="B1340" s="1" t="n">
        <v>1946</v>
      </c>
      <c r="C1340" s="1" t="n">
        <v>4</v>
      </c>
      <c r="D1340" s="1" t="s">
        <v>45</v>
      </c>
      <c r="E1340" s="1" t="s">
        <v>14</v>
      </c>
      <c r="F1340" s="1" t="n">
        <v>35</v>
      </c>
      <c r="G1340" s="1" t="n">
        <f aca="false">IF(E1340=E1339,F1340/F1339-1,"")</f>
        <v>0</v>
      </c>
    </row>
    <row r="1341" customFormat="false" ht="14.25" hidden="false" customHeight="true" outlineLevel="0" collapsed="false">
      <c r="A1341" s="26" t="n">
        <v>16923</v>
      </c>
      <c r="B1341" s="1" t="n">
        <v>1946</v>
      </c>
      <c r="C1341" s="1" t="n">
        <v>5</v>
      </c>
      <c r="D1341" s="1" t="s">
        <v>46</v>
      </c>
      <c r="E1341" s="1" t="s">
        <v>14</v>
      </c>
      <c r="F1341" s="1" t="n">
        <v>35</v>
      </c>
      <c r="G1341" s="1" t="n">
        <f aca="false">IF(E1341=E1340,F1341/F1340-1,"")</f>
        <v>0</v>
      </c>
    </row>
    <row r="1342" customFormat="false" ht="14.25" hidden="false" customHeight="true" outlineLevel="0" collapsed="false">
      <c r="A1342" s="26" t="n">
        <v>16954</v>
      </c>
      <c r="B1342" s="1" t="n">
        <v>1946</v>
      </c>
      <c r="C1342" s="1" t="n">
        <v>6</v>
      </c>
      <c r="D1342" s="1" t="s">
        <v>47</v>
      </c>
      <c r="E1342" s="1" t="s">
        <v>14</v>
      </c>
      <c r="F1342" s="1" t="n">
        <v>35</v>
      </c>
      <c r="G1342" s="1" t="n">
        <f aca="false">IF(E1342=E1341,F1342/F1341-1,"")</f>
        <v>0</v>
      </c>
    </row>
    <row r="1343" customFormat="false" ht="14.25" hidden="false" customHeight="true" outlineLevel="0" collapsed="false">
      <c r="A1343" s="26" t="n">
        <v>16984</v>
      </c>
      <c r="B1343" s="1" t="n">
        <v>1946</v>
      </c>
      <c r="C1343" s="1" t="n">
        <v>7</v>
      </c>
      <c r="D1343" s="1" t="s">
        <v>48</v>
      </c>
      <c r="E1343" s="1" t="s">
        <v>14</v>
      </c>
      <c r="F1343" s="1" t="n">
        <v>35</v>
      </c>
      <c r="G1343" s="1" t="n">
        <f aca="false">IF(E1343=E1342,F1343/F1342-1,"")</f>
        <v>0</v>
      </c>
    </row>
    <row r="1344" customFormat="false" ht="14.25" hidden="false" customHeight="true" outlineLevel="0" collapsed="false">
      <c r="A1344" s="26" t="n">
        <v>17015</v>
      </c>
      <c r="B1344" s="1" t="n">
        <v>1946</v>
      </c>
      <c r="C1344" s="1" t="n">
        <v>8</v>
      </c>
      <c r="D1344" s="1" t="s">
        <v>49</v>
      </c>
      <c r="E1344" s="1" t="s">
        <v>14</v>
      </c>
      <c r="F1344" s="1" t="n">
        <v>35</v>
      </c>
      <c r="G1344" s="1" t="n">
        <f aca="false">IF(E1344=E1343,F1344/F1343-1,"")</f>
        <v>0</v>
      </c>
    </row>
    <row r="1345" customFormat="false" ht="14.25" hidden="false" customHeight="true" outlineLevel="0" collapsed="false">
      <c r="A1345" s="26" t="n">
        <v>17046</v>
      </c>
      <c r="B1345" s="1" t="n">
        <v>1946</v>
      </c>
      <c r="C1345" s="1" t="n">
        <v>9</v>
      </c>
      <c r="D1345" s="1" t="s">
        <v>50</v>
      </c>
      <c r="E1345" s="1" t="s">
        <v>14</v>
      </c>
      <c r="F1345" s="1" t="n">
        <v>35</v>
      </c>
      <c r="G1345" s="1" t="n">
        <f aca="false">IF(E1345=E1344,F1345/F1344-1,"")</f>
        <v>0</v>
      </c>
    </row>
    <row r="1346" customFormat="false" ht="14.25" hidden="false" customHeight="true" outlineLevel="0" collapsed="false">
      <c r="A1346" s="26" t="n">
        <v>17076</v>
      </c>
      <c r="B1346" s="1" t="n">
        <v>1946</v>
      </c>
      <c r="C1346" s="1" t="n">
        <v>10</v>
      </c>
      <c r="D1346" s="1" t="s">
        <v>51</v>
      </c>
      <c r="E1346" s="1" t="s">
        <v>14</v>
      </c>
      <c r="F1346" s="1" t="n">
        <v>35</v>
      </c>
      <c r="G1346" s="1" t="n">
        <f aca="false">IF(E1346=E1345,F1346/F1345-1,"")</f>
        <v>0</v>
      </c>
    </row>
    <row r="1347" customFormat="false" ht="14.25" hidden="false" customHeight="true" outlineLevel="0" collapsed="false">
      <c r="A1347" s="26" t="n">
        <v>17107</v>
      </c>
      <c r="B1347" s="1" t="n">
        <v>1946</v>
      </c>
      <c r="C1347" s="1" t="n">
        <v>11</v>
      </c>
      <c r="D1347" s="1" t="s">
        <v>52</v>
      </c>
      <c r="E1347" s="1" t="s">
        <v>14</v>
      </c>
      <c r="F1347" s="1" t="n">
        <v>35</v>
      </c>
      <c r="G1347" s="1" t="n">
        <f aca="false">IF(E1347=E1346,F1347/F1346-1,"")</f>
        <v>0</v>
      </c>
    </row>
    <row r="1348" customFormat="false" ht="14.25" hidden="false" customHeight="true" outlineLevel="0" collapsed="false">
      <c r="A1348" s="26" t="n">
        <v>17137</v>
      </c>
      <c r="B1348" s="1" t="n">
        <v>1946</v>
      </c>
      <c r="C1348" s="1" t="n">
        <v>12</v>
      </c>
      <c r="D1348" s="1" t="s">
        <v>53</v>
      </c>
      <c r="E1348" s="1" t="s">
        <v>14</v>
      </c>
      <c r="F1348" s="1" t="n">
        <v>35</v>
      </c>
      <c r="G1348" s="1" t="n">
        <f aca="false">IF(E1348=E1347,F1348/F1347-1,"")</f>
        <v>0</v>
      </c>
    </row>
    <row r="1349" customFormat="false" ht="14.25" hidden="false" customHeight="true" outlineLevel="0" collapsed="false">
      <c r="A1349" s="26" t="n">
        <v>17168</v>
      </c>
      <c r="B1349" s="1" t="n">
        <v>1947</v>
      </c>
      <c r="C1349" s="1" t="n">
        <v>1</v>
      </c>
      <c r="D1349" s="1" t="s">
        <v>42</v>
      </c>
      <c r="E1349" s="1" t="s">
        <v>14</v>
      </c>
      <c r="F1349" s="1" t="n">
        <v>35</v>
      </c>
      <c r="G1349" s="1" t="n">
        <f aca="false">IF(E1349=E1348,F1349/F1348-1,"")</f>
        <v>0</v>
      </c>
    </row>
    <row r="1350" customFormat="false" ht="14.25" hidden="false" customHeight="true" outlineLevel="0" collapsed="false">
      <c r="A1350" s="26" t="n">
        <v>17199</v>
      </c>
      <c r="B1350" s="1" t="n">
        <v>1947</v>
      </c>
      <c r="C1350" s="1" t="n">
        <v>2</v>
      </c>
      <c r="D1350" s="1" t="s">
        <v>43</v>
      </c>
      <c r="E1350" s="1" t="s">
        <v>14</v>
      </c>
      <c r="F1350" s="1" t="n">
        <v>35</v>
      </c>
      <c r="G1350" s="1" t="n">
        <f aca="false">IF(E1350=E1349,F1350/F1349-1,"")</f>
        <v>0</v>
      </c>
    </row>
    <row r="1351" customFormat="false" ht="14.25" hidden="false" customHeight="true" outlineLevel="0" collapsed="false">
      <c r="A1351" s="26" t="n">
        <v>17227</v>
      </c>
      <c r="B1351" s="1" t="n">
        <v>1947</v>
      </c>
      <c r="C1351" s="1" t="n">
        <v>3</v>
      </c>
      <c r="D1351" s="1" t="s">
        <v>44</v>
      </c>
      <c r="E1351" s="1" t="s">
        <v>14</v>
      </c>
      <c r="F1351" s="1" t="n">
        <v>35</v>
      </c>
      <c r="G1351" s="1" t="n">
        <f aca="false">IF(E1351=E1350,F1351/F1350-1,"")</f>
        <v>0</v>
      </c>
    </row>
    <row r="1352" customFormat="false" ht="14.25" hidden="false" customHeight="true" outlineLevel="0" collapsed="false">
      <c r="A1352" s="26" t="n">
        <v>17258</v>
      </c>
      <c r="B1352" s="1" t="n">
        <v>1947</v>
      </c>
      <c r="C1352" s="1" t="n">
        <v>4</v>
      </c>
      <c r="D1352" s="1" t="s">
        <v>45</v>
      </c>
      <c r="E1352" s="1" t="s">
        <v>14</v>
      </c>
      <c r="F1352" s="1" t="n">
        <v>35</v>
      </c>
      <c r="G1352" s="1" t="n">
        <f aca="false">IF(E1352=E1351,F1352/F1351-1,"")</f>
        <v>0</v>
      </c>
    </row>
    <row r="1353" customFormat="false" ht="14.25" hidden="false" customHeight="true" outlineLevel="0" collapsed="false">
      <c r="A1353" s="26" t="n">
        <v>17288</v>
      </c>
      <c r="B1353" s="1" t="n">
        <v>1947</v>
      </c>
      <c r="C1353" s="1" t="n">
        <v>5</v>
      </c>
      <c r="D1353" s="1" t="s">
        <v>46</v>
      </c>
      <c r="E1353" s="1" t="s">
        <v>14</v>
      </c>
      <c r="F1353" s="1" t="n">
        <v>35</v>
      </c>
      <c r="G1353" s="1" t="n">
        <f aca="false">IF(E1353=E1352,F1353/F1352-1,"")</f>
        <v>0</v>
      </c>
    </row>
    <row r="1354" customFormat="false" ht="14.25" hidden="false" customHeight="true" outlineLevel="0" collapsed="false">
      <c r="A1354" s="26" t="n">
        <v>17319</v>
      </c>
      <c r="B1354" s="1" t="n">
        <v>1947</v>
      </c>
      <c r="C1354" s="1" t="n">
        <v>6</v>
      </c>
      <c r="D1354" s="1" t="s">
        <v>47</v>
      </c>
      <c r="E1354" s="1" t="s">
        <v>14</v>
      </c>
      <c r="F1354" s="1" t="n">
        <v>35</v>
      </c>
      <c r="G1354" s="1" t="n">
        <f aca="false">IF(E1354=E1353,F1354/F1353-1,"")</f>
        <v>0</v>
      </c>
    </row>
    <row r="1355" customFormat="false" ht="14.25" hidden="false" customHeight="true" outlineLevel="0" collapsed="false">
      <c r="A1355" s="26" t="n">
        <v>17349</v>
      </c>
      <c r="B1355" s="1" t="n">
        <v>1947</v>
      </c>
      <c r="C1355" s="1" t="n">
        <v>7</v>
      </c>
      <c r="D1355" s="1" t="s">
        <v>48</v>
      </c>
      <c r="E1355" s="1" t="s">
        <v>14</v>
      </c>
      <c r="F1355" s="1" t="n">
        <v>35</v>
      </c>
      <c r="G1355" s="1" t="n">
        <f aca="false">IF(E1355=E1354,F1355/F1354-1,"")</f>
        <v>0</v>
      </c>
    </row>
    <row r="1356" customFormat="false" ht="14.25" hidden="false" customHeight="true" outlineLevel="0" collapsed="false">
      <c r="A1356" s="26" t="n">
        <v>17380</v>
      </c>
      <c r="B1356" s="1" t="n">
        <v>1947</v>
      </c>
      <c r="C1356" s="1" t="n">
        <v>8</v>
      </c>
      <c r="D1356" s="1" t="s">
        <v>49</v>
      </c>
      <c r="E1356" s="1" t="s">
        <v>14</v>
      </c>
      <c r="F1356" s="1" t="n">
        <v>35</v>
      </c>
      <c r="G1356" s="1" t="n">
        <f aca="false">IF(E1356=E1355,F1356/F1355-1,"")</f>
        <v>0</v>
      </c>
    </row>
    <row r="1357" customFormat="false" ht="14.25" hidden="false" customHeight="true" outlineLevel="0" collapsed="false">
      <c r="A1357" s="26" t="n">
        <v>17411</v>
      </c>
      <c r="B1357" s="1" t="n">
        <v>1947</v>
      </c>
      <c r="C1357" s="1" t="n">
        <v>9</v>
      </c>
      <c r="D1357" s="1" t="s">
        <v>50</v>
      </c>
      <c r="E1357" s="1" t="s">
        <v>14</v>
      </c>
      <c r="F1357" s="1" t="n">
        <v>35</v>
      </c>
      <c r="G1357" s="1" t="n">
        <f aca="false">IF(E1357=E1356,F1357/F1356-1,"")</f>
        <v>0</v>
      </c>
    </row>
    <row r="1358" customFormat="false" ht="14.25" hidden="false" customHeight="true" outlineLevel="0" collapsed="false">
      <c r="A1358" s="26" t="n">
        <v>17441</v>
      </c>
      <c r="B1358" s="1" t="n">
        <v>1947</v>
      </c>
      <c r="C1358" s="1" t="n">
        <v>10</v>
      </c>
      <c r="D1358" s="1" t="s">
        <v>51</v>
      </c>
      <c r="E1358" s="1" t="s">
        <v>14</v>
      </c>
      <c r="F1358" s="1" t="n">
        <v>35</v>
      </c>
      <c r="G1358" s="1" t="n">
        <f aca="false">IF(E1358=E1357,F1358/F1357-1,"")</f>
        <v>0</v>
      </c>
    </row>
    <row r="1359" customFormat="false" ht="14.25" hidden="false" customHeight="true" outlineLevel="0" collapsed="false">
      <c r="A1359" s="26" t="n">
        <v>17472</v>
      </c>
      <c r="B1359" s="1" t="n">
        <v>1947</v>
      </c>
      <c r="C1359" s="1" t="n">
        <v>11</v>
      </c>
      <c r="D1359" s="1" t="s">
        <v>52</v>
      </c>
      <c r="E1359" s="1" t="s">
        <v>14</v>
      </c>
      <c r="F1359" s="1" t="n">
        <v>35</v>
      </c>
      <c r="G1359" s="1" t="n">
        <f aca="false">IF(E1359=E1358,F1359/F1358-1,"")</f>
        <v>0</v>
      </c>
    </row>
    <row r="1360" customFormat="false" ht="14.25" hidden="false" customHeight="true" outlineLevel="0" collapsed="false">
      <c r="A1360" s="26" t="n">
        <v>17502</v>
      </c>
      <c r="B1360" s="1" t="n">
        <v>1947</v>
      </c>
      <c r="C1360" s="1" t="n">
        <v>12</v>
      </c>
      <c r="D1360" s="1" t="s">
        <v>53</v>
      </c>
      <c r="E1360" s="1" t="s">
        <v>14</v>
      </c>
      <c r="F1360" s="1" t="n">
        <v>35</v>
      </c>
      <c r="G1360" s="1" t="n">
        <f aca="false">IF(E1360=E1359,F1360/F1359-1,"")</f>
        <v>0</v>
      </c>
    </row>
    <row r="1361" customFormat="false" ht="14.25" hidden="false" customHeight="true" outlineLevel="0" collapsed="false">
      <c r="A1361" s="26" t="n">
        <v>17533</v>
      </c>
      <c r="B1361" s="1" t="n">
        <v>1948</v>
      </c>
      <c r="C1361" s="1" t="n">
        <v>1</v>
      </c>
      <c r="D1361" s="1" t="s">
        <v>42</v>
      </c>
      <c r="E1361" s="1" t="s">
        <v>14</v>
      </c>
      <c r="F1361" s="1" t="n">
        <v>35</v>
      </c>
      <c r="G1361" s="1" t="n">
        <f aca="false">IF(E1361=E1360,F1361/F1360-1,"")</f>
        <v>0</v>
      </c>
    </row>
    <row r="1362" customFormat="false" ht="14.25" hidden="false" customHeight="true" outlineLevel="0" collapsed="false">
      <c r="A1362" s="26" t="n">
        <v>17564</v>
      </c>
      <c r="B1362" s="1" t="n">
        <v>1948</v>
      </c>
      <c r="C1362" s="1" t="n">
        <v>2</v>
      </c>
      <c r="D1362" s="1" t="s">
        <v>43</v>
      </c>
      <c r="E1362" s="1" t="s">
        <v>14</v>
      </c>
      <c r="F1362" s="1" t="n">
        <v>35</v>
      </c>
      <c r="G1362" s="1" t="n">
        <f aca="false">IF(E1362=E1361,F1362/F1361-1,"")</f>
        <v>0</v>
      </c>
    </row>
    <row r="1363" customFormat="false" ht="14.25" hidden="false" customHeight="true" outlineLevel="0" collapsed="false">
      <c r="A1363" s="26" t="n">
        <v>17593</v>
      </c>
      <c r="B1363" s="1" t="n">
        <v>1948</v>
      </c>
      <c r="C1363" s="1" t="n">
        <v>3</v>
      </c>
      <c r="D1363" s="1" t="s">
        <v>44</v>
      </c>
      <c r="E1363" s="1" t="s">
        <v>14</v>
      </c>
      <c r="F1363" s="1" t="n">
        <v>35</v>
      </c>
      <c r="G1363" s="1" t="n">
        <f aca="false">IF(E1363=E1362,F1363/F1362-1,"")</f>
        <v>0</v>
      </c>
    </row>
    <row r="1364" customFormat="false" ht="14.25" hidden="false" customHeight="true" outlineLevel="0" collapsed="false">
      <c r="A1364" s="26" t="n">
        <v>17624</v>
      </c>
      <c r="B1364" s="1" t="n">
        <v>1948</v>
      </c>
      <c r="C1364" s="1" t="n">
        <v>4</v>
      </c>
      <c r="D1364" s="1" t="s">
        <v>45</v>
      </c>
      <c r="E1364" s="1" t="s">
        <v>14</v>
      </c>
      <c r="F1364" s="1" t="n">
        <v>35</v>
      </c>
      <c r="G1364" s="1" t="n">
        <f aca="false">IF(E1364=E1363,F1364/F1363-1,"")</f>
        <v>0</v>
      </c>
    </row>
    <row r="1365" customFormat="false" ht="14.25" hidden="false" customHeight="true" outlineLevel="0" collapsed="false">
      <c r="A1365" s="26" t="n">
        <v>17654</v>
      </c>
      <c r="B1365" s="1" t="n">
        <v>1948</v>
      </c>
      <c r="C1365" s="1" t="n">
        <v>5</v>
      </c>
      <c r="D1365" s="1" t="s">
        <v>46</v>
      </c>
      <c r="E1365" s="1" t="s">
        <v>14</v>
      </c>
      <c r="F1365" s="1" t="n">
        <v>35</v>
      </c>
      <c r="G1365" s="1" t="n">
        <f aca="false">IF(E1365=E1364,F1365/F1364-1,"")</f>
        <v>0</v>
      </c>
    </row>
    <row r="1366" customFormat="false" ht="14.25" hidden="false" customHeight="true" outlineLevel="0" collapsed="false">
      <c r="A1366" s="26" t="n">
        <v>17685</v>
      </c>
      <c r="B1366" s="1" t="n">
        <v>1948</v>
      </c>
      <c r="C1366" s="1" t="n">
        <v>6</v>
      </c>
      <c r="D1366" s="1" t="s">
        <v>47</v>
      </c>
      <c r="E1366" s="1" t="s">
        <v>14</v>
      </c>
      <c r="F1366" s="1" t="n">
        <v>35</v>
      </c>
      <c r="G1366" s="1" t="n">
        <f aca="false">IF(E1366=E1365,F1366/F1365-1,"")</f>
        <v>0</v>
      </c>
    </row>
    <row r="1367" customFormat="false" ht="14.25" hidden="false" customHeight="true" outlineLevel="0" collapsed="false">
      <c r="A1367" s="26" t="n">
        <v>17715</v>
      </c>
      <c r="B1367" s="1" t="n">
        <v>1948</v>
      </c>
      <c r="C1367" s="1" t="n">
        <v>7</v>
      </c>
      <c r="D1367" s="1" t="s">
        <v>48</v>
      </c>
      <c r="E1367" s="1" t="s">
        <v>14</v>
      </c>
      <c r="F1367" s="1" t="n">
        <v>35</v>
      </c>
      <c r="G1367" s="1" t="n">
        <f aca="false">IF(E1367=E1366,F1367/F1366-1,"")</f>
        <v>0</v>
      </c>
    </row>
    <row r="1368" customFormat="false" ht="14.25" hidden="false" customHeight="true" outlineLevel="0" collapsed="false">
      <c r="A1368" s="26" t="n">
        <v>17746</v>
      </c>
      <c r="B1368" s="1" t="n">
        <v>1948</v>
      </c>
      <c r="C1368" s="1" t="n">
        <v>8</v>
      </c>
      <c r="D1368" s="1" t="s">
        <v>49</v>
      </c>
      <c r="E1368" s="1" t="s">
        <v>14</v>
      </c>
      <c r="F1368" s="1" t="n">
        <v>35</v>
      </c>
      <c r="G1368" s="1" t="n">
        <f aca="false">IF(E1368=E1367,F1368/F1367-1,"")</f>
        <v>0</v>
      </c>
    </row>
    <row r="1369" customFormat="false" ht="14.25" hidden="false" customHeight="true" outlineLevel="0" collapsed="false">
      <c r="A1369" s="26" t="n">
        <v>17777</v>
      </c>
      <c r="B1369" s="1" t="n">
        <v>1948</v>
      </c>
      <c r="C1369" s="1" t="n">
        <v>9</v>
      </c>
      <c r="D1369" s="1" t="s">
        <v>50</v>
      </c>
      <c r="E1369" s="1" t="s">
        <v>14</v>
      </c>
      <c r="F1369" s="1" t="n">
        <v>35</v>
      </c>
      <c r="G1369" s="1" t="n">
        <f aca="false">IF(E1369=E1368,F1369/F1368-1,"")</f>
        <v>0</v>
      </c>
    </row>
    <row r="1370" customFormat="false" ht="14.25" hidden="false" customHeight="true" outlineLevel="0" collapsed="false">
      <c r="A1370" s="26" t="n">
        <v>17807</v>
      </c>
      <c r="B1370" s="1" t="n">
        <v>1948</v>
      </c>
      <c r="C1370" s="1" t="n">
        <v>10</v>
      </c>
      <c r="D1370" s="1" t="s">
        <v>51</v>
      </c>
      <c r="E1370" s="1" t="s">
        <v>14</v>
      </c>
      <c r="F1370" s="1" t="n">
        <v>35</v>
      </c>
      <c r="G1370" s="1" t="n">
        <f aca="false">IF(E1370=E1369,F1370/F1369-1,"")</f>
        <v>0</v>
      </c>
    </row>
    <row r="1371" customFormat="false" ht="14.25" hidden="false" customHeight="true" outlineLevel="0" collapsed="false">
      <c r="A1371" s="26" t="n">
        <v>17838</v>
      </c>
      <c r="B1371" s="1" t="n">
        <v>1948</v>
      </c>
      <c r="C1371" s="1" t="n">
        <v>11</v>
      </c>
      <c r="D1371" s="1" t="s">
        <v>52</v>
      </c>
      <c r="E1371" s="1" t="s">
        <v>14</v>
      </c>
      <c r="F1371" s="1" t="n">
        <v>35</v>
      </c>
      <c r="G1371" s="1" t="n">
        <f aca="false">IF(E1371=E1370,F1371/F1370-1,"")</f>
        <v>0</v>
      </c>
    </row>
    <row r="1372" customFormat="false" ht="14.25" hidden="false" customHeight="true" outlineLevel="0" collapsed="false">
      <c r="A1372" s="26" t="n">
        <v>17868</v>
      </c>
      <c r="B1372" s="1" t="n">
        <v>1948</v>
      </c>
      <c r="C1372" s="1" t="n">
        <v>12</v>
      </c>
      <c r="D1372" s="1" t="s">
        <v>53</v>
      </c>
      <c r="E1372" s="1" t="s">
        <v>14</v>
      </c>
      <c r="F1372" s="1" t="n">
        <v>35</v>
      </c>
      <c r="G1372" s="1" t="n">
        <f aca="false">IF(E1372=E1371,F1372/F1371-1,"")</f>
        <v>0</v>
      </c>
    </row>
    <row r="1373" customFormat="false" ht="14.25" hidden="false" customHeight="true" outlineLevel="0" collapsed="false">
      <c r="A1373" s="26" t="n">
        <v>17899</v>
      </c>
      <c r="B1373" s="1" t="n">
        <v>1949</v>
      </c>
      <c r="C1373" s="1" t="n">
        <v>1</v>
      </c>
      <c r="D1373" s="1" t="s">
        <v>42</v>
      </c>
      <c r="E1373" s="1" t="s">
        <v>14</v>
      </c>
      <c r="F1373" s="1" t="n">
        <v>31.88</v>
      </c>
      <c r="G1373" s="1" t="n">
        <f aca="false">IF(E1373=E1372,F1373/F1372-1,"")</f>
        <v>-0.0891428571428572</v>
      </c>
    </row>
    <row r="1374" customFormat="false" ht="14.25" hidden="false" customHeight="true" outlineLevel="0" collapsed="false">
      <c r="A1374" s="26" t="n">
        <v>17930</v>
      </c>
      <c r="B1374" s="1" t="n">
        <v>1949</v>
      </c>
      <c r="C1374" s="1" t="n">
        <v>2</v>
      </c>
      <c r="D1374" s="1" t="s">
        <v>43</v>
      </c>
      <c r="E1374" s="1" t="s">
        <v>14</v>
      </c>
      <c r="F1374" s="1" t="n">
        <v>31.88</v>
      </c>
      <c r="G1374" s="1" t="n">
        <f aca="false">IF(E1374=E1373,F1374/F1373-1,"")</f>
        <v>0</v>
      </c>
    </row>
    <row r="1375" customFormat="false" ht="14.25" hidden="false" customHeight="true" outlineLevel="0" collapsed="false">
      <c r="A1375" s="26" t="n">
        <v>17958</v>
      </c>
      <c r="B1375" s="1" t="n">
        <v>1949</v>
      </c>
      <c r="C1375" s="1" t="n">
        <v>3</v>
      </c>
      <c r="D1375" s="1" t="s">
        <v>44</v>
      </c>
      <c r="E1375" s="1" t="s">
        <v>14</v>
      </c>
      <c r="F1375" s="1" t="n">
        <v>31.88</v>
      </c>
      <c r="G1375" s="1" t="n">
        <f aca="false">IF(E1375=E1374,F1375/F1374-1,"")</f>
        <v>0</v>
      </c>
    </row>
    <row r="1376" customFormat="false" ht="14.25" hidden="false" customHeight="true" outlineLevel="0" collapsed="false">
      <c r="A1376" s="26" t="n">
        <v>17989</v>
      </c>
      <c r="B1376" s="1" t="n">
        <v>1949</v>
      </c>
      <c r="C1376" s="1" t="n">
        <v>4</v>
      </c>
      <c r="D1376" s="1" t="s">
        <v>45</v>
      </c>
      <c r="E1376" s="1" t="s">
        <v>14</v>
      </c>
      <c r="F1376" s="1" t="n">
        <v>31.88</v>
      </c>
      <c r="G1376" s="1" t="n">
        <f aca="false">IF(E1376=E1375,F1376/F1375-1,"")</f>
        <v>0</v>
      </c>
    </row>
    <row r="1377" customFormat="false" ht="14.25" hidden="false" customHeight="true" outlineLevel="0" collapsed="false">
      <c r="A1377" s="26" t="n">
        <v>18019</v>
      </c>
      <c r="B1377" s="1" t="n">
        <v>1949</v>
      </c>
      <c r="C1377" s="1" t="n">
        <v>5</v>
      </c>
      <c r="D1377" s="1" t="s">
        <v>46</v>
      </c>
      <c r="E1377" s="1" t="s">
        <v>14</v>
      </c>
      <c r="F1377" s="1" t="n">
        <v>31.88</v>
      </c>
      <c r="G1377" s="1" t="n">
        <f aca="false">IF(E1377=E1376,F1377/F1376-1,"")</f>
        <v>0</v>
      </c>
    </row>
    <row r="1378" customFormat="false" ht="14.25" hidden="false" customHeight="true" outlineLevel="0" collapsed="false">
      <c r="A1378" s="26" t="n">
        <v>18050</v>
      </c>
      <c r="B1378" s="1" t="n">
        <v>1949</v>
      </c>
      <c r="C1378" s="1" t="n">
        <v>6</v>
      </c>
      <c r="D1378" s="1" t="s">
        <v>47</v>
      </c>
      <c r="E1378" s="1" t="s">
        <v>14</v>
      </c>
      <c r="F1378" s="1" t="n">
        <v>31.88</v>
      </c>
      <c r="G1378" s="1" t="n">
        <f aca="false">IF(E1378=E1377,F1378/F1377-1,"")</f>
        <v>0</v>
      </c>
    </row>
    <row r="1379" customFormat="false" ht="14.25" hidden="false" customHeight="true" outlineLevel="0" collapsed="false">
      <c r="A1379" s="26" t="n">
        <v>18080</v>
      </c>
      <c r="B1379" s="1" t="n">
        <v>1949</v>
      </c>
      <c r="C1379" s="1" t="n">
        <v>7</v>
      </c>
      <c r="D1379" s="1" t="s">
        <v>48</v>
      </c>
      <c r="E1379" s="1" t="s">
        <v>14</v>
      </c>
      <c r="F1379" s="1" t="n">
        <v>31.88</v>
      </c>
      <c r="G1379" s="1" t="n">
        <f aca="false">IF(E1379=E1378,F1379/F1378-1,"")</f>
        <v>0</v>
      </c>
    </row>
    <row r="1380" customFormat="false" ht="14.25" hidden="false" customHeight="true" outlineLevel="0" collapsed="false">
      <c r="A1380" s="26" t="n">
        <v>18111</v>
      </c>
      <c r="B1380" s="1" t="n">
        <v>1949</v>
      </c>
      <c r="C1380" s="1" t="n">
        <v>8</v>
      </c>
      <c r="D1380" s="1" t="s">
        <v>49</v>
      </c>
      <c r="E1380" s="1" t="s">
        <v>14</v>
      </c>
      <c r="F1380" s="1" t="n">
        <v>31.88</v>
      </c>
      <c r="G1380" s="1" t="n">
        <f aca="false">IF(E1380=E1379,F1380/F1379-1,"")</f>
        <v>0</v>
      </c>
    </row>
    <row r="1381" customFormat="false" ht="14.25" hidden="false" customHeight="true" outlineLevel="0" collapsed="false">
      <c r="A1381" s="26" t="n">
        <v>18142</v>
      </c>
      <c r="B1381" s="1" t="n">
        <v>1949</v>
      </c>
      <c r="C1381" s="1" t="n">
        <v>9</v>
      </c>
      <c r="D1381" s="1" t="s">
        <v>50</v>
      </c>
      <c r="E1381" s="1" t="s">
        <v>14</v>
      </c>
      <c r="F1381" s="1" t="n">
        <v>31.88</v>
      </c>
      <c r="G1381" s="1" t="n">
        <f aca="false">IF(E1381=E1380,F1381/F1380-1,"")</f>
        <v>0</v>
      </c>
    </row>
    <row r="1382" customFormat="false" ht="14.25" hidden="false" customHeight="true" outlineLevel="0" collapsed="false">
      <c r="A1382" s="26" t="n">
        <v>18172</v>
      </c>
      <c r="B1382" s="1" t="n">
        <v>1949</v>
      </c>
      <c r="C1382" s="1" t="n">
        <v>10</v>
      </c>
      <c r="D1382" s="1" t="s">
        <v>51</v>
      </c>
      <c r="E1382" s="1" t="s">
        <v>14</v>
      </c>
      <c r="F1382" s="1" t="n">
        <v>31.88</v>
      </c>
      <c r="G1382" s="1" t="n">
        <f aca="false">IF(E1382=E1381,F1382/F1381-1,"")</f>
        <v>0</v>
      </c>
    </row>
    <row r="1383" customFormat="false" ht="14.25" hidden="false" customHeight="true" outlineLevel="0" collapsed="false">
      <c r="A1383" s="26" t="n">
        <v>18203</v>
      </c>
      <c r="B1383" s="1" t="n">
        <v>1949</v>
      </c>
      <c r="C1383" s="1" t="n">
        <v>11</v>
      </c>
      <c r="D1383" s="1" t="s">
        <v>52</v>
      </c>
      <c r="E1383" s="1" t="s">
        <v>14</v>
      </c>
      <c r="F1383" s="1" t="n">
        <v>31.88</v>
      </c>
      <c r="G1383" s="1" t="n">
        <f aca="false">IF(E1383=E1382,F1383/F1382-1,"")</f>
        <v>0</v>
      </c>
    </row>
    <row r="1384" customFormat="false" ht="14.25" hidden="false" customHeight="true" outlineLevel="0" collapsed="false">
      <c r="A1384" s="26" t="n">
        <v>18233</v>
      </c>
      <c r="B1384" s="1" t="n">
        <v>1949</v>
      </c>
      <c r="C1384" s="1" t="n">
        <v>12</v>
      </c>
      <c r="D1384" s="1" t="s">
        <v>53</v>
      </c>
      <c r="E1384" s="1" t="s">
        <v>14</v>
      </c>
      <c r="F1384" s="1" t="n">
        <v>31.88</v>
      </c>
      <c r="G1384" s="1" t="n">
        <f aca="false">IF(E1384=E1383,F1384/F1383-1,"")</f>
        <v>0</v>
      </c>
    </row>
    <row r="1385" customFormat="false" ht="14.25" hidden="false" customHeight="true" outlineLevel="0" collapsed="false">
      <c r="A1385" s="26" t="n">
        <v>18264</v>
      </c>
      <c r="B1385" s="1" t="n">
        <v>1950</v>
      </c>
      <c r="C1385" s="1" t="n">
        <v>1</v>
      </c>
      <c r="D1385" s="1" t="s">
        <v>42</v>
      </c>
      <c r="E1385" s="1" t="s">
        <v>14</v>
      </c>
      <c r="F1385" s="1" t="n">
        <v>35</v>
      </c>
      <c r="G1385" s="1" t="n">
        <f aca="false">IF(E1385=E1384,F1385/F1384-1,"")</f>
        <v>0.0978670012547052</v>
      </c>
    </row>
    <row r="1386" customFormat="false" ht="14.25" hidden="false" customHeight="true" outlineLevel="0" collapsed="false">
      <c r="A1386" s="26" t="n">
        <v>18295</v>
      </c>
      <c r="B1386" s="1" t="n">
        <v>1950</v>
      </c>
      <c r="C1386" s="1" t="n">
        <v>2</v>
      </c>
      <c r="D1386" s="1" t="s">
        <v>43</v>
      </c>
      <c r="E1386" s="1" t="s">
        <v>14</v>
      </c>
      <c r="F1386" s="1" t="n">
        <v>35</v>
      </c>
      <c r="G1386" s="1" t="n">
        <f aca="false">IF(E1386=E1385,F1386/F1385-1,"")</f>
        <v>0</v>
      </c>
    </row>
    <row r="1387" customFormat="false" ht="14.25" hidden="false" customHeight="true" outlineLevel="0" collapsed="false">
      <c r="A1387" s="26" t="n">
        <v>18323</v>
      </c>
      <c r="B1387" s="1" t="n">
        <v>1950</v>
      </c>
      <c r="C1387" s="1" t="n">
        <v>3</v>
      </c>
      <c r="D1387" s="1" t="s">
        <v>44</v>
      </c>
      <c r="E1387" s="1" t="s">
        <v>14</v>
      </c>
      <c r="F1387" s="1" t="n">
        <v>35</v>
      </c>
      <c r="G1387" s="1" t="n">
        <f aca="false">IF(E1387=E1386,F1387/F1386-1,"")</f>
        <v>0</v>
      </c>
    </row>
    <row r="1388" customFormat="false" ht="14.25" hidden="false" customHeight="true" outlineLevel="0" collapsed="false">
      <c r="A1388" s="26" t="n">
        <v>18354</v>
      </c>
      <c r="B1388" s="1" t="n">
        <v>1950</v>
      </c>
      <c r="C1388" s="1" t="n">
        <v>4</v>
      </c>
      <c r="D1388" s="1" t="s">
        <v>45</v>
      </c>
      <c r="E1388" s="1" t="s">
        <v>14</v>
      </c>
      <c r="F1388" s="1" t="n">
        <v>35</v>
      </c>
      <c r="G1388" s="1" t="n">
        <f aca="false">IF(E1388=E1387,F1388/F1387-1,"")</f>
        <v>0</v>
      </c>
    </row>
    <row r="1389" customFormat="false" ht="14.25" hidden="false" customHeight="true" outlineLevel="0" collapsed="false">
      <c r="A1389" s="26" t="n">
        <v>18384</v>
      </c>
      <c r="B1389" s="1" t="n">
        <v>1950</v>
      </c>
      <c r="C1389" s="1" t="n">
        <v>5</v>
      </c>
      <c r="D1389" s="1" t="s">
        <v>46</v>
      </c>
      <c r="E1389" s="1" t="s">
        <v>14</v>
      </c>
      <c r="F1389" s="1" t="n">
        <v>35</v>
      </c>
      <c r="G1389" s="1" t="n">
        <f aca="false">IF(E1389=E1388,F1389/F1388-1,"")</f>
        <v>0</v>
      </c>
    </row>
    <row r="1390" customFormat="false" ht="14.25" hidden="false" customHeight="true" outlineLevel="0" collapsed="false">
      <c r="A1390" s="26" t="n">
        <v>18415</v>
      </c>
      <c r="B1390" s="1" t="n">
        <v>1950</v>
      </c>
      <c r="C1390" s="1" t="n">
        <v>6</v>
      </c>
      <c r="D1390" s="1" t="s">
        <v>47</v>
      </c>
      <c r="E1390" s="1" t="s">
        <v>14</v>
      </c>
      <c r="F1390" s="1" t="n">
        <v>35</v>
      </c>
      <c r="G1390" s="1" t="n">
        <f aca="false">IF(E1390=E1389,F1390/F1389-1,"")</f>
        <v>0</v>
      </c>
    </row>
    <row r="1391" customFormat="false" ht="14.25" hidden="false" customHeight="true" outlineLevel="0" collapsed="false">
      <c r="A1391" s="26" t="n">
        <v>18445</v>
      </c>
      <c r="B1391" s="1" t="n">
        <v>1950</v>
      </c>
      <c r="C1391" s="1" t="n">
        <v>7</v>
      </c>
      <c r="D1391" s="1" t="s">
        <v>48</v>
      </c>
      <c r="E1391" s="1" t="s">
        <v>14</v>
      </c>
      <c r="F1391" s="1" t="n">
        <v>35</v>
      </c>
      <c r="G1391" s="1" t="n">
        <f aca="false">IF(E1391=E1390,F1391/F1390-1,"")</f>
        <v>0</v>
      </c>
    </row>
    <row r="1392" customFormat="false" ht="14.25" hidden="false" customHeight="true" outlineLevel="0" collapsed="false">
      <c r="A1392" s="26" t="n">
        <v>18476</v>
      </c>
      <c r="B1392" s="1" t="n">
        <v>1950</v>
      </c>
      <c r="C1392" s="1" t="n">
        <v>8</v>
      </c>
      <c r="D1392" s="1" t="s">
        <v>49</v>
      </c>
      <c r="E1392" s="1" t="s">
        <v>14</v>
      </c>
      <c r="F1392" s="1" t="n">
        <v>35</v>
      </c>
      <c r="G1392" s="1" t="n">
        <f aca="false">IF(E1392=E1391,F1392/F1391-1,"")</f>
        <v>0</v>
      </c>
    </row>
    <row r="1393" customFormat="false" ht="14.25" hidden="false" customHeight="true" outlineLevel="0" collapsed="false">
      <c r="A1393" s="26" t="n">
        <v>18507</v>
      </c>
      <c r="B1393" s="1" t="n">
        <v>1950</v>
      </c>
      <c r="C1393" s="1" t="n">
        <v>9</v>
      </c>
      <c r="D1393" s="1" t="s">
        <v>50</v>
      </c>
      <c r="E1393" s="1" t="s">
        <v>14</v>
      </c>
      <c r="F1393" s="1" t="n">
        <v>35</v>
      </c>
      <c r="G1393" s="1" t="n">
        <f aca="false">IF(E1393=E1392,F1393/F1392-1,"")</f>
        <v>0</v>
      </c>
    </row>
    <row r="1394" customFormat="false" ht="14.25" hidden="false" customHeight="true" outlineLevel="0" collapsed="false">
      <c r="A1394" s="26" t="n">
        <v>18537</v>
      </c>
      <c r="B1394" s="1" t="n">
        <v>1950</v>
      </c>
      <c r="C1394" s="1" t="n">
        <v>10</v>
      </c>
      <c r="D1394" s="1" t="s">
        <v>51</v>
      </c>
      <c r="E1394" s="1" t="s">
        <v>14</v>
      </c>
      <c r="F1394" s="1" t="n">
        <v>35</v>
      </c>
      <c r="G1394" s="1" t="n">
        <f aca="false">IF(E1394=E1393,F1394/F1393-1,"")</f>
        <v>0</v>
      </c>
    </row>
    <row r="1395" customFormat="false" ht="14.25" hidden="false" customHeight="true" outlineLevel="0" collapsed="false">
      <c r="A1395" s="26" t="n">
        <v>18568</v>
      </c>
      <c r="B1395" s="1" t="n">
        <v>1950</v>
      </c>
      <c r="C1395" s="1" t="n">
        <v>11</v>
      </c>
      <c r="D1395" s="1" t="s">
        <v>52</v>
      </c>
      <c r="E1395" s="1" t="s">
        <v>14</v>
      </c>
      <c r="F1395" s="1" t="n">
        <v>35</v>
      </c>
      <c r="G1395" s="1" t="n">
        <f aca="false">IF(E1395=E1394,F1395/F1394-1,"")</f>
        <v>0</v>
      </c>
    </row>
    <row r="1396" customFormat="false" ht="14.25" hidden="false" customHeight="true" outlineLevel="0" collapsed="false">
      <c r="A1396" s="26" t="n">
        <v>18598</v>
      </c>
      <c r="B1396" s="1" t="n">
        <v>1950</v>
      </c>
      <c r="C1396" s="1" t="n">
        <v>12</v>
      </c>
      <c r="D1396" s="1" t="s">
        <v>53</v>
      </c>
      <c r="E1396" s="1" t="s">
        <v>14</v>
      </c>
      <c r="F1396" s="1" t="n">
        <v>35</v>
      </c>
      <c r="G1396" s="1" t="n">
        <f aca="false">IF(E1396=E1395,F1396/F1395-1,"")</f>
        <v>0</v>
      </c>
    </row>
    <row r="1397" customFormat="false" ht="14.25" hidden="false" customHeight="true" outlineLevel="0" collapsed="false">
      <c r="A1397" s="26" t="n">
        <v>18629</v>
      </c>
      <c r="B1397" s="1" t="n">
        <v>1951</v>
      </c>
      <c r="C1397" s="1" t="n">
        <v>1</v>
      </c>
      <c r="D1397" s="1" t="s">
        <v>42</v>
      </c>
      <c r="E1397" s="1" t="s">
        <v>14</v>
      </c>
      <c r="F1397" s="1" t="n">
        <v>35</v>
      </c>
      <c r="G1397" s="1" t="n">
        <f aca="false">IF(E1397=E1396,F1397/F1396-1,"")</f>
        <v>0</v>
      </c>
    </row>
    <row r="1398" customFormat="false" ht="14.25" hidden="false" customHeight="true" outlineLevel="0" collapsed="false">
      <c r="A1398" s="26" t="n">
        <v>18660</v>
      </c>
      <c r="B1398" s="1" t="n">
        <v>1951</v>
      </c>
      <c r="C1398" s="1" t="n">
        <v>2</v>
      </c>
      <c r="D1398" s="1" t="s">
        <v>43</v>
      </c>
      <c r="E1398" s="1" t="s">
        <v>14</v>
      </c>
      <c r="F1398" s="1" t="n">
        <v>35</v>
      </c>
      <c r="G1398" s="1" t="n">
        <f aca="false">IF(E1398=E1397,F1398/F1397-1,"")</f>
        <v>0</v>
      </c>
    </row>
    <row r="1399" customFormat="false" ht="14.25" hidden="false" customHeight="true" outlineLevel="0" collapsed="false">
      <c r="A1399" s="26" t="n">
        <v>18688</v>
      </c>
      <c r="B1399" s="1" t="n">
        <v>1951</v>
      </c>
      <c r="C1399" s="1" t="n">
        <v>3</v>
      </c>
      <c r="D1399" s="1" t="s">
        <v>44</v>
      </c>
      <c r="E1399" s="1" t="s">
        <v>14</v>
      </c>
      <c r="F1399" s="1" t="n">
        <v>35</v>
      </c>
      <c r="G1399" s="1" t="n">
        <f aca="false">IF(E1399=E1398,F1399/F1398-1,"")</f>
        <v>0</v>
      </c>
    </row>
    <row r="1400" customFormat="false" ht="14.25" hidden="false" customHeight="true" outlineLevel="0" collapsed="false">
      <c r="A1400" s="26" t="n">
        <v>18719</v>
      </c>
      <c r="B1400" s="1" t="n">
        <v>1951</v>
      </c>
      <c r="C1400" s="1" t="n">
        <v>4</v>
      </c>
      <c r="D1400" s="1" t="s">
        <v>45</v>
      </c>
      <c r="E1400" s="1" t="s">
        <v>14</v>
      </c>
      <c r="F1400" s="1" t="n">
        <v>35</v>
      </c>
      <c r="G1400" s="1" t="n">
        <f aca="false">IF(E1400=E1399,F1400/F1399-1,"")</f>
        <v>0</v>
      </c>
    </row>
    <row r="1401" customFormat="false" ht="14.25" hidden="false" customHeight="true" outlineLevel="0" collapsed="false">
      <c r="A1401" s="26" t="n">
        <v>18749</v>
      </c>
      <c r="B1401" s="1" t="n">
        <v>1951</v>
      </c>
      <c r="C1401" s="1" t="n">
        <v>5</v>
      </c>
      <c r="D1401" s="1" t="s">
        <v>46</v>
      </c>
      <c r="E1401" s="1" t="s">
        <v>14</v>
      </c>
      <c r="F1401" s="1" t="n">
        <v>35</v>
      </c>
      <c r="G1401" s="1" t="n">
        <f aca="false">IF(E1401=E1400,F1401/F1400-1,"")</f>
        <v>0</v>
      </c>
    </row>
    <row r="1402" customFormat="false" ht="14.25" hidden="false" customHeight="true" outlineLevel="0" collapsed="false">
      <c r="A1402" s="26" t="n">
        <v>18780</v>
      </c>
      <c r="B1402" s="1" t="n">
        <v>1951</v>
      </c>
      <c r="C1402" s="1" t="n">
        <v>6</v>
      </c>
      <c r="D1402" s="1" t="s">
        <v>47</v>
      </c>
      <c r="E1402" s="1" t="s">
        <v>14</v>
      </c>
      <c r="F1402" s="1" t="n">
        <v>35</v>
      </c>
      <c r="G1402" s="1" t="n">
        <f aca="false">IF(E1402=E1401,F1402/F1401-1,"")</f>
        <v>0</v>
      </c>
    </row>
    <row r="1403" customFormat="false" ht="14.25" hidden="false" customHeight="true" outlineLevel="0" collapsed="false">
      <c r="A1403" s="26" t="n">
        <v>18810</v>
      </c>
      <c r="B1403" s="1" t="n">
        <v>1951</v>
      </c>
      <c r="C1403" s="1" t="n">
        <v>7</v>
      </c>
      <c r="D1403" s="1" t="s">
        <v>48</v>
      </c>
      <c r="E1403" s="1" t="s">
        <v>14</v>
      </c>
      <c r="F1403" s="1" t="n">
        <v>35</v>
      </c>
      <c r="G1403" s="1" t="n">
        <f aca="false">IF(E1403=E1402,F1403/F1402-1,"")</f>
        <v>0</v>
      </c>
    </row>
    <row r="1404" customFormat="false" ht="14.25" hidden="false" customHeight="true" outlineLevel="0" collapsed="false">
      <c r="A1404" s="26" t="n">
        <v>18841</v>
      </c>
      <c r="B1404" s="1" t="n">
        <v>1951</v>
      </c>
      <c r="C1404" s="1" t="n">
        <v>8</v>
      </c>
      <c r="D1404" s="1" t="s">
        <v>49</v>
      </c>
      <c r="E1404" s="1" t="s">
        <v>14</v>
      </c>
      <c r="F1404" s="1" t="n">
        <v>35</v>
      </c>
      <c r="G1404" s="1" t="n">
        <f aca="false">IF(E1404=E1403,F1404/F1403-1,"")</f>
        <v>0</v>
      </c>
    </row>
    <row r="1405" customFormat="false" ht="14.25" hidden="false" customHeight="true" outlineLevel="0" collapsed="false">
      <c r="A1405" s="26" t="n">
        <v>18872</v>
      </c>
      <c r="B1405" s="1" t="n">
        <v>1951</v>
      </c>
      <c r="C1405" s="1" t="n">
        <v>9</v>
      </c>
      <c r="D1405" s="1" t="s">
        <v>50</v>
      </c>
      <c r="E1405" s="1" t="s">
        <v>14</v>
      </c>
      <c r="F1405" s="1" t="n">
        <v>35</v>
      </c>
      <c r="G1405" s="1" t="n">
        <f aca="false">IF(E1405=E1404,F1405/F1404-1,"")</f>
        <v>0</v>
      </c>
    </row>
    <row r="1406" customFormat="false" ht="14.25" hidden="false" customHeight="true" outlineLevel="0" collapsed="false">
      <c r="A1406" s="26" t="n">
        <v>18902</v>
      </c>
      <c r="B1406" s="1" t="n">
        <v>1951</v>
      </c>
      <c r="C1406" s="1" t="n">
        <v>10</v>
      </c>
      <c r="D1406" s="1" t="s">
        <v>51</v>
      </c>
      <c r="E1406" s="1" t="s">
        <v>14</v>
      </c>
      <c r="F1406" s="1" t="n">
        <v>35</v>
      </c>
      <c r="G1406" s="1" t="n">
        <f aca="false">IF(E1406=E1405,F1406/F1405-1,"")</f>
        <v>0</v>
      </c>
    </row>
    <row r="1407" customFormat="false" ht="14.25" hidden="false" customHeight="true" outlineLevel="0" collapsed="false">
      <c r="A1407" s="26" t="n">
        <v>18933</v>
      </c>
      <c r="B1407" s="1" t="n">
        <v>1951</v>
      </c>
      <c r="C1407" s="1" t="n">
        <v>11</v>
      </c>
      <c r="D1407" s="1" t="s">
        <v>52</v>
      </c>
      <c r="E1407" s="1" t="s">
        <v>14</v>
      </c>
      <c r="F1407" s="1" t="n">
        <v>35</v>
      </c>
      <c r="G1407" s="1" t="n">
        <f aca="false">IF(E1407=E1406,F1407/F1406-1,"")</f>
        <v>0</v>
      </c>
    </row>
    <row r="1408" customFormat="false" ht="14.25" hidden="false" customHeight="true" outlineLevel="0" collapsed="false">
      <c r="A1408" s="26" t="n">
        <v>18963</v>
      </c>
      <c r="B1408" s="1" t="n">
        <v>1951</v>
      </c>
      <c r="C1408" s="1" t="n">
        <v>12</v>
      </c>
      <c r="D1408" s="1" t="s">
        <v>53</v>
      </c>
      <c r="E1408" s="1" t="s">
        <v>14</v>
      </c>
      <c r="F1408" s="1" t="n">
        <v>35</v>
      </c>
      <c r="G1408" s="1" t="n">
        <f aca="false">IF(E1408=E1407,F1408/F1407-1,"")</f>
        <v>0</v>
      </c>
    </row>
    <row r="1409" customFormat="false" ht="14.25" hidden="false" customHeight="true" outlineLevel="0" collapsed="false">
      <c r="A1409" s="26" t="n">
        <v>18994</v>
      </c>
      <c r="B1409" s="1" t="n">
        <v>1952</v>
      </c>
      <c r="C1409" s="1" t="n">
        <v>1</v>
      </c>
      <c r="D1409" s="1" t="s">
        <v>42</v>
      </c>
      <c r="E1409" s="1" t="s">
        <v>14</v>
      </c>
      <c r="F1409" s="1" t="n">
        <v>34.69</v>
      </c>
      <c r="G1409" s="1" t="n">
        <f aca="false">IF(E1409=E1408,F1409/F1408-1,"")</f>
        <v>-0.0088571428571429</v>
      </c>
    </row>
    <row r="1410" customFormat="false" ht="14.25" hidden="false" customHeight="true" outlineLevel="0" collapsed="false">
      <c r="A1410" s="26" t="n">
        <v>19025</v>
      </c>
      <c r="B1410" s="1" t="n">
        <v>1952</v>
      </c>
      <c r="C1410" s="1" t="n">
        <v>2</v>
      </c>
      <c r="D1410" s="1" t="s">
        <v>43</v>
      </c>
      <c r="E1410" s="1" t="s">
        <v>14</v>
      </c>
      <c r="F1410" s="1" t="n">
        <v>34.69</v>
      </c>
      <c r="G1410" s="1" t="n">
        <f aca="false">IF(E1410=E1409,F1410/F1409-1,"")</f>
        <v>0</v>
      </c>
    </row>
    <row r="1411" customFormat="false" ht="14.25" hidden="false" customHeight="true" outlineLevel="0" collapsed="false">
      <c r="A1411" s="26" t="n">
        <v>19054</v>
      </c>
      <c r="B1411" s="1" t="n">
        <v>1952</v>
      </c>
      <c r="C1411" s="1" t="n">
        <v>3</v>
      </c>
      <c r="D1411" s="1" t="s">
        <v>44</v>
      </c>
      <c r="E1411" s="1" t="s">
        <v>14</v>
      </c>
      <c r="F1411" s="1" t="n">
        <v>34.69</v>
      </c>
      <c r="G1411" s="1" t="n">
        <f aca="false">IF(E1411=E1410,F1411/F1410-1,"")</f>
        <v>0</v>
      </c>
    </row>
    <row r="1412" customFormat="false" ht="14.25" hidden="false" customHeight="true" outlineLevel="0" collapsed="false">
      <c r="A1412" s="26" t="n">
        <v>19085</v>
      </c>
      <c r="B1412" s="1" t="n">
        <v>1952</v>
      </c>
      <c r="C1412" s="1" t="n">
        <v>4</v>
      </c>
      <c r="D1412" s="1" t="s">
        <v>45</v>
      </c>
      <c r="E1412" s="1" t="s">
        <v>14</v>
      </c>
      <c r="F1412" s="1" t="n">
        <v>34.69</v>
      </c>
      <c r="G1412" s="1" t="n">
        <f aca="false">IF(E1412=E1411,F1412/F1411-1,"")</f>
        <v>0</v>
      </c>
    </row>
    <row r="1413" customFormat="false" ht="14.25" hidden="false" customHeight="true" outlineLevel="0" collapsed="false">
      <c r="A1413" s="26" t="n">
        <v>19115</v>
      </c>
      <c r="B1413" s="1" t="n">
        <v>1952</v>
      </c>
      <c r="C1413" s="1" t="n">
        <v>5</v>
      </c>
      <c r="D1413" s="1" t="s">
        <v>46</v>
      </c>
      <c r="E1413" s="1" t="s">
        <v>14</v>
      </c>
      <c r="F1413" s="1" t="n">
        <v>34.69</v>
      </c>
      <c r="G1413" s="1" t="n">
        <f aca="false">IF(E1413=E1412,F1413/F1412-1,"")</f>
        <v>0</v>
      </c>
    </row>
    <row r="1414" customFormat="false" ht="14.25" hidden="false" customHeight="true" outlineLevel="0" collapsed="false">
      <c r="A1414" s="26" t="n">
        <v>19146</v>
      </c>
      <c r="B1414" s="1" t="n">
        <v>1952</v>
      </c>
      <c r="C1414" s="1" t="n">
        <v>6</v>
      </c>
      <c r="D1414" s="1" t="s">
        <v>47</v>
      </c>
      <c r="E1414" s="1" t="s">
        <v>14</v>
      </c>
      <c r="F1414" s="1" t="n">
        <v>34.69</v>
      </c>
      <c r="G1414" s="1" t="n">
        <f aca="false">IF(E1414=E1413,F1414/F1413-1,"")</f>
        <v>0</v>
      </c>
    </row>
    <row r="1415" customFormat="false" ht="14.25" hidden="false" customHeight="true" outlineLevel="0" collapsed="false">
      <c r="A1415" s="26" t="n">
        <v>19176</v>
      </c>
      <c r="B1415" s="1" t="n">
        <v>1952</v>
      </c>
      <c r="C1415" s="1" t="n">
        <v>7</v>
      </c>
      <c r="D1415" s="1" t="s">
        <v>48</v>
      </c>
      <c r="E1415" s="1" t="s">
        <v>14</v>
      </c>
      <c r="F1415" s="1" t="n">
        <v>34.69</v>
      </c>
      <c r="G1415" s="1" t="n">
        <f aca="false">IF(E1415=E1414,F1415/F1414-1,"")</f>
        <v>0</v>
      </c>
    </row>
    <row r="1416" customFormat="false" ht="14.25" hidden="false" customHeight="true" outlineLevel="0" collapsed="false">
      <c r="A1416" s="26" t="n">
        <v>19207</v>
      </c>
      <c r="B1416" s="1" t="n">
        <v>1952</v>
      </c>
      <c r="C1416" s="1" t="n">
        <v>8</v>
      </c>
      <c r="D1416" s="1" t="s">
        <v>49</v>
      </c>
      <c r="E1416" s="1" t="s">
        <v>14</v>
      </c>
      <c r="F1416" s="1" t="n">
        <v>34.69</v>
      </c>
      <c r="G1416" s="1" t="n">
        <f aca="false">IF(E1416=E1415,F1416/F1415-1,"")</f>
        <v>0</v>
      </c>
    </row>
    <row r="1417" customFormat="false" ht="14.25" hidden="false" customHeight="true" outlineLevel="0" collapsed="false">
      <c r="A1417" s="26" t="n">
        <v>19238</v>
      </c>
      <c r="B1417" s="1" t="n">
        <v>1952</v>
      </c>
      <c r="C1417" s="1" t="n">
        <v>9</v>
      </c>
      <c r="D1417" s="1" t="s">
        <v>50</v>
      </c>
      <c r="E1417" s="1" t="s">
        <v>14</v>
      </c>
      <c r="F1417" s="1" t="n">
        <v>34.69</v>
      </c>
      <c r="G1417" s="1" t="n">
        <f aca="false">IF(E1417=E1416,F1417/F1416-1,"")</f>
        <v>0</v>
      </c>
    </row>
    <row r="1418" customFormat="false" ht="14.25" hidden="false" customHeight="true" outlineLevel="0" collapsed="false">
      <c r="A1418" s="26" t="n">
        <v>19268</v>
      </c>
      <c r="B1418" s="1" t="n">
        <v>1952</v>
      </c>
      <c r="C1418" s="1" t="n">
        <v>10</v>
      </c>
      <c r="D1418" s="1" t="s">
        <v>51</v>
      </c>
      <c r="E1418" s="1" t="s">
        <v>14</v>
      </c>
      <c r="F1418" s="1" t="n">
        <v>34.69</v>
      </c>
      <c r="G1418" s="1" t="n">
        <f aca="false">IF(E1418=E1417,F1418/F1417-1,"")</f>
        <v>0</v>
      </c>
    </row>
    <row r="1419" customFormat="false" ht="14.25" hidden="false" customHeight="true" outlineLevel="0" collapsed="false">
      <c r="A1419" s="26" t="n">
        <v>19299</v>
      </c>
      <c r="B1419" s="1" t="n">
        <v>1952</v>
      </c>
      <c r="C1419" s="1" t="n">
        <v>11</v>
      </c>
      <c r="D1419" s="1" t="s">
        <v>52</v>
      </c>
      <c r="E1419" s="1" t="s">
        <v>14</v>
      </c>
      <c r="F1419" s="1" t="n">
        <v>34.69</v>
      </c>
      <c r="G1419" s="1" t="n">
        <f aca="false">IF(E1419=E1418,F1419/F1418-1,"")</f>
        <v>0</v>
      </c>
    </row>
    <row r="1420" customFormat="false" ht="14.25" hidden="false" customHeight="true" outlineLevel="0" collapsed="false">
      <c r="A1420" s="26" t="n">
        <v>19329</v>
      </c>
      <c r="B1420" s="1" t="n">
        <v>1952</v>
      </c>
      <c r="C1420" s="1" t="n">
        <v>12</v>
      </c>
      <c r="D1420" s="1" t="s">
        <v>53</v>
      </c>
      <c r="E1420" s="1" t="s">
        <v>14</v>
      </c>
      <c r="F1420" s="1" t="n">
        <v>34.69</v>
      </c>
      <c r="G1420" s="1" t="n">
        <f aca="false">IF(E1420=E1419,F1420/F1419-1,"")</f>
        <v>0</v>
      </c>
    </row>
    <row r="1421" customFormat="false" ht="14.25" hidden="false" customHeight="true" outlineLevel="0" collapsed="false">
      <c r="A1421" s="26" t="n">
        <v>19360</v>
      </c>
      <c r="B1421" s="1" t="n">
        <v>1953</v>
      </c>
      <c r="C1421" s="1" t="n">
        <v>1</v>
      </c>
      <c r="D1421" s="1" t="s">
        <v>42</v>
      </c>
      <c r="E1421" s="1" t="s">
        <v>14</v>
      </c>
      <c r="F1421" s="1" t="n">
        <v>35</v>
      </c>
      <c r="G1421" s="1" t="n">
        <f aca="false">IF(E1421=E1420,F1421/F1420-1,"")</f>
        <v>0.00893629287979247</v>
      </c>
    </row>
    <row r="1422" customFormat="false" ht="14.25" hidden="false" customHeight="true" outlineLevel="0" collapsed="false">
      <c r="A1422" s="26" t="n">
        <v>19391</v>
      </c>
      <c r="B1422" s="1" t="n">
        <v>1953</v>
      </c>
      <c r="C1422" s="1" t="n">
        <v>2</v>
      </c>
      <c r="D1422" s="1" t="s">
        <v>43</v>
      </c>
      <c r="E1422" s="1" t="s">
        <v>14</v>
      </c>
      <c r="F1422" s="1" t="n">
        <v>35</v>
      </c>
      <c r="G1422" s="1" t="n">
        <f aca="false">IF(E1422=E1421,F1422/F1421-1,"")</f>
        <v>0</v>
      </c>
    </row>
    <row r="1423" customFormat="false" ht="14.25" hidden="false" customHeight="true" outlineLevel="0" collapsed="false">
      <c r="A1423" s="26" t="n">
        <v>19419</v>
      </c>
      <c r="B1423" s="1" t="n">
        <v>1953</v>
      </c>
      <c r="C1423" s="1" t="n">
        <v>3</v>
      </c>
      <c r="D1423" s="1" t="s">
        <v>44</v>
      </c>
      <c r="E1423" s="1" t="s">
        <v>14</v>
      </c>
      <c r="F1423" s="1" t="n">
        <v>35</v>
      </c>
      <c r="G1423" s="1" t="n">
        <f aca="false">IF(E1423=E1422,F1423/F1422-1,"")</f>
        <v>0</v>
      </c>
    </row>
    <row r="1424" customFormat="false" ht="14.25" hidden="false" customHeight="true" outlineLevel="0" collapsed="false">
      <c r="A1424" s="26" t="n">
        <v>19450</v>
      </c>
      <c r="B1424" s="1" t="n">
        <v>1953</v>
      </c>
      <c r="C1424" s="1" t="n">
        <v>4</v>
      </c>
      <c r="D1424" s="1" t="s">
        <v>45</v>
      </c>
      <c r="E1424" s="1" t="s">
        <v>14</v>
      </c>
      <c r="F1424" s="1" t="n">
        <v>35</v>
      </c>
      <c r="G1424" s="1" t="n">
        <f aca="false">IF(E1424=E1423,F1424/F1423-1,"")</f>
        <v>0</v>
      </c>
    </row>
    <row r="1425" customFormat="false" ht="14.25" hidden="false" customHeight="true" outlineLevel="0" collapsed="false">
      <c r="A1425" s="26" t="n">
        <v>19480</v>
      </c>
      <c r="B1425" s="1" t="n">
        <v>1953</v>
      </c>
      <c r="C1425" s="1" t="n">
        <v>5</v>
      </c>
      <c r="D1425" s="1" t="s">
        <v>46</v>
      </c>
      <c r="E1425" s="1" t="s">
        <v>14</v>
      </c>
      <c r="F1425" s="1" t="n">
        <v>35</v>
      </c>
      <c r="G1425" s="1" t="n">
        <f aca="false">IF(E1425=E1424,F1425/F1424-1,"")</f>
        <v>0</v>
      </c>
    </row>
    <row r="1426" customFormat="false" ht="14.25" hidden="false" customHeight="true" outlineLevel="0" collapsed="false">
      <c r="A1426" s="26" t="n">
        <v>19511</v>
      </c>
      <c r="B1426" s="1" t="n">
        <v>1953</v>
      </c>
      <c r="C1426" s="1" t="n">
        <v>6</v>
      </c>
      <c r="D1426" s="1" t="s">
        <v>47</v>
      </c>
      <c r="E1426" s="1" t="s">
        <v>14</v>
      </c>
      <c r="F1426" s="1" t="n">
        <v>35</v>
      </c>
      <c r="G1426" s="1" t="n">
        <f aca="false">IF(E1426=E1425,F1426/F1425-1,"")</f>
        <v>0</v>
      </c>
    </row>
    <row r="1427" customFormat="false" ht="14.25" hidden="false" customHeight="true" outlineLevel="0" collapsed="false">
      <c r="A1427" s="26" t="n">
        <v>19541</v>
      </c>
      <c r="B1427" s="1" t="n">
        <v>1953</v>
      </c>
      <c r="C1427" s="1" t="n">
        <v>7</v>
      </c>
      <c r="D1427" s="1" t="s">
        <v>48</v>
      </c>
      <c r="E1427" s="1" t="s">
        <v>14</v>
      </c>
      <c r="F1427" s="1" t="n">
        <v>35</v>
      </c>
      <c r="G1427" s="1" t="n">
        <f aca="false">IF(E1427=E1426,F1427/F1426-1,"")</f>
        <v>0</v>
      </c>
    </row>
    <row r="1428" customFormat="false" ht="14.25" hidden="false" customHeight="true" outlineLevel="0" collapsed="false">
      <c r="A1428" s="26" t="n">
        <v>19572</v>
      </c>
      <c r="B1428" s="1" t="n">
        <v>1953</v>
      </c>
      <c r="C1428" s="1" t="n">
        <v>8</v>
      </c>
      <c r="D1428" s="1" t="s">
        <v>49</v>
      </c>
      <c r="E1428" s="1" t="s">
        <v>14</v>
      </c>
      <c r="F1428" s="1" t="n">
        <v>35</v>
      </c>
      <c r="G1428" s="1" t="n">
        <f aca="false">IF(E1428=E1427,F1428/F1427-1,"")</f>
        <v>0</v>
      </c>
    </row>
    <row r="1429" customFormat="false" ht="14.25" hidden="false" customHeight="true" outlineLevel="0" collapsed="false">
      <c r="A1429" s="26" t="n">
        <v>19603</v>
      </c>
      <c r="B1429" s="1" t="n">
        <v>1953</v>
      </c>
      <c r="C1429" s="1" t="n">
        <v>9</v>
      </c>
      <c r="D1429" s="1" t="s">
        <v>50</v>
      </c>
      <c r="E1429" s="1" t="s">
        <v>14</v>
      </c>
      <c r="F1429" s="1" t="n">
        <v>35</v>
      </c>
      <c r="G1429" s="1" t="n">
        <f aca="false">IF(E1429=E1428,F1429/F1428-1,"")</f>
        <v>0</v>
      </c>
    </row>
    <row r="1430" customFormat="false" ht="14.25" hidden="false" customHeight="true" outlineLevel="0" collapsed="false">
      <c r="A1430" s="26" t="n">
        <v>19633</v>
      </c>
      <c r="B1430" s="1" t="n">
        <v>1953</v>
      </c>
      <c r="C1430" s="1" t="n">
        <v>10</v>
      </c>
      <c r="D1430" s="1" t="s">
        <v>51</v>
      </c>
      <c r="E1430" s="1" t="s">
        <v>14</v>
      </c>
      <c r="F1430" s="1" t="n">
        <v>35</v>
      </c>
      <c r="G1430" s="1" t="n">
        <f aca="false">IF(E1430=E1429,F1430/F1429-1,"")</f>
        <v>0</v>
      </c>
    </row>
    <row r="1431" customFormat="false" ht="14.25" hidden="false" customHeight="true" outlineLevel="0" collapsed="false">
      <c r="A1431" s="26" t="n">
        <v>19664</v>
      </c>
      <c r="B1431" s="1" t="n">
        <v>1953</v>
      </c>
      <c r="C1431" s="1" t="n">
        <v>11</v>
      </c>
      <c r="D1431" s="1" t="s">
        <v>52</v>
      </c>
      <c r="E1431" s="1" t="s">
        <v>14</v>
      </c>
      <c r="F1431" s="1" t="n">
        <v>35</v>
      </c>
      <c r="G1431" s="1" t="n">
        <f aca="false">IF(E1431=E1430,F1431/F1430-1,"")</f>
        <v>0</v>
      </c>
    </row>
    <row r="1432" customFormat="false" ht="14.25" hidden="false" customHeight="true" outlineLevel="0" collapsed="false">
      <c r="A1432" s="26" t="n">
        <v>19694</v>
      </c>
      <c r="B1432" s="1" t="n">
        <v>1953</v>
      </c>
      <c r="C1432" s="1" t="n">
        <v>12</v>
      </c>
      <c r="D1432" s="1" t="s">
        <v>53</v>
      </c>
      <c r="E1432" s="1" t="s">
        <v>14</v>
      </c>
      <c r="F1432" s="1" t="n">
        <v>35</v>
      </c>
      <c r="G1432" s="1" t="n">
        <f aca="false">IF(E1432=E1431,F1432/F1431-1,"")</f>
        <v>0</v>
      </c>
    </row>
    <row r="1433" customFormat="false" ht="14.25" hidden="false" customHeight="true" outlineLevel="0" collapsed="false">
      <c r="A1433" s="26" t="n">
        <v>19725</v>
      </c>
      <c r="B1433" s="1" t="n">
        <v>1954</v>
      </c>
      <c r="C1433" s="1" t="n">
        <v>1</v>
      </c>
      <c r="D1433" s="1" t="s">
        <v>42</v>
      </c>
      <c r="E1433" s="1" t="s">
        <v>14</v>
      </c>
      <c r="F1433" s="1" t="n">
        <v>35.31</v>
      </c>
      <c r="G1433" s="1" t="n">
        <f aca="false">IF(E1433=E1432,F1433/F1432-1,"")</f>
        <v>0.0088571428571429</v>
      </c>
    </row>
    <row r="1434" customFormat="false" ht="14.25" hidden="false" customHeight="true" outlineLevel="0" collapsed="false">
      <c r="A1434" s="26" t="n">
        <v>19756</v>
      </c>
      <c r="B1434" s="1" t="n">
        <v>1954</v>
      </c>
      <c r="C1434" s="1" t="n">
        <v>2</v>
      </c>
      <c r="D1434" s="1" t="s">
        <v>43</v>
      </c>
      <c r="E1434" s="1" t="s">
        <v>14</v>
      </c>
      <c r="F1434" s="1" t="n">
        <v>35.31</v>
      </c>
      <c r="G1434" s="1" t="n">
        <f aca="false">IF(E1434=E1433,F1434/F1433-1,"")</f>
        <v>0</v>
      </c>
    </row>
    <row r="1435" customFormat="false" ht="14.25" hidden="false" customHeight="true" outlineLevel="0" collapsed="false">
      <c r="A1435" s="26" t="n">
        <v>19784</v>
      </c>
      <c r="B1435" s="1" t="n">
        <v>1954</v>
      </c>
      <c r="C1435" s="1" t="n">
        <v>3</v>
      </c>
      <c r="D1435" s="1" t="s">
        <v>44</v>
      </c>
      <c r="E1435" s="1" t="s">
        <v>14</v>
      </c>
      <c r="F1435" s="1" t="n">
        <v>35.31</v>
      </c>
      <c r="G1435" s="1" t="n">
        <f aca="false">IF(E1435=E1434,F1435/F1434-1,"")</f>
        <v>0</v>
      </c>
    </row>
    <row r="1436" customFormat="false" ht="14.25" hidden="false" customHeight="true" outlineLevel="0" collapsed="false">
      <c r="A1436" s="26" t="n">
        <v>19815</v>
      </c>
      <c r="B1436" s="1" t="n">
        <v>1954</v>
      </c>
      <c r="C1436" s="1" t="n">
        <v>4</v>
      </c>
      <c r="D1436" s="1" t="s">
        <v>45</v>
      </c>
      <c r="E1436" s="1" t="s">
        <v>14</v>
      </c>
      <c r="F1436" s="1" t="n">
        <v>35.31</v>
      </c>
      <c r="G1436" s="1" t="n">
        <f aca="false">IF(E1436=E1435,F1436/F1435-1,"")</f>
        <v>0</v>
      </c>
    </row>
    <row r="1437" customFormat="false" ht="14.25" hidden="false" customHeight="true" outlineLevel="0" collapsed="false">
      <c r="A1437" s="26" t="n">
        <v>19845</v>
      </c>
      <c r="B1437" s="1" t="n">
        <v>1954</v>
      </c>
      <c r="C1437" s="1" t="n">
        <v>5</v>
      </c>
      <c r="D1437" s="1" t="s">
        <v>46</v>
      </c>
      <c r="E1437" s="1" t="s">
        <v>14</v>
      </c>
      <c r="F1437" s="1" t="n">
        <v>35.31</v>
      </c>
      <c r="G1437" s="1" t="n">
        <f aca="false">IF(E1437=E1436,F1437/F1436-1,"")</f>
        <v>0</v>
      </c>
    </row>
    <row r="1438" customFormat="false" ht="14.25" hidden="false" customHeight="true" outlineLevel="0" collapsed="false">
      <c r="A1438" s="26" t="n">
        <v>19876</v>
      </c>
      <c r="B1438" s="1" t="n">
        <v>1954</v>
      </c>
      <c r="C1438" s="1" t="n">
        <v>6</v>
      </c>
      <c r="D1438" s="1" t="s">
        <v>47</v>
      </c>
      <c r="E1438" s="1" t="s">
        <v>14</v>
      </c>
      <c r="F1438" s="1" t="n">
        <v>35.31</v>
      </c>
      <c r="G1438" s="1" t="n">
        <f aca="false">IF(E1438=E1437,F1438/F1437-1,"")</f>
        <v>0</v>
      </c>
    </row>
    <row r="1439" customFormat="false" ht="14.25" hidden="false" customHeight="true" outlineLevel="0" collapsed="false">
      <c r="A1439" s="26" t="n">
        <v>19906</v>
      </c>
      <c r="B1439" s="1" t="n">
        <v>1954</v>
      </c>
      <c r="C1439" s="1" t="n">
        <v>7</v>
      </c>
      <c r="D1439" s="1" t="s">
        <v>48</v>
      </c>
      <c r="E1439" s="1" t="s">
        <v>14</v>
      </c>
      <c r="F1439" s="1" t="n">
        <v>35.31</v>
      </c>
      <c r="G1439" s="1" t="n">
        <f aca="false">IF(E1439=E1438,F1439/F1438-1,"")</f>
        <v>0</v>
      </c>
    </row>
    <row r="1440" customFormat="false" ht="14.25" hidden="false" customHeight="true" outlineLevel="0" collapsed="false">
      <c r="A1440" s="26" t="n">
        <v>19937</v>
      </c>
      <c r="B1440" s="1" t="n">
        <v>1954</v>
      </c>
      <c r="C1440" s="1" t="n">
        <v>8</v>
      </c>
      <c r="D1440" s="1" t="s">
        <v>49</v>
      </c>
      <c r="E1440" s="1" t="s">
        <v>14</v>
      </c>
      <c r="F1440" s="1" t="n">
        <v>35.31</v>
      </c>
      <c r="G1440" s="1" t="n">
        <f aca="false">IF(E1440=E1439,F1440/F1439-1,"")</f>
        <v>0</v>
      </c>
    </row>
    <row r="1441" customFormat="false" ht="14.25" hidden="false" customHeight="true" outlineLevel="0" collapsed="false">
      <c r="A1441" s="26" t="n">
        <v>19968</v>
      </c>
      <c r="B1441" s="1" t="n">
        <v>1954</v>
      </c>
      <c r="C1441" s="1" t="n">
        <v>9</v>
      </c>
      <c r="D1441" s="1" t="s">
        <v>50</v>
      </c>
      <c r="E1441" s="1" t="s">
        <v>14</v>
      </c>
      <c r="F1441" s="1" t="n">
        <v>35.31</v>
      </c>
      <c r="G1441" s="1" t="n">
        <f aca="false">IF(E1441=E1440,F1441/F1440-1,"")</f>
        <v>0</v>
      </c>
    </row>
    <row r="1442" customFormat="false" ht="14.25" hidden="false" customHeight="true" outlineLevel="0" collapsed="false">
      <c r="A1442" s="26" t="n">
        <v>19998</v>
      </c>
      <c r="B1442" s="1" t="n">
        <v>1954</v>
      </c>
      <c r="C1442" s="1" t="n">
        <v>10</v>
      </c>
      <c r="D1442" s="1" t="s">
        <v>51</v>
      </c>
      <c r="E1442" s="1" t="s">
        <v>14</v>
      </c>
      <c r="F1442" s="1" t="n">
        <v>35.31</v>
      </c>
      <c r="G1442" s="1" t="n">
        <f aca="false">IF(E1442=E1441,F1442/F1441-1,"")</f>
        <v>0</v>
      </c>
    </row>
    <row r="1443" customFormat="false" ht="14.25" hidden="false" customHeight="true" outlineLevel="0" collapsed="false">
      <c r="A1443" s="26" t="n">
        <v>20029</v>
      </c>
      <c r="B1443" s="1" t="n">
        <v>1954</v>
      </c>
      <c r="C1443" s="1" t="n">
        <v>11</v>
      </c>
      <c r="D1443" s="1" t="s">
        <v>52</v>
      </c>
      <c r="E1443" s="1" t="s">
        <v>14</v>
      </c>
      <c r="F1443" s="1" t="n">
        <v>35.31</v>
      </c>
      <c r="G1443" s="1" t="n">
        <f aca="false">IF(E1443=E1442,F1443/F1442-1,"")</f>
        <v>0</v>
      </c>
    </row>
    <row r="1444" customFormat="false" ht="14.25" hidden="false" customHeight="true" outlineLevel="0" collapsed="false">
      <c r="A1444" s="26" t="n">
        <v>20059</v>
      </c>
      <c r="B1444" s="1" t="n">
        <v>1954</v>
      </c>
      <c r="C1444" s="1" t="n">
        <v>12</v>
      </c>
      <c r="D1444" s="1" t="s">
        <v>53</v>
      </c>
      <c r="E1444" s="1" t="s">
        <v>14</v>
      </c>
      <c r="F1444" s="1" t="n">
        <v>35.31</v>
      </c>
      <c r="G1444" s="1" t="n">
        <f aca="false">IF(E1444=E1443,F1444/F1443-1,"")</f>
        <v>0</v>
      </c>
    </row>
    <row r="1445" customFormat="false" ht="14.25" hidden="false" customHeight="true" outlineLevel="0" collapsed="false">
      <c r="A1445" s="26" t="n">
        <v>20090</v>
      </c>
      <c r="B1445" s="1" t="n">
        <v>1955</v>
      </c>
      <c r="C1445" s="1" t="n">
        <v>1</v>
      </c>
      <c r="D1445" s="1" t="s">
        <v>42</v>
      </c>
      <c r="E1445" s="1" t="s">
        <v>14</v>
      </c>
      <c r="F1445" s="1" t="n">
        <v>35.31</v>
      </c>
      <c r="G1445" s="1" t="n">
        <f aca="false">IF(E1445=E1444,F1445/F1444-1,"")</f>
        <v>0</v>
      </c>
    </row>
    <row r="1446" customFormat="false" ht="14.25" hidden="false" customHeight="true" outlineLevel="0" collapsed="false">
      <c r="A1446" s="26" t="n">
        <v>20121</v>
      </c>
      <c r="B1446" s="1" t="n">
        <v>1955</v>
      </c>
      <c r="C1446" s="1" t="n">
        <v>2</v>
      </c>
      <c r="D1446" s="1" t="s">
        <v>43</v>
      </c>
      <c r="E1446" s="1" t="s">
        <v>14</v>
      </c>
      <c r="F1446" s="1" t="n">
        <v>35.31</v>
      </c>
      <c r="G1446" s="1" t="n">
        <f aca="false">IF(E1446=E1445,F1446/F1445-1,"")</f>
        <v>0</v>
      </c>
    </row>
    <row r="1447" customFormat="false" ht="14.25" hidden="false" customHeight="true" outlineLevel="0" collapsed="false">
      <c r="A1447" s="26" t="n">
        <v>20149</v>
      </c>
      <c r="B1447" s="1" t="n">
        <v>1955</v>
      </c>
      <c r="C1447" s="1" t="n">
        <v>3</v>
      </c>
      <c r="D1447" s="1" t="s">
        <v>44</v>
      </c>
      <c r="E1447" s="1" t="s">
        <v>14</v>
      </c>
      <c r="F1447" s="1" t="n">
        <v>35.31</v>
      </c>
      <c r="G1447" s="1" t="n">
        <f aca="false">IF(E1447=E1446,F1447/F1446-1,"")</f>
        <v>0</v>
      </c>
    </row>
    <row r="1448" customFormat="false" ht="14.25" hidden="false" customHeight="true" outlineLevel="0" collapsed="false">
      <c r="A1448" s="26" t="n">
        <v>20180</v>
      </c>
      <c r="B1448" s="1" t="n">
        <v>1955</v>
      </c>
      <c r="C1448" s="1" t="n">
        <v>4</v>
      </c>
      <c r="D1448" s="1" t="s">
        <v>45</v>
      </c>
      <c r="E1448" s="1" t="s">
        <v>14</v>
      </c>
      <c r="F1448" s="1" t="n">
        <v>35.31</v>
      </c>
      <c r="G1448" s="1" t="n">
        <f aca="false">IF(E1448=E1447,F1448/F1447-1,"")</f>
        <v>0</v>
      </c>
    </row>
    <row r="1449" customFormat="false" ht="14.25" hidden="false" customHeight="true" outlineLevel="0" collapsed="false">
      <c r="A1449" s="26" t="n">
        <v>20210</v>
      </c>
      <c r="B1449" s="1" t="n">
        <v>1955</v>
      </c>
      <c r="C1449" s="1" t="n">
        <v>5</v>
      </c>
      <c r="D1449" s="1" t="s">
        <v>46</v>
      </c>
      <c r="E1449" s="1" t="s">
        <v>14</v>
      </c>
      <c r="F1449" s="1" t="n">
        <v>35.31</v>
      </c>
      <c r="G1449" s="1" t="n">
        <f aca="false">IF(E1449=E1448,F1449/F1448-1,"")</f>
        <v>0</v>
      </c>
    </row>
    <row r="1450" customFormat="false" ht="14.25" hidden="false" customHeight="true" outlineLevel="0" collapsed="false">
      <c r="A1450" s="26" t="n">
        <v>20241</v>
      </c>
      <c r="B1450" s="1" t="n">
        <v>1955</v>
      </c>
      <c r="C1450" s="1" t="n">
        <v>6</v>
      </c>
      <c r="D1450" s="1" t="s">
        <v>47</v>
      </c>
      <c r="E1450" s="1" t="s">
        <v>14</v>
      </c>
      <c r="F1450" s="1" t="n">
        <v>35.31</v>
      </c>
      <c r="G1450" s="1" t="n">
        <f aca="false">IF(E1450=E1449,F1450/F1449-1,"")</f>
        <v>0</v>
      </c>
    </row>
    <row r="1451" customFormat="false" ht="14.25" hidden="false" customHeight="true" outlineLevel="0" collapsed="false">
      <c r="A1451" s="26" t="n">
        <v>20271</v>
      </c>
      <c r="B1451" s="1" t="n">
        <v>1955</v>
      </c>
      <c r="C1451" s="1" t="n">
        <v>7</v>
      </c>
      <c r="D1451" s="1" t="s">
        <v>48</v>
      </c>
      <c r="E1451" s="1" t="s">
        <v>14</v>
      </c>
      <c r="F1451" s="1" t="n">
        <v>35.31</v>
      </c>
      <c r="G1451" s="1" t="n">
        <f aca="false">IF(E1451=E1450,F1451/F1450-1,"")</f>
        <v>0</v>
      </c>
    </row>
    <row r="1452" customFormat="false" ht="14.25" hidden="false" customHeight="true" outlineLevel="0" collapsed="false">
      <c r="A1452" s="26" t="n">
        <v>20302</v>
      </c>
      <c r="B1452" s="1" t="n">
        <v>1955</v>
      </c>
      <c r="C1452" s="1" t="n">
        <v>8</v>
      </c>
      <c r="D1452" s="1" t="s">
        <v>49</v>
      </c>
      <c r="E1452" s="1" t="s">
        <v>14</v>
      </c>
      <c r="F1452" s="1" t="n">
        <v>35.31</v>
      </c>
      <c r="G1452" s="1" t="n">
        <f aca="false">IF(E1452=E1451,F1452/F1451-1,"")</f>
        <v>0</v>
      </c>
    </row>
    <row r="1453" customFormat="false" ht="14.25" hidden="false" customHeight="true" outlineLevel="0" collapsed="false">
      <c r="A1453" s="26" t="n">
        <v>20333</v>
      </c>
      <c r="B1453" s="1" t="n">
        <v>1955</v>
      </c>
      <c r="C1453" s="1" t="n">
        <v>9</v>
      </c>
      <c r="D1453" s="1" t="s">
        <v>50</v>
      </c>
      <c r="E1453" s="1" t="s">
        <v>14</v>
      </c>
      <c r="F1453" s="1" t="n">
        <v>35.31</v>
      </c>
      <c r="G1453" s="1" t="n">
        <f aca="false">IF(E1453=E1452,F1453/F1452-1,"")</f>
        <v>0</v>
      </c>
    </row>
    <row r="1454" customFormat="false" ht="14.25" hidden="false" customHeight="true" outlineLevel="0" collapsed="false">
      <c r="A1454" s="26" t="n">
        <v>20363</v>
      </c>
      <c r="B1454" s="1" t="n">
        <v>1955</v>
      </c>
      <c r="C1454" s="1" t="n">
        <v>10</v>
      </c>
      <c r="D1454" s="1" t="s">
        <v>51</v>
      </c>
      <c r="E1454" s="1" t="s">
        <v>14</v>
      </c>
      <c r="F1454" s="1" t="n">
        <v>35.31</v>
      </c>
      <c r="G1454" s="1" t="n">
        <f aca="false">IF(E1454=E1453,F1454/F1453-1,"")</f>
        <v>0</v>
      </c>
    </row>
    <row r="1455" customFormat="false" ht="14.25" hidden="false" customHeight="true" outlineLevel="0" collapsed="false">
      <c r="A1455" s="26" t="n">
        <v>20394</v>
      </c>
      <c r="B1455" s="1" t="n">
        <v>1955</v>
      </c>
      <c r="C1455" s="1" t="n">
        <v>11</v>
      </c>
      <c r="D1455" s="1" t="s">
        <v>52</v>
      </c>
      <c r="E1455" s="1" t="s">
        <v>14</v>
      </c>
      <c r="F1455" s="1" t="n">
        <v>35.31</v>
      </c>
      <c r="G1455" s="1" t="n">
        <f aca="false">IF(E1455=E1454,F1455/F1454-1,"")</f>
        <v>0</v>
      </c>
    </row>
    <row r="1456" customFormat="false" ht="14.25" hidden="false" customHeight="true" outlineLevel="0" collapsed="false">
      <c r="A1456" s="26" t="n">
        <v>20424</v>
      </c>
      <c r="B1456" s="1" t="n">
        <v>1955</v>
      </c>
      <c r="C1456" s="1" t="n">
        <v>12</v>
      </c>
      <c r="D1456" s="1" t="s">
        <v>53</v>
      </c>
      <c r="E1456" s="1" t="s">
        <v>14</v>
      </c>
      <c r="F1456" s="1" t="n">
        <v>35.31</v>
      </c>
      <c r="G1456" s="1" t="n">
        <f aca="false">IF(E1456=E1455,F1456/F1455-1,"")</f>
        <v>0</v>
      </c>
    </row>
    <row r="1457" customFormat="false" ht="14.25" hidden="false" customHeight="true" outlineLevel="0" collapsed="false">
      <c r="A1457" s="26" t="n">
        <v>20455</v>
      </c>
      <c r="B1457" s="1" t="n">
        <v>1956</v>
      </c>
      <c r="C1457" s="1" t="n">
        <v>1</v>
      </c>
      <c r="D1457" s="1" t="s">
        <v>42</v>
      </c>
      <c r="E1457" s="1" t="s">
        <v>14</v>
      </c>
      <c r="F1457" s="1" t="n">
        <v>35.31</v>
      </c>
      <c r="G1457" s="1" t="n">
        <f aca="false">IF(E1457=E1456,F1457/F1456-1,"")</f>
        <v>0</v>
      </c>
    </row>
    <row r="1458" customFormat="false" ht="14.25" hidden="false" customHeight="true" outlineLevel="0" collapsed="false">
      <c r="A1458" s="26" t="n">
        <v>20486</v>
      </c>
      <c r="B1458" s="1" t="n">
        <v>1956</v>
      </c>
      <c r="C1458" s="1" t="n">
        <v>2</v>
      </c>
      <c r="D1458" s="1" t="s">
        <v>43</v>
      </c>
      <c r="E1458" s="1" t="s">
        <v>14</v>
      </c>
      <c r="F1458" s="1" t="n">
        <v>35.31</v>
      </c>
      <c r="G1458" s="1" t="n">
        <f aca="false">IF(E1458=E1457,F1458/F1457-1,"")</f>
        <v>0</v>
      </c>
    </row>
    <row r="1459" customFormat="false" ht="14.25" hidden="false" customHeight="true" outlineLevel="0" collapsed="false">
      <c r="A1459" s="26" t="n">
        <v>20515</v>
      </c>
      <c r="B1459" s="1" t="n">
        <v>1956</v>
      </c>
      <c r="C1459" s="1" t="n">
        <v>3</v>
      </c>
      <c r="D1459" s="1" t="s">
        <v>44</v>
      </c>
      <c r="E1459" s="1" t="s">
        <v>14</v>
      </c>
      <c r="F1459" s="1" t="n">
        <v>35.31</v>
      </c>
      <c r="G1459" s="1" t="n">
        <f aca="false">IF(E1459=E1458,F1459/F1458-1,"")</f>
        <v>0</v>
      </c>
    </row>
    <row r="1460" customFormat="false" ht="14.25" hidden="false" customHeight="true" outlineLevel="0" collapsed="false">
      <c r="A1460" s="26" t="n">
        <v>20546</v>
      </c>
      <c r="B1460" s="1" t="n">
        <v>1956</v>
      </c>
      <c r="C1460" s="1" t="n">
        <v>4</v>
      </c>
      <c r="D1460" s="1" t="s">
        <v>45</v>
      </c>
      <c r="E1460" s="1" t="s">
        <v>14</v>
      </c>
      <c r="F1460" s="1" t="n">
        <v>35.31</v>
      </c>
      <c r="G1460" s="1" t="n">
        <f aca="false">IF(E1460=E1459,F1460/F1459-1,"")</f>
        <v>0</v>
      </c>
    </row>
    <row r="1461" customFormat="false" ht="14.25" hidden="false" customHeight="true" outlineLevel="0" collapsed="false">
      <c r="A1461" s="26" t="n">
        <v>20576</v>
      </c>
      <c r="B1461" s="1" t="n">
        <v>1956</v>
      </c>
      <c r="C1461" s="1" t="n">
        <v>5</v>
      </c>
      <c r="D1461" s="1" t="s">
        <v>46</v>
      </c>
      <c r="E1461" s="1" t="s">
        <v>14</v>
      </c>
      <c r="F1461" s="1" t="n">
        <v>35.31</v>
      </c>
      <c r="G1461" s="1" t="n">
        <f aca="false">IF(E1461=E1460,F1461/F1460-1,"")</f>
        <v>0</v>
      </c>
    </row>
    <row r="1462" customFormat="false" ht="14.25" hidden="false" customHeight="true" outlineLevel="0" collapsed="false">
      <c r="A1462" s="26" t="n">
        <v>20607</v>
      </c>
      <c r="B1462" s="1" t="n">
        <v>1956</v>
      </c>
      <c r="C1462" s="1" t="n">
        <v>6</v>
      </c>
      <c r="D1462" s="1" t="s">
        <v>47</v>
      </c>
      <c r="E1462" s="1" t="s">
        <v>14</v>
      </c>
      <c r="F1462" s="1" t="n">
        <v>35.31</v>
      </c>
      <c r="G1462" s="1" t="n">
        <f aca="false">IF(E1462=E1461,F1462/F1461-1,"")</f>
        <v>0</v>
      </c>
    </row>
    <row r="1463" customFormat="false" ht="14.25" hidden="false" customHeight="true" outlineLevel="0" collapsed="false">
      <c r="A1463" s="26" t="n">
        <v>20637</v>
      </c>
      <c r="B1463" s="1" t="n">
        <v>1956</v>
      </c>
      <c r="C1463" s="1" t="n">
        <v>7</v>
      </c>
      <c r="D1463" s="1" t="s">
        <v>48</v>
      </c>
      <c r="E1463" s="1" t="s">
        <v>14</v>
      </c>
      <c r="F1463" s="1" t="n">
        <v>35.31</v>
      </c>
      <c r="G1463" s="1" t="n">
        <f aca="false">IF(E1463=E1462,F1463/F1462-1,"")</f>
        <v>0</v>
      </c>
    </row>
    <row r="1464" customFormat="false" ht="14.25" hidden="false" customHeight="true" outlineLevel="0" collapsed="false">
      <c r="A1464" s="26" t="n">
        <v>20668</v>
      </c>
      <c r="B1464" s="1" t="n">
        <v>1956</v>
      </c>
      <c r="C1464" s="1" t="n">
        <v>8</v>
      </c>
      <c r="D1464" s="1" t="s">
        <v>49</v>
      </c>
      <c r="E1464" s="1" t="s">
        <v>14</v>
      </c>
      <c r="F1464" s="1" t="n">
        <v>35.31</v>
      </c>
      <c r="G1464" s="1" t="n">
        <f aca="false">IF(E1464=E1463,F1464/F1463-1,"")</f>
        <v>0</v>
      </c>
    </row>
    <row r="1465" customFormat="false" ht="14.25" hidden="false" customHeight="true" outlineLevel="0" collapsed="false">
      <c r="A1465" s="26" t="n">
        <v>20699</v>
      </c>
      <c r="B1465" s="1" t="n">
        <v>1956</v>
      </c>
      <c r="C1465" s="1" t="n">
        <v>9</v>
      </c>
      <c r="D1465" s="1" t="s">
        <v>50</v>
      </c>
      <c r="E1465" s="1" t="s">
        <v>14</v>
      </c>
      <c r="F1465" s="1" t="n">
        <v>35.31</v>
      </c>
      <c r="G1465" s="1" t="n">
        <f aca="false">IF(E1465=E1464,F1465/F1464-1,"")</f>
        <v>0</v>
      </c>
    </row>
    <row r="1466" customFormat="false" ht="14.25" hidden="false" customHeight="true" outlineLevel="0" collapsed="false">
      <c r="A1466" s="26" t="n">
        <v>20729</v>
      </c>
      <c r="B1466" s="1" t="n">
        <v>1956</v>
      </c>
      <c r="C1466" s="1" t="n">
        <v>10</v>
      </c>
      <c r="D1466" s="1" t="s">
        <v>51</v>
      </c>
      <c r="E1466" s="1" t="s">
        <v>14</v>
      </c>
      <c r="F1466" s="1" t="n">
        <v>35.31</v>
      </c>
      <c r="G1466" s="1" t="n">
        <f aca="false">IF(E1466=E1465,F1466/F1465-1,"")</f>
        <v>0</v>
      </c>
    </row>
    <row r="1467" customFormat="false" ht="14.25" hidden="false" customHeight="true" outlineLevel="0" collapsed="false">
      <c r="A1467" s="26" t="n">
        <v>20760</v>
      </c>
      <c r="B1467" s="1" t="n">
        <v>1956</v>
      </c>
      <c r="C1467" s="1" t="n">
        <v>11</v>
      </c>
      <c r="D1467" s="1" t="s">
        <v>52</v>
      </c>
      <c r="E1467" s="1" t="s">
        <v>14</v>
      </c>
      <c r="F1467" s="1" t="n">
        <v>35.31</v>
      </c>
      <c r="G1467" s="1" t="n">
        <f aca="false">IF(E1467=E1466,F1467/F1466-1,"")</f>
        <v>0</v>
      </c>
    </row>
    <row r="1468" customFormat="false" ht="14.25" hidden="false" customHeight="true" outlineLevel="0" collapsed="false">
      <c r="A1468" s="26" t="n">
        <v>20790</v>
      </c>
      <c r="B1468" s="1" t="n">
        <v>1956</v>
      </c>
      <c r="C1468" s="1" t="n">
        <v>12</v>
      </c>
      <c r="D1468" s="1" t="s">
        <v>53</v>
      </c>
      <c r="E1468" s="1" t="s">
        <v>14</v>
      </c>
      <c r="F1468" s="1" t="n">
        <v>35.31</v>
      </c>
      <c r="G1468" s="1" t="n">
        <f aca="false">IF(E1468=E1467,F1468/F1467-1,"")</f>
        <v>0</v>
      </c>
    </row>
    <row r="1469" customFormat="false" ht="14.25" hidden="false" customHeight="true" outlineLevel="0" collapsed="false">
      <c r="A1469" s="26" t="n">
        <v>20821</v>
      </c>
      <c r="B1469" s="1" t="n">
        <v>1957</v>
      </c>
      <c r="C1469" s="1" t="n">
        <v>1</v>
      </c>
      <c r="D1469" s="1" t="s">
        <v>42</v>
      </c>
      <c r="E1469" s="1" t="s">
        <v>14</v>
      </c>
      <c r="F1469" s="1" t="n">
        <v>35</v>
      </c>
      <c r="G1469" s="1" t="n">
        <f aca="false">IF(E1469=E1468,F1469/F1468-1,"")</f>
        <v>-0.0087793826111584</v>
      </c>
    </row>
    <row r="1470" customFormat="false" ht="14.25" hidden="false" customHeight="true" outlineLevel="0" collapsed="false">
      <c r="A1470" s="26" t="n">
        <v>20852</v>
      </c>
      <c r="B1470" s="1" t="n">
        <v>1957</v>
      </c>
      <c r="C1470" s="1" t="n">
        <v>2</v>
      </c>
      <c r="D1470" s="1" t="s">
        <v>43</v>
      </c>
      <c r="E1470" s="1" t="s">
        <v>14</v>
      </c>
      <c r="F1470" s="1" t="n">
        <v>35</v>
      </c>
      <c r="G1470" s="1" t="n">
        <f aca="false">IF(E1470=E1469,F1470/F1469-1,"")</f>
        <v>0</v>
      </c>
    </row>
    <row r="1471" customFormat="false" ht="14.25" hidden="false" customHeight="true" outlineLevel="0" collapsed="false">
      <c r="A1471" s="26" t="n">
        <v>20880</v>
      </c>
      <c r="B1471" s="1" t="n">
        <v>1957</v>
      </c>
      <c r="C1471" s="1" t="n">
        <v>3</v>
      </c>
      <c r="D1471" s="1" t="s">
        <v>44</v>
      </c>
      <c r="E1471" s="1" t="s">
        <v>14</v>
      </c>
      <c r="F1471" s="1" t="n">
        <v>35</v>
      </c>
      <c r="G1471" s="1" t="n">
        <f aca="false">IF(E1471=E1470,F1471/F1470-1,"")</f>
        <v>0</v>
      </c>
    </row>
    <row r="1472" customFormat="false" ht="14.25" hidden="false" customHeight="true" outlineLevel="0" collapsed="false">
      <c r="A1472" s="26" t="n">
        <v>20911</v>
      </c>
      <c r="B1472" s="1" t="n">
        <v>1957</v>
      </c>
      <c r="C1472" s="1" t="n">
        <v>4</v>
      </c>
      <c r="D1472" s="1" t="s">
        <v>45</v>
      </c>
      <c r="E1472" s="1" t="s">
        <v>14</v>
      </c>
      <c r="F1472" s="1" t="n">
        <v>35</v>
      </c>
      <c r="G1472" s="1" t="n">
        <f aca="false">IF(E1472=E1471,F1472/F1471-1,"")</f>
        <v>0</v>
      </c>
    </row>
    <row r="1473" customFormat="false" ht="14.25" hidden="false" customHeight="true" outlineLevel="0" collapsed="false">
      <c r="A1473" s="26" t="n">
        <v>20941</v>
      </c>
      <c r="B1473" s="1" t="n">
        <v>1957</v>
      </c>
      <c r="C1473" s="1" t="n">
        <v>5</v>
      </c>
      <c r="D1473" s="1" t="s">
        <v>46</v>
      </c>
      <c r="E1473" s="1" t="s">
        <v>14</v>
      </c>
      <c r="F1473" s="1" t="n">
        <v>35</v>
      </c>
      <c r="G1473" s="1" t="n">
        <f aca="false">IF(E1473=E1472,F1473/F1472-1,"")</f>
        <v>0</v>
      </c>
    </row>
    <row r="1474" customFormat="false" ht="14.25" hidden="false" customHeight="true" outlineLevel="0" collapsed="false">
      <c r="A1474" s="26" t="n">
        <v>20972</v>
      </c>
      <c r="B1474" s="1" t="n">
        <v>1957</v>
      </c>
      <c r="C1474" s="1" t="n">
        <v>6</v>
      </c>
      <c r="D1474" s="1" t="s">
        <v>47</v>
      </c>
      <c r="E1474" s="1" t="s">
        <v>14</v>
      </c>
      <c r="F1474" s="1" t="n">
        <v>35</v>
      </c>
      <c r="G1474" s="1" t="n">
        <f aca="false">IF(E1474=E1473,F1474/F1473-1,"")</f>
        <v>0</v>
      </c>
    </row>
    <row r="1475" customFormat="false" ht="14.25" hidden="false" customHeight="true" outlineLevel="0" collapsed="false">
      <c r="A1475" s="26" t="n">
        <v>21002</v>
      </c>
      <c r="B1475" s="1" t="n">
        <v>1957</v>
      </c>
      <c r="C1475" s="1" t="n">
        <v>7</v>
      </c>
      <c r="D1475" s="1" t="s">
        <v>48</v>
      </c>
      <c r="E1475" s="1" t="s">
        <v>14</v>
      </c>
      <c r="F1475" s="1" t="n">
        <v>35</v>
      </c>
      <c r="G1475" s="1" t="n">
        <f aca="false">IF(E1475=E1474,F1475/F1474-1,"")</f>
        <v>0</v>
      </c>
    </row>
    <row r="1476" customFormat="false" ht="14.25" hidden="false" customHeight="true" outlineLevel="0" collapsed="false">
      <c r="A1476" s="26" t="n">
        <v>21033</v>
      </c>
      <c r="B1476" s="1" t="n">
        <v>1957</v>
      </c>
      <c r="C1476" s="1" t="n">
        <v>8</v>
      </c>
      <c r="D1476" s="1" t="s">
        <v>49</v>
      </c>
      <c r="E1476" s="1" t="s">
        <v>14</v>
      </c>
      <c r="F1476" s="1" t="n">
        <v>35</v>
      </c>
      <c r="G1476" s="1" t="n">
        <f aca="false">IF(E1476=E1475,F1476/F1475-1,"")</f>
        <v>0</v>
      </c>
    </row>
    <row r="1477" customFormat="false" ht="14.25" hidden="false" customHeight="true" outlineLevel="0" collapsed="false">
      <c r="A1477" s="26" t="n">
        <v>21064</v>
      </c>
      <c r="B1477" s="1" t="n">
        <v>1957</v>
      </c>
      <c r="C1477" s="1" t="n">
        <v>9</v>
      </c>
      <c r="D1477" s="1" t="s">
        <v>50</v>
      </c>
      <c r="E1477" s="1" t="s">
        <v>14</v>
      </c>
      <c r="F1477" s="1" t="n">
        <v>35</v>
      </c>
      <c r="G1477" s="1" t="n">
        <f aca="false">IF(E1477=E1476,F1477/F1476-1,"")</f>
        <v>0</v>
      </c>
    </row>
    <row r="1478" customFormat="false" ht="14.25" hidden="false" customHeight="true" outlineLevel="0" collapsed="false">
      <c r="A1478" s="26" t="n">
        <v>21094</v>
      </c>
      <c r="B1478" s="1" t="n">
        <v>1957</v>
      </c>
      <c r="C1478" s="1" t="n">
        <v>10</v>
      </c>
      <c r="D1478" s="1" t="s">
        <v>51</v>
      </c>
      <c r="E1478" s="1" t="s">
        <v>14</v>
      </c>
      <c r="F1478" s="1" t="n">
        <v>35</v>
      </c>
      <c r="G1478" s="1" t="n">
        <f aca="false">IF(E1478=E1477,F1478/F1477-1,"")</f>
        <v>0</v>
      </c>
    </row>
    <row r="1479" customFormat="false" ht="14.25" hidden="false" customHeight="true" outlineLevel="0" collapsed="false">
      <c r="A1479" s="26" t="n">
        <v>21125</v>
      </c>
      <c r="B1479" s="1" t="n">
        <v>1957</v>
      </c>
      <c r="C1479" s="1" t="n">
        <v>11</v>
      </c>
      <c r="D1479" s="1" t="s">
        <v>52</v>
      </c>
      <c r="E1479" s="1" t="s">
        <v>14</v>
      </c>
      <c r="F1479" s="1" t="n">
        <v>35</v>
      </c>
      <c r="G1479" s="1" t="n">
        <f aca="false">IF(E1479=E1478,F1479/F1478-1,"")</f>
        <v>0</v>
      </c>
    </row>
    <row r="1480" customFormat="false" ht="14.25" hidden="false" customHeight="true" outlineLevel="0" collapsed="false">
      <c r="A1480" s="26" t="n">
        <v>21155</v>
      </c>
      <c r="B1480" s="1" t="n">
        <v>1957</v>
      </c>
      <c r="C1480" s="1" t="n">
        <v>12</v>
      </c>
      <c r="D1480" s="1" t="s">
        <v>53</v>
      </c>
      <c r="E1480" s="1" t="s">
        <v>14</v>
      </c>
      <c r="F1480" s="1" t="n">
        <v>35</v>
      </c>
      <c r="G1480" s="1" t="n">
        <f aca="false">IF(E1480=E1479,F1480/F1479-1,"")</f>
        <v>0</v>
      </c>
    </row>
    <row r="1481" customFormat="false" ht="14.25" hidden="false" customHeight="true" outlineLevel="0" collapsed="false">
      <c r="A1481" s="26" t="n">
        <v>21186</v>
      </c>
      <c r="B1481" s="1" t="n">
        <v>1958</v>
      </c>
      <c r="C1481" s="1" t="n">
        <v>1</v>
      </c>
      <c r="D1481" s="1" t="s">
        <v>42</v>
      </c>
      <c r="E1481" s="1" t="s">
        <v>14</v>
      </c>
      <c r="F1481" s="1" t="n">
        <v>35.31</v>
      </c>
      <c r="G1481" s="1" t="n">
        <f aca="false">IF(E1481=E1480,F1481/F1480-1,"")</f>
        <v>0.0088571428571429</v>
      </c>
    </row>
    <row r="1482" customFormat="false" ht="14.25" hidden="false" customHeight="true" outlineLevel="0" collapsed="false">
      <c r="A1482" s="26" t="n">
        <v>21217</v>
      </c>
      <c r="B1482" s="1" t="n">
        <v>1958</v>
      </c>
      <c r="C1482" s="1" t="n">
        <v>2</v>
      </c>
      <c r="D1482" s="1" t="s">
        <v>43</v>
      </c>
      <c r="E1482" s="1" t="s">
        <v>14</v>
      </c>
      <c r="F1482" s="1" t="n">
        <v>35.31</v>
      </c>
      <c r="G1482" s="1" t="n">
        <f aca="false">IF(E1482=E1481,F1482/F1481-1,"")</f>
        <v>0</v>
      </c>
    </row>
    <row r="1483" customFormat="false" ht="14.25" hidden="false" customHeight="true" outlineLevel="0" collapsed="false">
      <c r="A1483" s="26" t="n">
        <v>21245</v>
      </c>
      <c r="B1483" s="1" t="n">
        <v>1958</v>
      </c>
      <c r="C1483" s="1" t="n">
        <v>3</v>
      </c>
      <c r="D1483" s="1" t="s">
        <v>44</v>
      </c>
      <c r="E1483" s="1" t="s">
        <v>14</v>
      </c>
      <c r="F1483" s="1" t="n">
        <v>35.31</v>
      </c>
      <c r="G1483" s="1" t="n">
        <f aca="false">IF(E1483=E1482,F1483/F1482-1,"")</f>
        <v>0</v>
      </c>
    </row>
    <row r="1484" customFormat="false" ht="14.25" hidden="false" customHeight="true" outlineLevel="0" collapsed="false">
      <c r="A1484" s="26" t="n">
        <v>21276</v>
      </c>
      <c r="B1484" s="1" t="n">
        <v>1958</v>
      </c>
      <c r="C1484" s="1" t="n">
        <v>4</v>
      </c>
      <c r="D1484" s="1" t="s">
        <v>45</v>
      </c>
      <c r="E1484" s="1" t="s">
        <v>14</v>
      </c>
      <c r="F1484" s="1" t="n">
        <v>35.31</v>
      </c>
      <c r="G1484" s="1" t="n">
        <f aca="false">IF(E1484=E1483,F1484/F1483-1,"")</f>
        <v>0</v>
      </c>
    </row>
    <row r="1485" customFormat="false" ht="14.25" hidden="false" customHeight="true" outlineLevel="0" collapsed="false">
      <c r="A1485" s="26" t="n">
        <v>21306</v>
      </c>
      <c r="B1485" s="1" t="n">
        <v>1958</v>
      </c>
      <c r="C1485" s="1" t="n">
        <v>5</v>
      </c>
      <c r="D1485" s="1" t="s">
        <v>46</v>
      </c>
      <c r="E1485" s="1" t="s">
        <v>14</v>
      </c>
      <c r="F1485" s="1" t="n">
        <v>35.31</v>
      </c>
      <c r="G1485" s="1" t="n">
        <f aca="false">IF(E1485=E1484,F1485/F1484-1,"")</f>
        <v>0</v>
      </c>
    </row>
    <row r="1486" customFormat="false" ht="14.25" hidden="false" customHeight="true" outlineLevel="0" collapsed="false">
      <c r="A1486" s="26" t="n">
        <v>21337</v>
      </c>
      <c r="B1486" s="1" t="n">
        <v>1958</v>
      </c>
      <c r="C1486" s="1" t="n">
        <v>6</v>
      </c>
      <c r="D1486" s="1" t="s">
        <v>47</v>
      </c>
      <c r="E1486" s="1" t="s">
        <v>14</v>
      </c>
      <c r="F1486" s="1" t="n">
        <v>35.31</v>
      </c>
      <c r="G1486" s="1" t="n">
        <f aca="false">IF(E1486=E1485,F1486/F1485-1,"")</f>
        <v>0</v>
      </c>
    </row>
    <row r="1487" customFormat="false" ht="14.25" hidden="false" customHeight="true" outlineLevel="0" collapsed="false">
      <c r="A1487" s="26" t="n">
        <v>21367</v>
      </c>
      <c r="B1487" s="1" t="n">
        <v>1958</v>
      </c>
      <c r="C1487" s="1" t="n">
        <v>7</v>
      </c>
      <c r="D1487" s="1" t="s">
        <v>48</v>
      </c>
      <c r="E1487" s="1" t="s">
        <v>14</v>
      </c>
      <c r="F1487" s="1" t="n">
        <v>35.31</v>
      </c>
      <c r="G1487" s="1" t="n">
        <f aca="false">IF(E1487=E1486,F1487/F1486-1,"")</f>
        <v>0</v>
      </c>
    </row>
    <row r="1488" customFormat="false" ht="14.25" hidden="false" customHeight="true" outlineLevel="0" collapsed="false">
      <c r="A1488" s="26" t="n">
        <v>21398</v>
      </c>
      <c r="B1488" s="1" t="n">
        <v>1958</v>
      </c>
      <c r="C1488" s="1" t="n">
        <v>8</v>
      </c>
      <c r="D1488" s="1" t="s">
        <v>49</v>
      </c>
      <c r="E1488" s="1" t="s">
        <v>14</v>
      </c>
      <c r="F1488" s="1" t="n">
        <v>35.31</v>
      </c>
      <c r="G1488" s="1" t="n">
        <f aca="false">IF(E1488=E1487,F1488/F1487-1,"")</f>
        <v>0</v>
      </c>
    </row>
    <row r="1489" customFormat="false" ht="14.25" hidden="false" customHeight="true" outlineLevel="0" collapsed="false">
      <c r="A1489" s="26" t="n">
        <v>21429</v>
      </c>
      <c r="B1489" s="1" t="n">
        <v>1958</v>
      </c>
      <c r="C1489" s="1" t="n">
        <v>9</v>
      </c>
      <c r="D1489" s="1" t="s">
        <v>50</v>
      </c>
      <c r="E1489" s="1" t="s">
        <v>14</v>
      </c>
      <c r="F1489" s="1" t="n">
        <v>35.31</v>
      </c>
      <c r="G1489" s="1" t="n">
        <f aca="false">IF(E1489=E1488,F1489/F1488-1,"")</f>
        <v>0</v>
      </c>
    </row>
    <row r="1490" customFormat="false" ht="14.25" hidden="false" customHeight="true" outlineLevel="0" collapsed="false">
      <c r="A1490" s="26" t="n">
        <v>21459</v>
      </c>
      <c r="B1490" s="1" t="n">
        <v>1958</v>
      </c>
      <c r="C1490" s="1" t="n">
        <v>10</v>
      </c>
      <c r="D1490" s="1" t="s">
        <v>51</v>
      </c>
      <c r="E1490" s="1" t="s">
        <v>14</v>
      </c>
      <c r="F1490" s="1" t="n">
        <v>35.31</v>
      </c>
      <c r="G1490" s="1" t="n">
        <f aca="false">IF(E1490=E1489,F1490/F1489-1,"")</f>
        <v>0</v>
      </c>
    </row>
    <row r="1491" customFormat="false" ht="14.25" hidden="false" customHeight="true" outlineLevel="0" collapsed="false">
      <c r="A1491" s="26" t="n">
        <v>21490</v>
      </c>
      <c r="B1491" s="1" t="n">
        <v>1958</v>
      </c>
      <c r="C1491" s="1" t="n">
        <v>11</v>
      </c>
      <c r="D1491" s="1" t="s">
        <v>52</v>
      </c>
      <c r="E1491" s="1" t="s">
        <v>14</v>
      </c>
      <c r="F1491" s="1" t="n">
        <v>35.31</v>
      </c>
      <c r="G1491" s="1" t="n">
        <f aca="false">IF(E1491=E1490,F1491/F1490-1,"")</f>
        <v>0</v>
      </c>
    </row>
    <row r="1492" customFormat="false" ht="14.25" hidden="false" customHeight="true" outlineLevel="0" collapsed="false">
      <c r="A1492" s="26" t="n">
        <v>21520</v>
      </c>
      <c r="B1492" s="1" t="n">
        <v>1958</v>
      </c>
      <c r="C1492" s="1" t="n">
        <v>12</v>
      </c>
      <c r="D1492" s="1" t="s">
        <v>53</v>
      </c>
      <c r="E1492" s="1" t="s">
        <v>14</v>
      </c>
      <c r="F1492" s="1" t="n">
        <v>35.31</v>
      </c>
      <c r="G1492" s="1" t="n">
        <f aca="false">IF(E1492=E1491,F1492/F1491-1,"")</f>
        <v>0</v>
      </c>
    </row>
    <row r="1493" customFormat="false" ht="14.25" hidden="false" customHeight="true" outlineLevel="0" collapsed="false">
      <c r="A1493" s="26" t="n">
        <v>21551</v>
      </c>
      <c r="B1493" s="1" t="n">
        <v>1959</v>
      </c>
      <c r="C1493" s="1" t="n">
        <v>1</v>
      </c>
      <c r="D1493" s="1" t="s">
        <v>42</v>
      </c>
      <c r="E1493" s="1" t="s">
        <v>14</v>
      </c>
      <c r="F1493" s="1" t="n">
        <v>35.31</v>
      </c>
      <c r="G1493" s="1" t="n">
        <f aca="false">IF(E1493=E1492,F1493/F1492-1,"")</f>
        <v>0</v>
      </c>
    </row>
    <row r="1494" customFormat="false" ht="14.25" hidden="false" customHeight="true" outlineLevel="0" collapsed="false">
      <c r="A1494" s="26" t="n">
        <v>21582</v>
      </c>
      <c r="B1494" s="1" t="n">
        <v>1959</v>
      </c>
      <c r="C1494" s="1" t="n">
        <v>2</v>
      </c>
      <c r="D1494" s="1" t="s">
        <v>43</v>
      </c>
      <c r="E1494" s="1" t="s">
        <v>14</v>
      </c>
      <c r="F1494" s="1" t="n">
        <v>35.31</v>
      </c>
      <c r="G1494" s="1" t="n">
        <f aca="false">IF(E1494=E1493,F1494/F1493-1,"")</f>
        <v>0</v>
      </c>
    </row>
    <row r="1495" customFormat="false" ht="14.25" hidden="false" customHeight="true" outlineLevel="0" collapsed="false">
      <c r="A1495" s="26" t="n">
        <v>21610</v>
      </c>
      <c r="B1495" s="1" t="n">
        <v>1959</v>
      </c>
      <c r="C1495" s="1" t="n">
        <v>3</v>
      </c>
      <c r="D1495" s="1" t="s">
        <v>44</v>
      </c>
      <c r="E1495" s="1" t="s">
        <v>14</v>
      </c>
      <c r="F1495" s="1" t="n">
        <v>35.31</v>
      </c>
      <c r="G1495" s="1" t="n">
        <f aca="false">IF(E1495=E1494,F1495/F1494-1,"")</f>
        <v>0</v>
      </c>
    </row>
    <row r="1496" customFormat="false" ht="14.25" hidden="false" customHeight="true" outlineLevel="0" collapsed="false">
      <c r="A1496" s="26" t="n">
        <v>21641</v>
      </c>
      <c r="B1496" s="1" t="n">
        <v>1959</v>
      </c>
      <c r="C1496" s="1" t="n">
        <v>4</v>
      </c>
      <c r="D1496" s="1" t="s">
        <v>45</v>
      </c>
      <c r="E1496" s="1" t="s">
        <v>14</v>
      </c>
      <c r="F1496" s="1" t="n">
        <v>35.31</v>
      </c>
      <c r="G1496" s="1" t="n">
        <f aca="false">IF(E1496=E1495,F1496/F1495-1,"")</f>
        <v>0</v>
      </c>
    </row>
    <row r="1497" customFormat="false" ht="14.25" hidden="false" customHeight="true" outlineLevel="0" collapsed="false">
      <c r="A1497" s="26" t="n">
        <v>21671</v>
      </c>
      <c r="B1497" s="1" t="n">
        <v>1959</v>
      </c>
      <c r="C1497" s="1" t="n">
        <v>5</v>
      </c>
      <c r="D1497" s="1" t="s">
        <v>46</v>
      </c>
      <c r="E1497" s="1" t="s">
        <v>14</v>
      </c>
      <c r="F1497" s="1" t="n">
        <v>35.31</v>
      </c>
      <c r="G1497" s="1" t="n">
        <f aca="false">IF(E1497=E1496,F1497/F1496-1,"")</f>
        <v>0</v>
      </c>
    </row>
    <row r="1498" customFormat="false" ht="14.25" hidden="false" customHeight="true" outlineLevel="0" collapsed="false">
      <c r="A1498" s="26" t="n">
        <v>21702</v>
      </c>
      <c r="B1498" s="1" t="n">
        <v>1959</v>
      </c>
      <c r="C1498" s="1" t="n">
        <v>6</v>
      </c>
      <c r="D1498" s="1" t="s">
        <v>47</v>
      </c>
      <c r="E1498" s="1" t="s">
        <v>14</v>
      </c>
      <c r="F1498" s="1" t="n">
        <v>35.31</v>
      </c>
      <c r="G1498" s="1" t="n">
        <f aca="false">IF(E1498=E1497,F1498/F1497-1,"")</f>
        <v>0</v>
      </c>
    </row>
    <row r="1499" customFormat="false" ht="14.25" hidden="false" customHeight="true" outlineLevel="0" collapsed="false">
      <c r="A1499" s="26" t="n">
        <v>21732</v>
      </c>
      <c r="B1499" s="1" t="n">
        <v>1959</v>
      </c>
      <c r="C1499" s="1" t="n">
        <v>7</v>
      </c>
      <c r="D1499" s="1" t="s">
        <v>48</v>
      </c>
      <c r="E1499" s="1" t="s">
        <v>14</v>
      </c>
      <c r="F1499" s="1" t="n">
        <v>35.31</v>
      </c>
      <c r="G1499" s="1" t="n">
        <f aca="false">IF(E1499=E1498,F1499/F1498-1,"")</f>
        <v>0</v>
      </c>
    </row>
    <row r="1500" customFormat="false" ht="14.25" hidden="false" customHeight="true" outlineLevel="0" collapsed="false">
      <c r="A1500" s="26" t="n">
        <v>21763</v>
      </c>
      <c r="B1500" s="1" t="n">
        <v>1959</v>
      </c>
      <c r="C1500" s="1" t="n">
        <v>8</v>
      </c>
      <c r="D1500" s="1" t="s">
        <v>49</v>
      </c>
      <c r="E1500" s="1" t="s">
        <v>14</v>
      </c>
      <c r="F1500" s="1" t="n">
        <v>35.31</v>
      </c>
      <c r="G1500" s="1" t="n">
        <f aca="false">IF(E1500=E1499,F1500/F1499-1,"")</f>
        <v>0</v>
      </c>
    </row>
    <row r="1501" customFormat="false" ht="14.25" hidden="false" customHeight="true" outlineLevel="0" collapsed="false">
      <c r="A1501" s="26" t="n">
        <v>21794</v>
      </c>
      <c r="B1501" s="1" t="n">
        <v>1959</v>
      </c>
      <c r="C1501" s="1" t="n">
        <v>9</v>
      </c>
      <c r="D1501" s="1" t="s">
        <v>50</v>
      </c>
      <c r="E1501" s="1" t="s">
        <v>14</v>
      </c>
      <c r="F1501" s="1" t="n">
        <v>35.31</v>
      </c>
      <c r="G1501" s="1" t="n">
        <f aca="false">IF(E1501=E1500,F1501/F1500-1,"")</f>
        <v>0</v>
      </c>
    </row>
    <row r="1502" customFormat="false" ht="14.25" hidden="false" customHeight="true" outlineLevel="0" collapsed="false">
      <c r="A1502" s="26" t="n">
        <v>21824</v>
      </c>
      <c r="B1502" s="1" t="n">
        <v>1959</v>
      </c>
      <c r="C1502" s="1" t="n">
        <v>10</v>
      </c>
      <c r="D1502" s="1" t="s">
        <v>51</v>
      </c>
      <c r="E1502" s="1" t="s">
        <v>14</v>
      </c>
      <c r="F1502" s="1" t="n">
        <v>35.31</v>
      </c>
      <c r="G1502" s="1" t="n">
        <f aca="false">IF(E1502=E1501,F1502/F1501-1,"")</f>
        <v>0</v>
      </c>
    </row>
    <row r="1503" customFormat="false" ht="14.25" hidden="false" customHeight="true" outlineLevel="0" collapsed="false">
      <c r="A1503" s="26" t="n">
        <v>21855</v>
      </c>
      <c r="B1503" s="1" t="n">
        <v>1959</v>
      </c>
      <c r="C1503" s="1" t="n">
        <v>11</v>
      </c>
      <c r="D1503" s="1" t="s">
        <v>52</v>
      </c>
      <c r="E1503" s="1" t="s">
        <v>14</v>
      </c>
      <c r="F1503" s="1" t="n">
        <v>35.31</v>
      </c>
      <c r="G1503" s="1" t="n">
        <f aca="false">IF(E1503=E1502,F1503/F1502-1,"")</f>
        <v>0</v>
      </c>
    </row>
    <row r="1504" customFormat="false" ht="14.25" hidden="false" customHeight="true" outlineLevel="0" collapsed="false">
      <c r="A1504" s="26" t="n">
        <v>21885</v>
      </c>
      <c r="B1504" s="1" t="n">
        <v>1959</v>
      </c>
      <c r="C1504" s="1" t="n">
        <v>12</v>
      </c>
      <c r="D1504" s="1" t="s">
        <v>53</v>
      </c>
      <c r="E1504" s="1" t="s">
        <v>14</v>
      </c>
      <c r="F1504" s="1" t="n">
        <v>35.31</v>
      </c>
      <c r="G1504" s="1" t="n">
        <f aca="false">IF(E1504=E1503,F1504/F1503-1,"")</f>
        <v>0</v>
      </c>
    </row>
    <row r="1505" customFormat="false" ht="14.25" hidden="false" customHeight="true" outlineLevel="0" collapsed="false">
      <c r="A1505" s="26" t="n">
        <v>21916</v>
      </c>
      <c r="B1505" s="1" t="n">
        <v>1960</v>
      </c>
      <c r="C1505" s="1" t="n">
        <v>1</v>
      </c>
      <c r="D1505" s="1" t="s">
        <v>42</v>
      </c>
      <c r="E1505" s="1" t="s">
        <v>14</v>
      </c>
      <c r="F1505" s="1" t="n">
        <v>35.31</v>
      </c>
      <c r="G1505" s="1" t="n">
        <f aca="false">IF(E1505=E1504,F1505/F1504-1,"")</f>
        <v>0</v>
      </c>
    </row>
    <row r="1506" customFormat="false" ht="14.25" hidden="false" customHeight="true" outlineLevel="0" collapsed="false">
      <c r="A1506" s="26" t="n">
        <v>21947</v>
      </c>
      <c r="B1506" s="1" t="n">
        <v>1960</v>
      </c>
      <c r="C1506" s="1" t="n">
        <v>2</v>
      </c>
      <c r="D1506" s="1" t="s">
        <v>43</v>
      </c>
      <c r="E1506" s="1" t="s">
        <v>14</v>
      </c>
      <c r="F1506" s="1" t="n">
        <v>35.31</v>
      </c>
      <c r="G1506" s="1" t="n">
        <f aca="false">IF(E1506=E1505,F1506/F1505-1,"")</f>
        <v>0</v>
      </c>
    </row>
    <row r="1507" customFormat="false" ht="14.25" hidden="false" customHeight="true" outlineLevel="0" collapsed="false">
      <c r="A1507" s="26" t="n">
        <v>21976</v>
      </c>
      <c r="B1507" s="1" t="n">
        <v>1960</v>
      </c>
      <c r="C1507" s="1" t="n">
        <v>3</v>
      </c>
      <c r="D1507" s="1" t="s">
        <v>44</v>
      </c>
      <c r="E1507" s="1" t="s">
        <v>14</v>
      </c>
      <c r="F1507" s="1" t="n">
        <v>35.31</v>
      </c>
      <c r="G1507" s="1" t="n">
        <f aca="false">IF(E1507=E1506,F1507/F1506-1,"")</f>
        <v>0</v>
      </c>
    </row>
    <row r="1508" customFormat="false" ht="14.25" hidden="false" customHeight="true" outlineLevel="0" collapsed="false">
      <c r="A1508" s="26" t="n">
        <v>22007</v>
      </c>
      <c r="B1508" s="1" t="n">
        <v>1960</v>
      </c>
      <c r="C1508" s="1" t="n">
        <v>4</v>
      </c>
      <c r="D1508" s="1" t="s">
        <v>45</v>
      </c>
      <c r="E1508" s="1" t="s">
        <v>14</v>
      </c>
      <c r="F1508" s="1" t="n">
        <v>35.31</v>
      </c>
      <c r="G1508" s="1" t="n">
        <f aca="false">IF(E1508=E1507,F1508/F1507-1,"")</f>
        <v>0</v>
      </c>
    </row>
    <row r="1509" customFormat="false" ht="14.25" hidden="false" customHeight="true" outlineLevel="0" collapsed="false">
      <c r="A1509" s="26" t="n">
        <v>22037</v>
      </c>
      <c r="B1509" s="1" t="n">
        <v>1960</v>
      </c>
      <c r="C1509" s="1" t="n">
        <v>5</v>
      </c>
      <c r="D1509" s="1" t="s">
        <v>46</v>
      </c>
      <c r="E1509" s="1" t="s">
        <v>14</v>
      </c>
      <c r="F1509" s="1" t="n">
        <v>35.31</v>
      </c>
      <c r="G1509" s="1" t="n">
        <f aca="false">IF(E1509=E1508,F1509/F1508-1,"")</f>
        <v>0</v>
      </c>
    </row>
    <row r="1510" customFormat="false" ht="14.25" hidden="false" customHeight="true" outlineLevel="0" collapsed="false">
      <c r="A1510" s="26" t="n">
        <v>22068</v>
      </c>
      <c r="B1510" s="1" t="n">
        <v>1960</v>
      </c>
      <c r="C1510" s="1" t="n">
        <v>6</v>
      </c>
      <c r="D1510" s="1" t="s">
        <v>47</v>
      </c>
      <c r="E1510" s="1" t="s">
        <v>14</v>
      </c>
      <c r="F1510" s="1" t="n">
        <v>35.31</v>
      </c>
      <c r="G1510" s="1" t="n">
        <f aca="false">IF(E1510=E1509,F1510/F1509-1,"")</f>
        <v>0</v>
      </c>
    </row>
    <row r="1511" customFormat="false" ht="14.25" hidden="false" customHeight="true" outlineLevel="0" collapsed="false">
      <c r="A1511" s="26" t="n">
        <v>22098</v>
      </c>
      <c r="B1511" s="1" t="n">
        <v>1960</v>
      </c>
      <c r="C1511" s="1" t="n">
        <v>7</v>
      </c>
      <c r="D1511" s="1" t="s">
        <v>48</v>
      </c>
      <c r="E1511" s="1" t="s">
        <v>14</v>
      </c>
      <c r="F1511" s="1" t="n">
        <v>35.31</v>
      </c>
      <c r="G1511" s="1" t="n">
        <f aca="false">IF(E1511=E1510,F1511/F1510-1,"")</f>
        <v>0</v>
      </c>
    </row>
    <row r="1512" customFormat="false" ht="14.25" hidden="false" customHeight="true" outlineLevel="0" collapsed="false">
      <c r="A1512" s="26" t="n">
        <v>22129</v>
      </c>
      <c r="B1512" s="1" t="n">
        <v>1960</v>
      </c>
      <c r="C1512" s="1" t="n">
        <v>8</v>
      </c>
      <c r="D1512" s="1" t="s">
        <v>49</v>
      </c>
      <c r="E1512" s="1" t="s">
        <v>14</v>
      </c>
      <c r="F1512" s="1" t="n">
        <v>35.31</v>
      </c>
      <c r="G1512" s="1" t="n">
        <f aca="false">IF(E1512=E1511,F1512/F1511-1,"")</f>
        <v>0</v>
      </c>
    </row>
    <row r="1513" customFormat="false" ht="14.25" hidden="false" customHeight="true" outlineLevel="0" collapsed="false">
      <c r="A1513" s="26" t="n">
        <v>22160</v>
      </c>
      <c r="B1513" s="1" t="n">
        <v>1960</v>
      </c>
      <c r="C1513" s="1" t="n">
        <v>9</v>
      </c>
      <c r="D1513" s="1" t="s">
        <v>50</v>
      </c>
      <c r="E1513" s="1" t="s">
        <v>14</v>
      </c>
      <c r="F1513" s="1" t="n">
        <v>35.31</v>
      </c>
      <c r="G1513" s="1" t="n">
        <f aca="false">IF(E1513=E1512,F1513/F1512-1,"")</f>
        <v>0</v>
      </c>
    </row>
    <row r="1514" customFormat="false" ht="14.25" hidden="false" customHeight="true" outlineLevel="0" collapsed="false">
      <c r="A1514" s="26" t="n">
        <v>22190</v>
      </c>
      <c r="B1514" s="1" t="n">
        <v>1960</v>
      </c>
      <c r="C1514" s="1" t="n">
        <v>10</v>
      </c>
      <c r="D1514" s="1" t="s">
        <v>51</v>
      </c>
      <c r="E1514" s="1" t="s">
        <v>14</v>
      </c>
      <c r="F1514" s="1" t="n">
        <v>35.31</v>
      </c>
      <c r="G1514" s="1" t="n">
        <f aca="false">IF(E1514=E1513,F1514/F1513-1,"")</f>
        <v>0</v>
      </c>
    </row>
    <row r="1515" customFormat="false" ht="14.25" hidden="false" customHeight="true" outlineLevel="0" collapsed="false">
      <c r="A1515" s="26" t="n">
        <v>22221</v>
      </c>
      <c r="B1515" s="1" t="n">
        <v>1960</v>
      </c>
      <c r="C1515" s="1" t="n">
        <v>11</v>
      </c>
      <c r="D1515" s="1" t="s">
        <v>52</v>
      </c>
      <c r="E1515" s="1" t="s">
        <v>14</v>
      </c>
      <c r="F1515" s="1" t="n">
        <v>35.31</v>
      </c>
      <c r="G1515" s="1" t="n">
        <f aca="false">IF(E1515=E1514,F1515/F1514-1,"")</f>
        <v>0</v>
      </c>
    </row>
    <row r="1516" customFormat="false" ht="14.25" hidden="false" customHeight="true" outlineLevel="0" collapsed="false">
      <c r="A1516" s="26" t="n">
        <v>22251</v>
      </c>
      <c r="B1516" s="1" t="n">
        <v>1960</v>
      </c>
      <c r="C1516" s="1" t="n">
        <v>12</v>
      </c>
      <c r="D1516" s="1" t="s">
        <v>53</v>
      </c>
      <c r="E1516" s="1" t="s">
        <v>14</v>
      </c>
      <c r="F1516" s="1" t="n">
        <v>35.31</v>
      </c>
      <c r="G1516" s="1" t="n">
        <f aca="false">IF(E1516=E1515,F1516/F1515-1,"")</f>
        <v>0</v>
      </c>
    </row>
    <row r="1517" customFormat="false" ht="14.25" hidden="false" customHeight="true" outlineLevel="0" collapsed="false">
      <c r="A1517" s="26" t="n">
        <v>22282</v>
      </c>
      <c r="B1517" s="1" t="n">
        <v>1961</v>
      </c>
      <c r="C1517" s="1" t="n">
        <v>1</v>
      </c>
      <c r="D1517" s="1" t="s">
        <v>42</v>
      </c>
      <c r="E1517" s="1" t="s">
        <v>14</v>
      </c>
      <c r="F1517" s="1" t="n">
        <v>35.31</v>
      </c>
      <c r="G1517" s="1" t="n">
        <f aca="false">IF(E1517=E1516,F1517/F1516-1,"")</f>
        <v>0</v>
      </c>
    </row>
    <row r="1518" customFormat="false" ht="14.25" hidden="false" customHeight="true" outlineLevel="0" collapsed="false">
      <c r="A1518" s="26" t="n">
        <v>22313</v>
      </c>
      <c r="B1518" s="1" t="n">
        <v>1961</v>
      </c>
      <c r="C1518" s="1" t="n">
        <v>2</v>
      </c>
      <c r="D1518" s="1" t="s">
        <v>43</v>
      </c>
      <c r="E1518" s="1" t="s">
        <v>14</v>
      </c>
      <c r="F1518" s="1" t="n">
        <v>35.31</v>
      </c>
      <c r="G1518" s="1" t="n">
        <f aca="false">IF(E1518=E1517,F1518/F1517-1,"")</f>
        <v>0</v>
      </c>
    </row>
    <row r="1519" customFormat="false" ht="14.25" hidden="false" customHeight="true" outlineLevel="0" collapsed="false">
      <c r="A1519" s="26" t="n">
        <v>22341</v>
      </c>
      <c r="B1519" s="1" t="n">
        <v>1961</v>
      </c>
      <c r="C1519" s="1" t="n">
        <v>3</v>
      </c>
      <c r="D1519" s="1" t="s">
        <v>44</v>
      </c>
      <c r="E1519" s="1" t="s">
        <v>14</v>
      </c>
      <c r="F1519" s="1" t="n">
        <v>35.31</v>
      </c>
      <c r="G1519" s="1" t="n">
        <f aca="false">IF(E1519=E1518,F1519/F1518-1,"")</f>
        <v>0</v>
      </c>
    </row>
    <row r="1520" customFormat="false" ht="14.25" hidden="false" customHeight="true" outlineLevel="0" collapsed="false">
      <c r="A1520" s="26" t="n">
        <v>22372</v>
      </c>
      <c r="B1520" s="1" t="n">
        <v>1961</v>
      </c>
      <c r="C1520" s="1" t="n">
        <v>4</v>
      </c>
      <c r="D1520" s="1" t="s">
        <v>45</v>
      </c>
      <c r="E1520" s="1" t="s">
        <v>14</v>
      </c>
      <c r="F1520" s="1" t="n">
        <v>35.31</v>
      </c>
      <c r="G1520" s="1" t="n">
        <f aca="false">IF(E1520=E1519,F1520/F1519-1,"")</f>
        <v>0</v>
      </c>
    </row>
    <row r="1521" customFormat="false" ht="14.25" hidden="false" customHeight="true" outlineLevel="0" collapsed="false">
      <c r="A1521" s="26" t="n">
        <v>22402</v>
      </c>
      <c r="B1521" s="1" t="n">
        <v>1961</v>
      </c>
      <c r="C1521" s="1" t="n">
        <v>5</v>
      </c>
      <c r="D1521" s="1" t="s">
        <v>46</v>
      </c>
      <c r="E1521" s="1" t="s">
        <v>14</v>
      </c>
      <c r="F1521" s="1" t="n">
        <v>35.31</v>
      </c>
      <c r="G1521" s="1" t="n">
        <f aca="false">IF(E1521=E1520,F1521/F1520-1,"")</f>
        <v>0</v>
      </c>
    </row>
    <row r="1522" customFormat="false" ht="14.25" hidden="false" customHeight="true" outlineLevel="0" collapsed="false">
      <c r="A1522" s="26" t="n">
        <v>22433</v>
      </c>
      <c r="B1522" s="1" t="n">
        <v>1961</v>
      </c>
      <c r="C1522" s="1" t="n">
        <v>6</v>
      </c>
      <c r="D1522" s="1" t="s">
        <v>47</v>
      </c>
      <c r="E1522" s="1" t="s">
        <v>14</v>
      </c>
      <c r="F1522" s="1" t="n">
        <v>35.31</v>
      </c>
      <c r="G1522" s="1" t="n">
        <f aca="false">IF(E1522=E1521,F1522/F1521-1,"")</f>
        <v>0</v>
      </c>
    </row>
    <row r="1523" customFormat="false" ht="14.25" hidden="false" customHeight="true" outlineLevel="0" collapsed="false">
      <c r="A1523" s="26" t="n">
        <v>22463</v>
      </c>
      <c r="B1523" s="1" t="n">
        <v>1961</v>
      </c>
      <c r="C1523" s="1" t="n">
        <v>7</v>
      </c>
      <c r="D1523" s="1" t="s">
        <v>48</v>
      </c>
      <c r="E1523" s="1" t="s">
        <v>14</v>
      </c>
      <c r="F1523" s="1" t="n">
        <v>35.31</v>
      </c>
      <c r="G1523" s="1" t="n">
        <f aca="false">IF(E1523=E1522,F1523/F1522-1,"")</f>
        <v>0</v>
      </c>
    </row>
    <row r="1524" customFormat="false" ht="14.25" hidden="false" customHeight="true" outlineLevel="0" collapsed="false">
      <c r="A1524" s="26" t="n">
        <v>22494</v>
      </c>
      <c r="B1524" s="1" t="n">
        <v>1961</v>
      </c>
      <c r="C1524" s="1" t="n">
        <v>8</v>
      </c>
      <c r="D1524" s="1" t="s">
        <v>49</v>
      </c>
      <c r="E1524" s="1" t="s">
        <v>14</v>
      </c>
      <c r="F1524" s="1" t="n">
        <v>35.31</v>
      </c>
      <c r="G1524" s="1" t="n">
        <f aca="false">IF(E1524=E1523,F1524/F1523-1,"")</f>
        <v>0</v>
      </c>
    </row>
    <row r="1525" customFormat="false" ht="14.25" hidden="false" customHeight="true" outlineLevel="0" collapsed="false">
      <c r="A1525" s="26" t="n">
        <v>22525</v>
      </c>
      <c r="B1525" s="1" t="n">
        <v>1961</v>
      </c>
      <c r="C1525" s="1" t="n">
        <v>9</v>
      </c>
      <c r="D1525" s="1" t="s">
        <v>50</v>
      </c>
      <c r="E1525" s="1" t="s">
        <v>14</v>
      </c>
      <c r="F1525" s="1" t="n">
        <v>35.31</v>
      </c>
      <c r="G1525" s="1" t="n">
        <f aca="false">IF(E1525=E1524,F1525/F1524-1,"")</f>
        <v>0</v>
      </c>
    </row>
    <row r="1526" customFormat="false" ht="14.25" hidden="false" customHeight="true" outlineLevel="0" collapsed="false">
      <c r="A1526" s="26" t="n">
        <v>22555</v>
      </c>
      <c r="B1526" s="1" t="n">
        <v>1961</v>
      </c>
      <c r="C1526" s="1" t="n">
        <v>10</v>
      </c>
      <c r="D1526" s="1" t="s">
        <v>51</v>
      </c>
      <c r="E1526" s="1" t="s">
        <v>14</v>
      </c>
      <c r="F1526" s="1" t="n">
        <v>35.31</v>
      </c>
      <c r="G1526" s="1" t="n">
        <f aca="false">IF(E1526=E1525,F1526/F1525-1,"")</f>
        <v>0</v>
      </c>
    </row>
    <row r="1527" customFormat="false" ht="14.25" hidden="false" customHeight="true" outlineLevel="0" collapsed="false">
      <c r="A1527" s="26" t="n">
        <v>22586</v>
      </c>
      <c r="B1527" s="1" t="n">
        <v>1961</v>
      </c>
      <c r="C1527" s="1" t="n">
        <v>11</v>
      </c>
      <c r="D1527" s="1" t="s">
        <v>52</v>
      </c>
      <c r="E1527" s="1" t="s">
        <v>14</v>
      </c>
      <c r="F1527" s="1" t="n">
        <v>35.31</v>
      </c>
      <c r="G1527" s="1" t="n">
        <f aca="false">IF(E1527=E1526,F1527/F1526-1,"")</f>
        <v>0</v>
      </c>
    </row>
    <row r="1528" customFormat="false" ht="14.25" hidden="false" customHeight="true" outlineLevel="0" collapsed="false">
      <c r="A1528" s="26" t="n">
        <v>22616</v>
      </c>
      <c r="B1528" s="1" t="n">
        <v>1961</v>
      </c>
      <c r="C1528" s="1" t="n">
        <v>12</v>
      </c>
      <c r="D1528" s="1" t="s">
        <v>53</v>
      </c>
      <c r="E1528" s="1" t="s">
        <v>14</v>
      </c>
      <c r="F1528" s="1" t="n">
        <v>35.31</v>
      </c>
      <c r="G1528" s="1" t="n">
        <f aca="false">IF(E1528=E1527,F1528/F1527-1,"")</f>
        <v>0</v>
      </c>
    </row>
    <row r="1529" customFormat="false" ht="14.25" hidden="false" customHeight="true" outlineLevel="0" collapsed="false">
      <c r="A1529" s="26" t="n">
        <v>22647</v>
      </c>
      <c r="B1529" s="1" t="n">
        <v>1962</v>
      </c>
      <c r="C1529" s="1" t="n">
        <v>1</v>
      </c>
      <c r="D1529" s="1" t="s">
        <v>42</v>
      </c>
      <c r="E1529" s="1" t="s">
        <v>14</v>
      </c>
      <c r="F1529" s="1" t="n">
        <v>35.31</v>
      </c>
      <c r="G1529" s="1" t="n">
        <f aca="false">IF(E1529=E1528,F1529/F1528-1,"")</f>
        <v>0</v>
      </c>
    </row>
    <row r="1530" customFormat="false" ht="14.25" hidden="false" customHeight="true" outlineLevel="0" collapsed="false">
      <c r="A1530" s="26" t="n">
        <v>22678</v>
      </c>
      <c r="B1530" s="1" t="n">
        <v>1962</v>
      </c>
      <c r="C1530" s="1" t="n">
        <v>2</v>
      </c>
      <c r="D1530" s="1" t="s">
        <v>43</v>
      </c>
      <c r="E1530" s="1" t="s">
        <v>14</v>
      </c>
      <c r="F1530" s="1" t="n">
        <v>35.31</v>
      </c>
      <c r="G1530" s="1" t="n">
        <f aca="false">IF(E1530=E1529,F1530/F1529-1,"")</f>
        <v>0</v>
      </c>
    </row>
    <row r="1531" customFormat="false" ht="14.25" hidden="false" customHeight="true" outlineLevel="0" collapsed="false">
      <c r="A1531" s="26" t="n">
        <v>22706</v>
      </c>
      <c r="B1531" s="1" t="n">
        <v>1962</v>
      </c>
      <c r="C1531" s="1" t="n">
        <v>3</v>
      </c>
      <c r="D1531" s="1" t="s">
        <v>44</v>
      </c>
      <c r="E1531" s="1" t="s">
        <v>14</v>
      </c>
      <c r="F1531" s="1" t="n">
        <v>35.31</v>
      </c>
      <c r="G1531" s="1" t="n">
        <f aca="false">IF(E1531=E1530,F1531/F1530-1,"")</f>
        <v>0</v>
      </c>
    </row>
    <row r="1532" customFormat="false" ht="14.25" hidden="false" customHeight="true" outlineLevel="0" collapsed="false">
      <c r="A1532" s="26" t="n">
        <v>22737</v>
      </c>
      <c r="B1532" s="1" t="n">
        <v>1962</v>
      </c>
      <c r="C1532" s="1" t="n">
        <v>4</v>
      </c>
      <c r="D1532" s="1" t="s">
        <v>45</v>
      </c>
      <c r="E1532" s="1" t="s">
        <v>14</v>
      </c>
      <c r="F1532" s="1" t="n">
        <v>35.31</v>
      </c>
      <c r="G1532" s="1" t="n">
        <f aca="false">IF(E1532=E1531,F1532/F1531-1,"")</f>
        <v>0</v>
      </c>
    </row>
    <row r="1533" customFormat="false" ht="14.25" hidden="false" customHeight="true" outlineLevel="0" collapsed="false">
      <c r="A1533" s="26" t="n">
        <v>22767</v>
      </c>
      <c r="B1533" s="1" t="n">
        <v>1962</v>
      </c>
      <c r="C1533" s="1" t="n">
        <v>5</v>
      </c>
      <c r="D1533" s="1" t="s">
        <v>46</v>
      </c>
      <c r="E1533" s="1" t="s">
        <v>14</v>
      </c>
      <c r="F1533" s="1" t="n">
        <v>35.31</v>
      </c>
      <c r="G1533" s="1" t="n">
        <f aca="false">IF(E1533=E1532,F1533/F1532-1,"")</f>
        <v>0</v>
      </c>
    </row>
    <row r="1534" customFormat="false" ht="14.25" hidden="false" customHeight="true" outlineLevel="0" collapsed="false">
      <c r="A1534" s="26" t="n">
        <v>22798</v>
      </c>
      <c r="B1534" s="1" t="n">
        <v>1962</v>
      </c>
      <c r="C1534" s="1" t="n">
        <v>6</v>
      </c>
      <c r="D1534" s="1" t="s">
        <v>47</v>
      </c>
      <c r="E1534" s="1" t="s">
        <v>14</v>
      </c>
      <c r="F1534" s="1" t="n">
        <v>35.31</v>
      </c>
      <c r="G1534" s="1" t="n">
        <f aca="false">IF(E1534=E1533,F1534/F1533-1,"")</f>
        <v>0</v>
      </c>
    </row>
    <row r="1535" customFormat="false" ht="14.25" hidden="false" customHeight="true" outlineLevel="0" collapsed="false">
      <c r="A1535" s="26" t="n">
        <v>22828</v>
      </c>
      <c r="B1535" s="1" t="n">
        <v>1962</v>
      </c>
      <c r="C1535" s="1" t="n">
        <v>7</v>
      </c>
      <c r="D1535" s="1" t="s">
        <v>48</v>
      </c>
      <c r="E1535" s="1" t="s">
        <v>14</v>
      </c>
      <c r="F1535" s="1" t="n">
        <v>35.31</v>
      </c>
      <c r="G1535" s="1" t="n">
        <f aca="false">IF(E1535=E1534,F1535/F1534-1,"")</f>
        <v>0</v>
      </c>
    </row>
    <row r="1536" customFormat="false" ht="14.25" hidden="false" customHeight="true" outlineLevel="0" collapsed="false">
      <c r="A1536" s="26" t="n">
        <v>22859</v>
      </c>
      <c r="B1536" s="1" t="n">
        <v>1962</v>
      </c>
      <c r="C1536" s="1" t="n">
        <v>8</v>
      </c>
      <c r="D1536" s="1" t="s">
        <v>49</v>
      </c>
      <c r="E1536" s="1" t="s">
        <v>14</v>
      </c>
      <c r="F1536" s="1" t="n">
        <v>35.31</v>
      </c>
      <c r="G1536" s="1" t="n">
        <f aca="false">IF(E1536=E1535,F1536/F1535-1,"")</f>
        <v>0</v>
      </c>
    </row>
    <row r="1537" customFormat="false" ht="14.25" hidden="false" customHeight="true" outlineLevel="0" collapsed="false">
      <c r="A1537" s="26" t="n">
        <v>22890</v>
      </c>
      <c r="B1537" s="1" t="n">
        <v>1962</v>
      </c>
      <c r="C1537" s="1" t="n">
        <v>9</v>
      </c>
      <c r="D1537" s="1" t="s">
        <v>50</v>
      </c>
      <c r="E1537" s="1" t="s">
        <v>14</v>
      </c>
      <c r="F1537" s="1" t="n">
        <v>35.31</v>
      </c>
      <c r="G1537" s="1" t="n">
        <f aca="false">IF(E1537=E1536,F1537/F1536-1,"")</f>
        <v>0</v>
      </c>
    </row>
    <row r="1538" customFormat="false" ht="14.25" hidden="false" customHeight="true" outlineLevel="0" collapsed="false">
      <c r="A1538" s="26" t="n">
        <v>22920</v>
      </c>
      <c r="B1538" s="1" t="n">
        <v>1962</v>
      </c>
      <c r="C1538" s="1" t="n">
        <v>10</v>
      </c>
      <c r="D1538" s="1" t="s">
        <v>51</v>
      </c>
      <c r="E1538" s="1" t="s">
        <v>14</v>
      </c>
      <c r="F1538" s="1" t="n">
        <v>35.31</v>
      </c>
      <c r="G1538" s="1" t="n">
        <f aca="false">IF(E1538=E1537,F1538/F1537-1,"")</f>
        <v>0</v>
      </c>
    </row>
    <row r="1539" customFormat="false" ht="14.25" hidden="false" customHeight="true" outlineLevel="0" collapsed="false">
      <c r="A1539" s="26" t="n">
        <v>22951</v>
      </c>
      <c r="B1539" s="1" t="n">
        <v>1962</v>
      </c>
      <c r="C1539" s="1" t="n">
        <v>11</v>
      </c>
      <c r="D1539" s="1" t="s">
        <v>52</v>
      </c>
      <c r="E1539" s="1" t="s">
        <v>14</v>
      </c>
      <c r="F1539" s="1" t="n">
        <v>35.31</v>
      </c>
      <c r="G1539" s="1" t="n">
        <f aca="false">IF(E1539=E1538,F1539/F1538-1,"")</f>
        <v>0</v>
      </c>
    </row>
    <row r="1540" customFormat="false" ht="14.25" hidden="false" customHeight="true" outlineLevel="0" collapsed="false">
      <c r="A1540" s="26" t="n">
        <v>22981</v>
      </c>
      <c r="B1540" s="1" t="n">
        <v>1962</v>
      </c>
      <c r="C1540" s="1" t="n">
        <v>12</v>
      </c>
      <c r="D1540" s="1" t="s">
        <v>53</v>
      </c>
      <c r="E1540" s="1" t="s">
        <v>14</v>
      </c>
      <c r="F1540" s="1" t="n">
        <v>35.31</v>
      </c>
      <c r="G1540" s="1" t="n">
        <f aca="false">IF(E1540=E1539,F1540/F1539-1,"")</f>
        <v>0</v>
      </c>
    </row>
    <row r="1541" customFormat="false" ht="14.25" hidden="false" customHeight="true" outlineLevel="0" collapsed="false">
      <c r="A1541" s="26" t="n">
        <v>23012</v>
      </c>
      <c r="B1541" s="1" t="n">
        <v>1963</v>
      </c>
      <c r="C1541" s="1" t="n">
        <v>1</v>
      </c>
      <c r="D1541" s="1" t="s">
        <v>42</v>
      </c>
      <c r="E1541" s="1" t="s">
        <v>14</v>
      </c>
      <c r="F1541" s="1" t="n">
        <v>35.31</v>
      </c>
      <c r="G1541" s="1" t="n">
        <f aca="false">IF(E1541=E1540,F1541/F1540-1,"")</f>
        <v>0</v>
      </c>
    </row>
    <row r="1542" customFormat="false" ht="14.25" hidden="false" customHeight="true" outlineLevel="0" collapsed="false">
      <c r="A1542" s="26" t="n">
        <v>23043</v>
      </c>
      <c r="B1542" s="1" t="n">
        <v>1963</v>
      </c>
      <c r="C1542" s="1" t="n">
        <v>2</v>
      </c>
      <c r="D1542" s="1" t="s">
        <v>43</v>
      </c>
      <c r="E1542" s="1" t="s">
        <v>14</v>
      </c>
      <c r="F1542" s="1" t="n">
        <v>35.31</v>
      </c>
      <c r="G1542" s="1" t="n">
        <f aca="false">IF(E1542=E1541,F1542/F1541-1,"")</f>
        <v>0</v>
      </c>
    </row>
    <row r="1543" customFormat="false" ht="14.25" hidden="false" customHeight="true" outlineLevel="0" collapsed="false">
      <c r="A1543" s="26" t="n">
        <v>23071</v>
      </c>
      <c r="B1543" s="1" t="n">
        <v>1963</v>
      </c>
      <c r="C1543" s="1" t="n">
        <v>3</v>
      </c>
      <c r="D1543" s="1" t="s">
        <v>44</v>
      </c>
      <c r="E1543" s="1" t="s">
        <v>14</v>
      </c>
      <c r="F1543" s="1" t="n">
        <v>35.31</v>
      </c>
      <c r="G1543" s="1" t="n">
        <f aca="false">IF(E1543=E1542,F1543/F1542-1,"")</f>
        <v>0</v>
      </c>
    </row>
    <row r="1544" customFormat="false" ht="14.25" hidden="false" customHeight="true" outlineLevel="0" collapsed="false">
      <c r="A1544" s="26" t="n">
        <v>23102</v>
      </c>
      <c r="B1544" s="1" t="n">
        <v>1963</v>
      </c>
      <c r="C1544" s="1" t="n">
        <v>4</v>
      </c>
      <c r="D1544" s="1" t="s">
        <v>45</v>
      </c>
      <c r="E1544" s="1" t="s">
        <v>14</v>
      </c>
      <c r="F1544" s="1" t="n">
        <v>35.31</v>
      </c>
      <c r="G1544" s="1" t="n">
        <f aca="false">IF(E1544=E1543,F1544/F1543-1,"")</f>
        <v>0</v>
      </c>
    </row>
    <row r="1545" customFormat="false" ht="14.25" hidden="false" customHeight="true" outlineLevel="0" collapsed="false">
      <c r="A1545" s="26" t="n">
        <v>23132</v>
      </c>
      <c r="B1545" s="1" t="n">
        <v>1963</v>
      </c>
      <c r="C1545" s="1" t="n">
        <v>5</v>
      </c>
      <c r="D1545" s="1" t="s">
        <v>46</v>
      </c>
      <c r="E1545" s="1" t="s">
        <v>14</v>
      </c>
      <c r="F1545" s="1" t="n">
        <v>35.31</v>
      </c>
      <c r="G1545" s="1" t="n">
        <f aca="false">IF(E1545=E1544,F1545/F1544-1,"")</f>
        <v>0</v>
      </c>
    </row>
    <row r="1546" customFormat="false" ht="14.25" hidden="false" customHeight="true" outlineLevel="0" collapsed="false">
      <c r="A1546" s="26" t="n">
        <v>23163</v>
      </c>
      <c r="B1546" s="1" t="n">
        <v>1963</v>
      </c>
      <c r="C1546" s="1" t="n">
        <v>6</v>
      </c>
      <c r="D1546" s="1" t="s">
        <v>47</v>
      </c>
      <c r="E1546" s="1" t="s">
        <v>14</v>
      </c>
      <c r="F1546" s="1" t="n">
        <v>35.31</v>
      </c>
      <c r="G1546" s="1" t="n">
        <f aca="false">IF(E1546=E1545,F1546/F1545-1,"")</f>
        <v>0</v>
      </c>
    </row>
    <row r="1547" customFormat="false" ht="14.25" hidden="false" customHeight="true" outlineLevel="0" collapsed="false">
      <c r="A1547" s="26" t="n">
        <v>23193</v>
      </c>
      <c r="B1547" s="1" t="n">
        <v>1963</v>
      </c>
      <c r="C1547" s="1" t="n">
        <v>7</v>
      </c>
      <c r="D1547" s="1" t="s">
        <v>48</v>
      </c>
      <c r="E1547" s="1" t="s">
        <v>14</v>
      </c>
      <c r="F1547" s="1" t="n">
        <v>35.31</v>
      </c>
      <c r="G1547" s="1" t="n">
        <f aca="false">IF(E1547=E1546,F1547/F1546-1,"")</f>
        <v>0</v>
      </c>
    </row>
    <row r="1548" customFormat="false" ht="14.25" hidden="false" customHeight="true" outlineLevel="0" collapsed="false">
      <c r="A1548" s="26" t="n">
        <v>23224</v>
      </c>
      <c r="B1548" s="1" t="n">
        <v>1963</v>
      </c>
      <c r="C1548" s="1" t="n">
        <v>8</v>
      </c>
      <c r="D1548" s="1" t="s">
        <v>49</v>
      </c>
      <c r="E1548" s="1" t="s">
        <v>14</v>
      </c>
      <c r="F1548" s="1" t="n">
        <v>35.31</v>
      </c>
      <c r="G1548" s="1" t="n">
        <f aca="false">IF(E1548=E1547,F1548/F1547-1,"")</f>
        <v>0</v>
      </c>
    </row>
    <row r="1549" customFormat="false" ht="14.25" hidden="false" customHeight="true" outlineLevel="0" collapsed="false">
      <c r="A1549" s="26" t="n">
        <v>23255</v>
      </c>
      <c r="B1549" s="1" t="n">
        <v>1963</v>
      </c>
      <c r="C1549" s="1" t="n">
        <v>9</v>
      </c>
      <c r="D1549" s="1" t="s">
        <v>50</v>
      </c>
      <c r="E1549" s="1" t="s">
        <v>14</v>
      </c>
      <c r="F1549" s="1" t="n">
        <v>35.31</v>
      </c>
      <c r="G1549" s="1" t="n">
        <f aca="false">IF(E1549=E1548,F1549/F1548-1,"")</f>
        <v>0</v>
      </c>
    </row>
    <row r="1550" customFormat="false" ht="14.25" hidden="false" customHeight="true" outlineLevel="0" collapsed="false">
      <c r="A1550" s="26" t="n">
        <v>23285</v>
      </c>
      <c r="B1550" s="1" t="n">
        <v>1963</v>
      </c>
      <c r="C1550" s="1" t="n">
        <v>10</v>
      </c>
      <c r="D1550" s="1" t="s">
        <v>51</v>
      </c>
      <c r="E1550" s="1" t="s">
        <v>14</v>
      </c>
      <c r="F1550" s="1" t="n">
        <v>35.31</v>
      </c>
      <c r="G1550" s="1" t="n">
        <f aca="false">IF(E1550=E1549,F1550/F1549-1,"")</f>
        <v>0</v>
      </c>
    </row>
    <row r="1551" customFormat="false" ht="14.25" hidden="false" customHeight="true" outlineLevel="0" collapsed="false">
      <c r="A1551" s="26" t="n">
        <v>23316</v>
      </c>
      <c r="B1551" s="1" t="n">
        <v>1963</v>
      </c>
      <c r="C1551" s="1" t="n">
        <v>11</v>
      </c>
      <c r="D1551" s="1" t="s">
        <v>52</v>
      </c>
      <c r="E1551" s="1" t="s">
        <v>14</v>
      </c>
      <c r="F1551" s="1" t="n">
        <v>35.31</v>
      </c>
      <c r="G1551" s="1" t="n">
        <f aca="false">IF(E1551=E1550,F1551/F1550-1,"")</f>
        <v>0</v>
      </c>
    </row>
    <row r="1552" customFormat="false" ht="14.25" hidden="false" customHeight="true" outlineLevel="0" collapsed="false">
      <c r="A1552" s="26" t="n">
        <v>23346</v>
      </c>
      <c r="B1552" s="1" t="n">
        <v>1963</v>
      </c>
      <c r="C1552" s="1" t="n">
        <v>12</v>
      </c>
      <c r="D1552" s="1" t="s">
        <v>53</v>
      </c>
      <c r="E1552" s="1" t="s">
        <v>14</v>
      </c>
      <c r="F1552" s="1" t="n">
        <v>35.31</v>
      </c>
      <c r="G1552" s="1" t="n">
        <f aca="false">IF(E1552=E1551,F1552/F1551-1,"")</f>
        <v>0</v>
      </c>
    </row>
    <row r="1553" customFormat="false" ht="14.25" hidden="false" customHeight="true" outlineLevel="0" collapsed="false">
      <c r="A1553" s="26" t="n">
        <v>23377</v>
      </c>
      <c r="B1553" s="1" t="n">
        <v>1964</v>
      </c>
      <c r="C1553" s="1" t="n">
        <v>1</v>
      </c>
      <c r="D1553" s="1" t="s">
        <v>42</v>
      </c>
      <c r="E1553" s="1" t="s">
        <v>14</v>
      </c>
      <c r="F1553" s="1" t="n">
        <v>35.31</v>
      </c>
      <c r="G1553" s="1" t="n">
        <f aca="false">IF(E1553=E1552,F1553/F1552-1,"")</f>
        <v>0</v>
      </c>
    </row>
    <row r="1554" customFormat="false" ht="14.25" hidden="false" customHeight="true" outlineLevel="0" collapsed="false">
      <c r="A1554" s="26" t="n">
        <v>23408</v>
      </c>
      <c r="B1554" s="1" t="n">
        <v>1964</v>
      </c>
      <c r="C1554" s="1" t="n">
        <v>2</v>
      </c>
      <c r="D1554" s="1" t="s">
        <v>43</v>
      </c>
      <c r="E1554" s="1" t="s">
        <v>14</v>
      </c>
      <c r="F1554" s="1" t="n">
        <v>35.31</v>
      </c>
      <c r="G1554" s="1" t="n">
        <f aca="false">IF(E1554=E1553,F1554/F1553-1,"")</f>
        <v>0</v>
      </c>
    </row>
    <row r="1555" customFormat="false" ht="14.25" hidden="false" customHeight="true" outlineLevel="0" collapsed="false">
      <c r="A1555" s="26" t="n">
        <v>23437</v>
      </c>
      <c r="B1555" s="1" t="n">
        <v>1964</v>
      </c>
      <c r="C1555" s="1" t="n">
        <v>3</v>
      </c>
      <c r="D1555" s="1" t="s">
        <v>44</v>
      </c>
      <c r="E1555" s="1" t="s">
        <v>14</v>
      </c>
      <c r="F1555" s="1" t="n">
        <v>35.31</v>
      </c>
      <c r="G1555" s="1" t="n">
        <f aca="false">IF(E1555=E1554,F1555/F1554-1,"")</f>
        <v>0</v>
      </c>
    </row>
    <row r="1556" customFormat="false" ht="14.25" hidden="false" customHeight="true" outlineLevel="0" collapsed="false">
      <c r="A1556" s="26" t="n">
        <v>23468</v>
      </c>
      <c r="B1556" s="1" t="n">
        <v>1964</v>
      </c>
      <c r="C1556" s="1" t="n">
        <v>4</v>
      </c>
      <c r="D1556" s="1" t="s">
        <v>45</v>
      </c>
      <c r="E1556" s="1" t="s">
        <v>14</v>
      </c>
      <c r="F1556" s="1" t="n">
        <v>35.31</v>
      </c>
      <c r="G1556" s="1" t="n">
        <f aca="false">IF(E1556=E1555,F1556/F1555-1,"")</f>
        <v>0</v>
      </c>
    </row>
    <row r="1557" customFormat="false" ht="14.25" hidden="false" customHeight="true" outlineLevel="0" collapsed="false">
      <c r="A1557" s="26" t="n">
        <v>23498</v>
      </c>
      <c r="B1557" s="1" t="n">
        <v>1964</v>
      </c>
      <c r="C1557" s="1" t="n">
        <v>5</v>
      </c>
      <c r="D1557" s="1" t="s">
        <v>46</v>
      </c>
      <c r="E1557" s="1" t="s">
        <v>14</v>
      </c>
      <c r="F1557" s="1" t="n">
        <v>35.31</v>
      </c>
      <c r="G1557" s="1" t="n">
        <f aca="false">IF(E1557=E1556,F1557/F1556-1,"")</f>
        <v>0</v>
      </c>
    </row>
    <row r="1558" customFormat="false" ht="14.25" hidden="false" customHeight="true" outlineLevel="0" collapsed="false">
      <c r="A1558" s="26" t="n">
        <v>23529</v>
      </c>
      <c r="B1558" s="1" t="n">
        <v>1964</v>
      </c>
      <c r="C1558" s="1" t="n">
        <v>6</v>
      </c>
      <c r="D1558" s="1" t="s">
        <v>47</v>
      </c>
      <c r="E1558" s="1" t="s">
        <v>14</v>
      </c>
      <c r="F1558" s="1" t="n">
        <v>35.31</v>
      </c>
      <c r="G1558" s="1" t="n">
        <f aca="false">IF(E1558=E1557,F1558/F1557-1,"")</f>
        <v>0</v>
      </c>
    </row>
    <row r="1559" customFormat="false" ht="14.25" hidden="false" customHeight="true" outlineLevel="0" collapsed="false">
      <c r="A1559" s="26" t="n">
        <v>23559</v>
      </c>
      <c r="B1559" s="1" t="n">
        <v>1964</v>
      </c>
      <c r="C1559" s="1" t="n">
        <v>7</v>
      </c>
      <c r="D1559" s="1" t="s">
        <v>48</v>
      </c>
      <c r="E1559" s="1" t="s">
        <v>14</v>
      </c>
      <c r="F1559" s="1" t="n">
        <v>35.31</v>
      </c>
      <c r="G1559" s="1" t="n">
        <f aca="false">IF(E1559=E1558,F1559/F1558-1,"")</f>
        <v>0</v>
      </c>
    </row>
    <row r="1560" customFormat="false" ht="14.25" hidden="false" customHeight="true" outlineLevel="0" collapsed="false">
      <c r="A1560" s="26" t="n">
        <v>23590</v>
      </c>
      <c r="B1560" s="1" t="n">
        <v>1964</v>
      </c>
      <c r="C1560" s="1" t="n">
        <v>8</v>
      </c>
      <c r="D1560" s="1" t="s">
        <v>49</v>
      </c>
      <c r="E1560" s="1" t="s">
        <v>14</v>
      </c>
      <c r="F1560" s="1" t="n">
        <v>35.31</v>
      </c>
      <c r="G1560" s="1" t="n">
        <f aca="false">IF(E1560=E1559,F1560/F1559-1,"")</f>
        <v>0</v>
      </c>
    </row>
    <row r="1561" customFormat="false" ht="14.25" hidden="false" customHeight="true" outlineLevel="0" collapsed="false">
      <c r="A1561" s="26" t="n">
        <v>23621</v>
      </c>
      <c r="B1561" s="1" t="n">
        <v>1964</v>
      </c>
      <c r="C1561" s="1" t="n">
        <v>9</v>
      </c>
      <c r="D1561" s="1" t="s">
        <v>50</v>
      </c>
      <c r="E1561" s="1" t="s">
        <v>14</v>
      </c>
      <c r="F1561" s="1" t="n">
        <v>35.31</v>
      </c>
      <c r="G1561" s="1" t="n">
        <f aca="false">IF(E1561=E1560,F1561/F1560-1,"")</f>
        <v>0</v>
      </c>
    </row>
    <row r="1562" customFormat="false" ht="14.25" hidden="false" customHeight="true" outlineLevel="0" collapsed="false">
      <c r="A1562" s="26" t="n">
        <v>23651</v>
      </c>
      <c r="B1562" s="1" t="n">
        <v>1964</v>
      </c>
      <c r="C1562" s="1" t="n">
        <v>10</v>
      </c>
      <c r="D1562" s="1" t="s">
        <v>51</v>
      </c>
      <c r="E1562" s="1" t="s">
        <v>14</v>
      </c>
      <c r="F1562" s="1" t="n">
        <v>35.31</v>
      </c>
      <c r="G1562" s="1" t="n">
        <f aca="false">IF(E1562=E1561,F1562/F1561-1,"")</f>
        <v>0</v>
      </c>
    </row>
    <row r="1563" customFormat="false" ht="14.25" hidden="false" customHeight="true" outlineLevel="0" collapsed="false">
      <c r="A1563" s="26" t="n">
        <v>23682</v>
      </c>
      <c r="B1563" s="1" t="n">
        <v>1964</v>
      </c>
      <c r="C1563" s="1" t="n">
        <v>11</v>
      </c>
      <c r="D1563" s="1" t="s">
        <v>52</v>
      </c>
      <c r="E1563" s="1" t="s">
        <v>14</v>
      </c>
      <c r="F1563" s="1" t="n">
        <v>35.31</v>
      </c>
      <c r="G1563" s="1" t="n">
        <f aca="false">IF(E1563=E1562,F1563/F1562-1,"")</f>
        <v>0</v>
      </c>
    </row>
    <row r="1564" customFormat="false" ht="14.25" hidden="false" customHeight="true" outlineLevel="0" collapsed="false">
      <c r="A1564" s="26" t="n">
        <v>23712</v>
      </c>
      <c r="B1564" s="1" t="n">
        <v>1964</v>
      </c>
      <c r="C1564" s="1" t="n">
        <v>12</v>
      </c>
      <c r="D1564" s="1" t="s">
        <v>53</v>
      </c>
      <c r="E1564" s="1" t="s">
        <v>14</v>
      </c>
      <c r="F1564" s="1" t="n">
        <v>35.31</v>
      </c>
      <c r="G1564" s="1" t="n">
        <f aca="false">IF(E1564=E1563,F1564/F1563-1,"")</f>
        <v>0</v>
      </c>
    </row>
    <row r="1565" customFormat="false" ht="14.25" hidden="false" customHeight="true" outlineLevel="0" collapsed="false">
      <c r="A1565" s="26" t="n">
        <v>23743</v>
      </c>
      <c r="B1565" s="1" t="n">
        <v>1965</v>
      </c>
      <c r="C1565" s="1" t="n">
        <v>1</v>
      </c>
      <c r="D1565" s="1" t="s">
        <v>42</v>
      </c>
      <c r="E1565" s="1" t="s">
        <v>14</v>
      </c>
      <c r="F1565" s="1" t="n">
        <v>35.31</v>
      </c>
      <c r="G1565" s="1" t="n">
        <f aca="false">IF(E1565=E1564,F1565/F1564-1,"")</f>
        <v>0</v>
      </c>
    </row>
    <row r="1566" customFormat="false" ht="14.25" hidden="false" customHeight="true" outlineLevel="0" collapsed="false">
      <c r="A1566" s="26" t="n">
        <v>23774</v>
      </c>
      <c r="B1566" s="1" t="n">
        <v>1965</v>
      </c>
      <c r="C1566" s="1" t="n">
        <v>2</v>
      </c>
      <c r="D1566" s="1" t="s">
        <v>43</v>
      </c>
      <c r="E1566" s="1" t="s">
        <v>14</v>
      </c>
      <c r="F1566" s="1" t="n">
        <v>35.31</v>
      </c>
      <c r="G1566" s="1" t="n">
        <f aca="false">IF(E1566=E1565,F1566/F1565-1,"")</f>
        <v>0</v>
      </c>
    </row>
    <row r="1567" customFormat="false" ht="14.25" hidden="false" customHeight="true" outlineLevel="0" collapsed="false">
      <c r="A1567" s="26" t="n">
        <v>23802</v>
      </c>
      <c r="B1567" s="1" t="n">
        <v>1965</v>
      </c>
      <c r="C1567" s="1" t="n">
        <v>3</v>
      </c>
      <c r="D1567" s="1" t="s">
        <v>44</v>
      </c>
      <c r="E1567" s="1" t="s">
        <v>14</v>
      </c>
      <c r="F1567" s="1" t="n">
        <v>35.31</v>
      </c>
      <c r="G1567" s="1" t="n">
        <f aca="false">IF(E1567=E1566,F1567/F1566-1,"")</f>
        <v>0</v>
      </c>
    </row>
    <row r="1568" customFormat="false" ht="14.25" hidden="false" customHeight="true" outlineLevel="0" collapsed="false">
      <c r="A1568" s="26" t="n">
        <v>23833</v>
      </c>
      <c r="B1568" s="1" t="n">
        <v>1965</v>
      </c>
      <c r="C1568" s="1" t="n">
        <v>4</v>
      </c>
      <c r="D1568" s="1" t="s">
        <v>45</v>
      </c>
      <c r="E1568" s="1" t="s">
        <v>14</v>
      </c>
      <c r="F1568" s="1" t="n">
        <v>35.31</v>
      </c>
      <c r="G1568" s="1" t="n">
        <f aca="false">IF(E1568=E1567,F1568/F1567-1,"")</f>
        <v>0</v>
      </c>
    </row>
    <row r="1569" customFormat="false" ht="14.25" hidden="false" customHeight="true" outlineLevel="0" collapsed="false">
      <c r="A1569" s="26" t="n">
        <v>23863</v>
      </c>
      <c r="B1569" s="1" t="n">
        <v>1965</v>
      </c>
      <c r="C1569" s="1" t="n">
        <v>5</v>
      </c>
      <c r="D1569" s="1" t="s">
        <v>46</v>
      </c>
      <c r="E1569" s="1" t="s">
        <v>14</v>
      </c>
      <c r="F1569" s="1" t="n">
        <v>35.31</v>
      </c>
      <c r="G1569" s="1" t="n">
        <f aca="false">IF(E1569=E1568,F1569/F1568-1,"")</f>
        <v>0</v>
      </c>
    </row>
    <row r="1570" customFormat="false" ht="14.25" hidden="false" customHeight="true" outlineLevel="0" collapsed="false">
      <c r="A1570" s="26" t="n">
        <v>23894</v>
      </c>
      <c r="B1570" s="1" t="n">
        <v>1965</v>
      </c>
      <c r="C1570" s="1" t="n">
        <v>6</v>
      </c>
      <c r="D1570" s="1" t="s">
        <v>47</v>
      </c>
      <c r="E1570" s="1" t="s">
        <v>14</v>
      </c>
      <c r="F1570" s="1" t="n">
        <v>35.31</v>
      </c>
      <c r="G1570" s="1" t="n">
        <f aca="false">IF(E1570=E1569,F1570/F1569-1,"")</f>
        <v>0</v>
      </c>
    </row>
    <row r="1571" customFormat="false" ht="14.25" hidden="false" customHeight="true" outlineLevel="0" collapsed="false">
      <c r="A1571" s="26" t="n">
        <v>23924</v>
      </c>
      <c r="B1571" s="1" t="n">
        <v>1965</v>
      </c>
      <c r="C1571" s="1" t="n">
        <v>7</v>
      </c>
      <c r="D1571" s="1" t="s">
        <v>48</v>
      </c>
      <c r="E1571" s="1" t="s">
        <v>14</v>
      </c>
      <c r="F1571" s="1" t="n">
        <v>35.31</v>
      </c>
      <c r="G1571" s="1" t="n">
        <f aca="false">IF(E1571=E1570,F1571/F1570-1,"")</f>
        <v>0</v>
      </c>
    </row>
    <row r="1572" customFormat="false" ht="14.25" hidden="false" customHeight="true" outlineLevel="0" collapsed="false">
      <c r="A1572" s="26" t="n">
        <v>23955</v>
      </c>
      <c r="B1572" s="1" t="n">
        <v>1965</v>
      </c>
      <c r="C1572" s="1" t="n">
        <v>8</v>
      </c>
      <c r="D1572" s="1" t="s">
        <v>49</v>
      </c>
      <c r="E1572" s="1" t="s">
        <v>14</v>
      </c>
      <c r="F1572" s="1" t="n">
        <v>35.31</v>
      </c>
      <c r="G1572" s="1" t="n">
        <f aca="false">IF(E1572=E1571,F1572/F1571-1,"")</f>
        <v>0</v>
      </c>
    </row>
    <row r="1573" customFormat="false" ht="14.25" hidden="false" customHeight="true" outlineLevel="0" collapsed="false">
      <c r="A1573" s="26" t="n">
        <v>23986</v>
      </c>
      <c r="B1573" s="1" t="n">
        <v>1965</v>
      </c>
      <c r="C1573" s="1" t="n">
        <v>9</v>
      </c>
      <c r="D1573" s="1" t="s">
        <v>50</v>
      </c>
      <c r="E1573" s="1" t="s">
        <v>14</v>
      </c>
      <c r="F1573" s="1" t="n">
        <v>35.31</v>
      </c>
      <c r="G1573" s="1" t="n">
        <f aca="false">IF(E1573=E1572,F1573/F1572-1,"")</f>
        <v>0</v>
      </c>
    </row>
    <row r="1574" customFormat="false" ht="14.25" hidden="false" customHeight="true" outlineLevel="0" collapsed="false">
      <c r="A1574" s="26" t="n">
        <v>24016</v>
      </c>
      <c r="B1574" s="1" t="n">
        <v>1965</v>
      </c>
      <c r="C1574" s="1" t="n">
        <v>10</v>
      </c>
      <c r="D1574" s="1" t="s">
        <v>51</v>
      </c>
      <c r="E1574" s="1" t="s">
        <v>14</v>
      </c>
      <c r="F1574" s="1" t="n">
        <v>35.31</v>
      </c>
      <c r="G1574" s="1" t="n">
        <f aca="false">IF(E1574=E1573,F1574/F1573-1,"")</f>
        <v>0</v>
      </c>
    </row>
    <row r="1575" customFormat="false" ht="14.25" hidden="false" customHeight="true" outlineLevel="0" collapsed="false">
      <c r="A1575" s="26" t="n">
        <v>24047</v>
      </c>
      <c r="B1575" s="1" t="n">
        <v>1965</v>
      </c>
      <c r="C1575" s="1" t="n">
        <v>11</v>
      </c>
      <c r="D1575" s="1" t="s">
        <v>52</v>
      </c>
      <c r="E1575" s="1" t="s">
        <v>14</v>
      </c>
      <c r="F1575" s="1" t="n">
        <v>35.31</v>
      </c>
      <c r="G1575" s="1" t="n">
        <f aca="false">IF(E1575=E1574,F1575/F1574-1,"")</f>
        <v>0</v>
      </c>
    </row>
    <row r="1576" customFormat="false" ht="14.25" hidden="false" customHeight="true" outlineLevel="0" collapsed="false">
      <c r="A1576" s="26" t="n">
        <v>24077</v>
      </c>
      <c r="B1576" s="1" t="n">
        <v>1965</v>
      </c>
      <c r="C1576" s="1" t="n">
        <v>12</v>
      </c>
      <c r="D1576" s="1" t="s">
        <v>53</v>
      </c>
      <c r="E1576" s="1" t="s">
        <v>14</v>
      </c>
      <c r="F1576" s="1" t="n">
        <v>35.31</v>
      </c>
      <c r="G1576" s="1" t="n">
        <f aca="false">IF(E1576=E1575,F1576/F1575-1,"")</f>
        <v>0</v>
      </c>
    </row>
    <row r="1577" customFormat="false" ht="14.25" hidden="false" customHeight="true" outlineLevel="0" collapsed="false">
      <c r="A1577" s="26" t="n">
        <v>24108</v>
      </c>
      <c r="B1577" s="1" t="n">
        <v>1966</v>
      </c>
      <c r="C1577" s="1" t="n">
        <v>1</v>
      </c>
      <c r="D1577" s="1" t="s">
        <v>42</v>
      </c>
      <c r="E1577" s="1" t="s">
        <v>14</v>
      </c>
      <c r="F1577" s="1" t="n">
        <v>35.31</v>
      </c>
      <c r="G1577" s="1" t="n">
        <f aca="false">IF(E1577=E1576,F1577/F1576-1,"")</f>
        <v>0</v>
      </c>
    </row>
    <row r="1578" customFormat="false" ht="14.25" hidden="false" customHeight="true" outlineLevel="0" collapsed="false">
      <c r="A1578" s="26" t="n">
        <v>24139</v>
      </c>
      <c r="B1578" s="1" t="n">
        <v>1966</v>
      </c>
      <c r="C1578" s="1" t="n">
        <v>2</v>
      </c>
      <c r="D1578" s="1" t="s">
        <v>43</v>
      </c>
      <c r="E1578" s="1" t="s">
        <v>14</v>
      </c>
      <c r="F1578" s="1" t="n">
        <v>35.31</v>
      </c>
      <c r="G1578" s="1" t="n">
        <f aca="false">IF(E1578=E1577,F1578/F1577-1,"")</f>
        <v>0</v>
      </c>
    </row>
    <row r="1579" customFormat="false" ht="14.25" hidden="false" customHeight="true" outlineLevel="0" collapsed="false">
      <c r="A1579" s="26" t="n">
        <v>24167</v>
      </c>
      <c r="B1579" s="1" t="n">
        <v>1966</v>
      </c>
      <c r="C1579" s="1" t="n">
        <v>3</v>
      </c>
      <c r="D1579" s="1" t="s">
        <v>44</v>
      </c>
      <c r="E1579" s="1" t="s">
        <v>14</v>
      </c>
      <c r="F1579" s="1" t="n">
        <v>35.31</v>
      </c>
      <c r="G1579" s="1" t="n">
        <f aca="false">IF(E1579=E1578,F1579/F1578-1,"")</f>
        <v>0</v>
      </c>
    </row>
    <row r="1580" customFormat="false" ht="14.25" hidden="false" customHeight="true" outlineLevel="0" collapsed="false">
      <c r="A1580" s="26" t="n">
        <v>24198</v>
      </c>
      <c r="B1580" s="1" t="n">
        <v>1966</v>
      </c>
      <c r="C1580" s="1" t="n">
        <v>4</v>
      </c>
      <c r="D1580" s="1" t="s">
        <v>45</v>
      </c>
      <c r="E1580" s="1" t="s">
        <v>14</v>
      </c>
      <c r="F1580" s="1" t="n">
        <v>35.31</v>
      </c>
      <c r="G1580" s="1" t="n">
        <f aca="false">IF(E1580=E1579,F1580/F1579-1,"")</f>
        <v>0</v>
      </c>
    </row>
    <row r="1581" customFormat="false" ht="14.25" hidden="false" customHeight="true" outlineLevel="0" collapsed="false">
      <c r="A1581" s="26" t="n">
        <v>24228</v>
      </c>
      <c r="B1581" s="1" t="n">
        <v>1966</v>
      </c>
      <c r="C1581" s="1" t="n">
        <v>5</v>
      </c>
      <c r="D1581" s="1" t="s">
        <v>46</v>
      </c>
      <c r="E1581" s="1" t="s">
        <v>14</v>
      </c>
      <c r="F1581" s="1" t="n">
        <v>35.31</v>
      </c>
      <c r="G1581" s="1" t="n">
        <f aca="false">IF(E1581=E1580,F1581/F1580-1,"")</f>
        <v>0</v>
      </c>
    </row>
    <row r="1582" customFormat="false" ht="14.25" hidden="false" customHeight="true" outlineLevel="0" collapsed="false">
      <c r="A1582" s="26" t="n">
        <v>24259</v>
      </c>
      <c r="B1582" s="1" t="n">
        <v>1966</v>
      </c>
      <c r="C1582" s="1" t="n">
        <v>6</v>
      </c>
      <c r="D1582" s="1" t="s">
        <v>47</v>
      </c>
      <c r="E1582" s="1" t="s">
        <v>14</v>
      </c>
      <c r="F1582" s="1" t="n">
        <v>35.31</v>
      </c>
      <c r="G1582" s="1" t="n">
        <f aca="false">IF(E1582=E1581,F1582/F1581-1,"")</f>
        <v>0</v>
      </c>
    </row>
    <row r="1583" customFormat="false" ht="14.25" hidden="false" customHeight="true" outlineLevel="0" collapsed="false">
      <c r="A1583" s="26" t="n">
        <v>24289</v>
      </c>
      <c r="B1583" s="1" t="n">
        <v>1966</v>
      </c>
      <c r="C1583" s="1" t="n">
        <v>7</v>
      </c>
      <c r="D1583" s="1" t="s">
        <v>48</v>
      </c>
      <c r="E1583" s="1" t="s">
        <v>14</v>
      </c>
      <c r="F1583" s="1" t="n">
        <v>35.31</v>
      </c>
      <c r="G1583" s="1" t="n">
        <f aca="false">IF(E1583=E1582,F1583/F1582-1,"")</f>
        <v>0</v>
      </c>
    </row>
    <row r="1584" customFormat="false" ht="14.25" hidden="false" customHeight="true" outlineLevel="0" collapsed="false">
      <c r="A1584" s="26" t="n">
        <v>24320</v>
      </c>
      <c r="B1584" s="1" t="n">
        <v>1966</v>
      </c>
      <c r="C1584" s="1" t="n">
        <v>8</v>
      </c>
      <c r="D1584" s="1" t="s">
        <v>49</v>
      </c>
      <c r="E1584" s="1" t="s">
        <v>14</v>
      </c>
      <c r="F1584" s="1" t="n">
        <v>35.31</v>
      </c>
      <c r="G1584" s="1" t="n">
        <f aca="false">IF(E1584=E1583,F1584/F1583-1,"")</f>
        <v>0</v>
      </c>
    </row>
    <row r="1585" customFormat="false" ht="14.25" hidden="false" customHeight="true" outlineLevel="0" collapsed="false">
      <c r="A1585" s="26" t="n">
        <v>24351</v>
      </c>
      <c r="B1585" s="1" t="n">
        <v>1966</v>
      </c>
      <c r="C1585" s="1" t="n">
        <v>9</v>
      </c>
      <c r="D1585" s="1" t="s">
        <v>50</v>
      </c>
      <c r="E1585" s="1" t="s">
        <v>14</v>
      </c>
      <c r="F1585" s="1" t="n">
        <v>35.31</v>
      </c>
      <c r="G1585" s="1" t="n">
        <f aca="false">IF(E1585=E1584,F1585/F1584-1,"")</f>
        <v>0</v>
      </c>
    </row>
    <row r="1586" customFormat="false" ht="14.25" hidden="false" customHeight="true" outlineLevel="0" collapsed="false">
      <c r="A1586" s="26" t="n">
        <v>24381</v>
      </c>
      <c r="B1586" s="1" t="n">
        <v>1966</v>
      </c>
      <c r="C1586" s="1" t="n">
        <v>10</v>
      </c>
      <c r="D1586" s="1" t="s">
        <v>51</v>
      </c>
      <c r="E1586" s="1" t="s">
        <v>14</v>
      </c>
      <c r="F1586" s="1" t="n">
        <v>35.31</v>
      </c>
      <c r="G1586" s="1" t="n">
        <f aca="false">IF(E1586=E1585,F1586/F1585-1,"")</f>
        <v>0</v>
      </c>
    </row>
    <row r="1587" customFormat="false" ht="14.25" hidden="false" customHeight="true" outlineLevel="0" collapsed="false">
      <c r="A1587" s="26" t="n">
        <v>24412</v>
      </c>
      <c r="B1587" s="1" t="n">
        <v>1966</v>
      </c>
      <c r="C1587" s="1" t="n">
        <v>11</v>
      </c>
      <c r="D1587" s="1" t="s">
        <v>52</v>
      </c>
      <c r="E1587" s="1" t="s">
        <v>14</v>
      </c>
      <c r="F1587" s="1" t="n">
        <v>35.31</v>
      </c>
      <c r="G1587" s="1" t="n">
        <f aca="false">IF(E1587=E1586,F1587/F1586-1,"")</f>
        <v>0</v>
      </c>
    </row>
    <row r="1588" customFormat="false" ht="14.25" hidden="false" customHeight="true" outlineLevel="0" collapsed="false">
      <c r="A1588" s="26" t="n">
        <v>24442</v>
      </c>
      <c r="B1588" s="1" t="n">
        <v>1966</v>
      </c>
      <c r="C1588" s="1" t="n">
        <v>12</v>
      </c>
      <c r="D1588" s="1" t="s">
        <v>53</v>
      </c>
      <c r="E1588" s="1" t="s">
        <v>14</v>
      </c>
      <c r="F1588" s="1" t="n">
        <v>35.31</v>
      </c>
      <c r="G1588" s="1" t="n">
        <f aca="false">IF(E1588=E1587,F1588/F1587-1,"")</f>
        <v>0</v>
      </c>
    </row>
    <row r="1589" customFormat="false" ht="14.25" hidden="false" customHeight="true" outlineLevel="0" collapsed="false">
      <c r="A1589" s="26" t="n">
        <v>24473</v>
      </c>
      <c r="B1589" s="1" t="n">
        <v>1967</v>
      </c>
      <c r="C1589" s="1" t="n">
        <v>1</v>
      </c>
      <c r="D1589" s="1" t="s">
        <v>42</v>
      </c>
      <c r="E1589" s="1" t="s">
        <v>14</v>
      </c>
      <c r="F1589" s="1" t="n">
        <v>35.31</v>
      </c>
      <c r="G1589" s="1" t="n">
        <f aca="false">IF(E1589=E1588,F1589/F1588-1,"")</f>
        <v>0</v>
      </c>
    </row>
    <row r="1590" customFormat="false" ht="14.25" hidden="false" customHeight="true" outlineLevel="0" collapsed="false">
      <c r="A1590" s="26" t="n">
        <v>24504</v>
      </c>
      <c r="B1590" s="1" t="n">
        <v>1967</v>
      </c>
      <c r="C1590" s="1" t="n">
        <v>2</v>
      </c>
      <c r="D1590" s="1" t="s">
        <v>43</v>
      </c>
      <c r="E1590" s="1" t="s">
        <v>14</v>
      </c>
      <c r="F1590" s="1" t="n">
        <v>35.31</v>
      </c>
      <c r="G1590" s="1" t="n">
        <f aca="false">IF(E1590=E1589,F1590/F1589-1,"")</f>
        <v>0</v>
      </c>
    </row>
    <row r="1591" customFormat="false" ht="14.25" hidden="false" customHeight="true" outlineLevel="0" collapsed="false">
      <c r="A1591" s="26" t="n">
        <v>24532</v>
      </c>
      <c r="B1591" s="1" t="n">
        <v>1967</v>
      </c>
      <c r="C1591" s="1" t="n">
        <v>3</v>
      </c>
      <c r="D1591" s="1" t="s">
        <v>44</v>
      </c>
      <c r="E1591" s="1" t="s">
        <v>14</v>
      </c>
      <c r="F1591" s="1" t="n">
        <v>35.31</v>
      </c>
      <c r="G1591" s="1" t="n">
        <f aca="false">IF(E1591=E1590,F1591/F1590-1,"")</f>
        <v>0</v>
      </c>
    </row>
    <row r="1592" customFormat="false" ht="14.25" hidden="false" customHeight="true" outlineLevel="0" collapsed="false">
      <c r="A1592" s="26" t="n">
        <v>24563</v>
      </c>
      <c r="B1592" s="1" t="n">
        <v>1967</v>
      </c>
      <c r="C1592" s="1" t="n">
        <v>4</v>
      </c>
      <c r="D1592" s="1" t="s">
        <v>45</v>
      </c>
      <c r="E1592" s="1" t="s">
        <v>14</v>
      </c>
      <c r="F1592" s="1" t="n">
        <v>35.31</v>
      </c>
      <c r="G1592" s="1" t="n">
        <f aca="false">IF(E1592=E1591,F1592/F1591-1,"")</f>
        <v>0</v>
      </c>
    </row>
    <row r="1593" customFormat="false" ht="14.25" hidden="false" customHeight="true" outlineLevel="0" collapsed="false">
      <c r="A1593" s="26" t="n">
        <v>24593</v>
      </c>
      <c r="B1593" s="1" t="n">
        <v>1967</v>
      </c>
      <c r="C1593" s="1" t="n">
        <v>5</v>
      </c>
      <c r="D1593" s="1" t="s">
        <v>46</v>
      </c>
      <c r="E1593" s="1" t="s">
        <v>14</v>
      </c>
      <c r="F1593" s="1" t="n">
        <v>35.31</v>
      </c>
      <c r="G1593" s="1" t="n">
        <f aca="false">IF(E1593=E1592,F1593/F1592-1,"")</f>
        <v>0</v>
      </c>
    </row>
    <row r="1594" customFormat="false" ht="14.25" hidden="false" customHeight="true" outlineLevel="0" collapsed="false">
      <c r="A1594" s="26" t="n">
        <v>24624</v>
      </c>
      <c r="B1594" s="1" t="n">
        <v>1967</v>
      </c>
      <c r="C1594" s="1" t="n">
        <v>6</v>
      </c>
      <c r="D1594" s="1" t="s">
        <v>47</v>
      </c>
      <c r="E1594" s="1" t="s">
        <v>14</v>
      </c>
      <c r="F1594" s="1" t="n">
        <v>35.31</v>
      </c>
      <c r="G1594" s="1" t="n">
        <f aca="false">IF(E1594=E1593,F1594/F1593-1,"")</f>
        <v>0</v>
      </c>
    </row>
    <row r="1595" customFormat="false" ht="14.25" hidden="false" customHeight="true" outlineLevel="0" collapsed="false">
      <c r="A1595" s="26" t="n">
        <v>24654</v>
      </c>
      <c r="B1595" s="1" t="n">
        <v>1967</v>
      </c>
      <c r="C1595" s="1" t="n">
        <v>7</v>
      </c>
      <c r="D1595" s="1" t="s">
        <v>48</v>
      </c>
      <c r="E1595" s="1" t="s">
        <v>14</v>
      </c>
      <c r="F1595" s="1" t="n">
        <v>35.31</v>
      </c>
      <c r="G1595" s="1" t="n">
        <f aca="false">IF(E1595=E1594,F1595/F1594-1,"")</f>
        <v>0</v>
      </c>
    </row>
    <row r="1596" customFormat="false" ht="14.25" hidden="false" customHeight="true" outlineLevel="0" collapsed="false">
      <c r="A1596" s="26" t="n">
        <v>24685</v>
      </c>
      <c r="B1596" s="1" t="n">
        <v>1967</v>
      </c>
      <c r="C1596" s="1" t="n">
        <v>8</v>
      </c>
      <c r="D1596" s="1" t="s">
        <v>49</v>
      </c>
      <c r="E1596" s="1" t="s">
        <v>14</v>
      </c>
      <c r="F1596" s="1" t="n">
        <v>35.31</v>
      </c>
      <c r="G1596" s="1" t="n">
        <f aca="false">IF(E1596=E1595,F1596/F1595-1,"")</f>
        <v>0</v>
      </c>
    </row>
    <row r="1597" customFormat="false" ht="14.25" hidden="false" customHeight="true" outlineLevel="0" collapsed="false">
      <c r="A1597" s="26" t="n">
        <v>24716</v>
      </c>
      <c r="B1597" s="1" t="n">
        <v>1967</v>
      </c>
      <c r="C1597" s="1" t="n">
        <v>9</v>
      </c>
      <c r="D1597" s="1" t="s">
        <v>50</v>
      </c>
      <c r="E1597" s="1" t="s">
        <v>14</v>
      </c>
      <c r="F1597" s="1" t="n">
        <v>35.31</v>
      </c>
      <c r="G1597" s="1" t="n">
        <f aca="false">IF(E1597=E1596,F1597/F1596-1,"")</f>
        <v>0</v>
      </c>
    </row>
    <row r="1598" customFormat="false" ht="14.25" hidden="false" customHeight="true" outlineLevel="0" collapsed="false">
      <c r="A1598" s="26" t="n">
        <v>24746</v>
      </c>
      <c r="B1598" s="1" t="n">
        <v>1967</v>
      </c>
      <c r="C1598" s="1" t="n">
        <v>10</v>
      </c>
      <c r="D1598" s="1" t="s">
        <v>51</v>
      </c>
      <c r="E1598" s="1" t="s">
        <v>14</v>
      </c>
      <c r="F1598" s="1" t="n">
        <v>35.31</v>
      </c>
      <c r="G1598" s="1" t="n">
        <f aca="false">IF(E1598=E1597,F1598/F1597-1,"")</f>
        <v>0</v>
      </c>
    </row>
    <row r="1599" customFormat="false" ht="14.25" hidden="false" customHeight="true" outlineLevel="0" collapsed="false">
      <c r="A1599" s="26" t="n">
        <v>24777</v>
      </c>
      <c r="B1599" s="1" t="n">
        <v>1967</v>
      </c>
      <c r="C1599" s="1" t="n">
        <v>11</v>
      </c>
      <c r="D1599" s="1" t="s">
        <v>52</v>
      </c>
      <c r="E1599" s="1" t="s">
        <v>14</v>
      </c>
      <c r="F1599" s="1" t="n">
        <v>35.31</v>
      </c>
      <c r="G1599" s="1" t="n">
        <f aca="false">IF(E1599=E1598,F1599/F1598-1,"")</f>
        <v>0</v>
      </c>
    </row>
    <row r="1600" customFormat="false" ht="14.25" hidden="false" customHeight="true" outlineLevel="0" collapsed="false">
      <c r="A1600" s="26" t="n">
        <v>24807</v>
      </c>
      <c r="B1600" s="1" t="n">
        <v>1967</v>
      </c>
      <c r="C1600" s="1" t="n">
        <v>12</v>
      </c>
      <c r="D1600" s="1" t="s">
        <v>53</v>
      </c>
      <c r="E1600" s="1" t="s">
        <v>14</v>
      </c>
      <c r="F1600" s="1" t="n">
        <v>35.31</v>
      </c>
      <c r="G1600" s="1" t="n">
        <f aca="false">IF(E1600=E1599,F1600/F1599-1,"")</f>
        <v>0</v>
      </c>
    </row>
    <row r="1601" customFormat="false" ht="14.25" hidden="false" customHeight="true" outlineLevel="0" collapsed="false">
      <c r="A1601" s="26" t="n">
        <v>24838</v>
      </c>
      <c r="B1601" s="1" t="n">
        <v>1968</v>
      </c>
      <c r="C1601" s="1" t="n">
        <v>1</v>
      </c>
      <c r="D1601" s="1" t="s">
        <v>42</v>
      </c>
      <c r="E1601" s="1" t="s">
        <v>14</v>
      </c>
      <c r="F1601" s="1" t="n">
        <v>40.31</v>
      </c>
      <c r="G1601" s="1" t="n">
        <f aca="false">IF(E1601=E1600,F1601/F1600-1,"")</f>
        <v>0.141602945341263</v>
      </c>
    </row>
    <row r="1602" customFormat="false" ht="14.25" hidden="false" customHeight="true" outlineLevel="0" collapsed="false">
      <c r="A1602" s="26" t="n">
        <v>24869</v>
      </c>
      <c r="B1602" s="1" t="n">
        <v>1968</v>
      </c>
      <c r="C1602" s="1" t="n">
        <v>2</v>
      </c>
      <c r="D1602" s="1" t="s">
        <v>43</v>
      </c>
      <c r="E1602" s="1" t="s">
        <v>14</v>
      </c>
      <c r="F1602" s="1" t="n">
        <v>40.31</v>
      </c>
      <c r="G1602" s="1" t="n">
        <f aca="false">IF(E1602=E1601,F1602/F1601-1,"")</f>
        <v>0</v>
      </c>
    </row>
    <row r="1603" customFormat="false" ht="14.25" hidden="false" customHeight="true" outlineLevel="0" collapsed="false">
      <c r="A1603" s="26" t="n">
        <v>24898</v>
      </c>
      <c r="B1603" s="1" t="n">
        <v>1968</v>
      </c>
      <c r="C1603" s="1" t="n">
        <v>3</v>
      </c>
      <c r="D1603" s="1" t="s">
        <v>44</v>
      </c>
      <c r="E1603" s="1" t="s">
        <v>14</v>
      </c>
      <c r="F1603" s="1" t="n">
        <v>40.31</v>
      </c>
      <c r="G1603" s="1" t="n">
        <f aca="false">IF(E1603=E1602,F1603/F1602-1,"")</f>
        <v>0</v>
      </c>
    </row>
    <row r="1604" customFormat="false" ht="14.25" hidden="false" customHeight="true" outlineLevel="0" collapsed="false">
      <c r="A1604" s="26" t="n">
        <v>24929</v>
      </c>
      <c r="B1604" s="1" t="n">
        <v>1968</v>
      </c>
      <c r="C1604" s="1" t="n">
        <v>4</v>
      </c>
      <c r="D1604" s="1" t="s">
        <v>45</v>
      </c>
      <c r="E1604" s="1" t="s">
        <v>14</v>
      </c>
      <c r="F1604" s="1" t="n">
        <v>39.1</v>
      </c>
      <c r="G1604" s="1" t="n">
        <f aca="false">IF(E1604=E1603,F1604/F1603-1,"")</f>
        <v>-0.0300173654180105</v>
      </c>
    </row>
    <row r="1605" customFormat="false" ht="14.25" hidden="false" customHeight="true" outlineLevel="0" collapsed="false">
      <c r="A1605" s="26" t="n">
        <v>24959</v>
      </c>
      <c r="B1605" s="1" t="n">
        <v>1968</v>
      </c>
      <c r="C1605" s="1" t="n">
        <v>5</v>
      </c>
      <c r="D1605" s="1" t="s">
        <v>46</v>
      </c>
      <c r="E1605" s="1" t="s">
        <v>14</v>
      </c>
      <c r="F1605" s="1" t="n">
        <v>42</v>
      </c>
      <c r="G1605" s="1" t="n">
        <f aca="false">IF(E1605=E1604,F1605/F1604-1,"")</f>
        <v>0.0741687979539643</v>
      </c>
    </row>
    <row r="1606" customFormat="false" ht="14.25" hidden="false" customHeight="true" outlineLevel="0" collapsed="false">
      <c r="A1606" s="26" t="n">
        <v>24990</v>
      </c>
      <c r="B1606" s="1" t="n">
        <v>1968</v>
      </c>
      <c r="C1606" s="1" t="n">
        <v>6</v>
      </c>
      <c r="D1606" s="1" t="s">
        <v>47</v>
      </c>
      <c r="E1606" s="1" t="s">
        <v>14</v>
      </c>
      <c r="F1606" s="1" t="n">
        <v>40.95</v>
      </c>
      <c r="G1606" s="1" t="n">
        <f aca="false">IF(E1606=E1605,F1606/F1605-1,"")</f>
        <v>-0.0249999999999999</v>
      </c>
    </row>
    <row r="1607" customFormat="false" ht="14.25" hidden="false" customHeight="true" outlineLevel="0" collapsed="false">
      <c r="A1607" s="26" t="n">
        <v>25020</v>
      </c>
      <c r="B1607" s="1" t="n">
        <v>1968</v>
      </c>
      <c r="C1607" s="1" t="n">
        <v>7</v>
      </c>
      <c r="D1607" s="1" t="s">
        <v>48</v>
      </c>
      <c r="E1607" s="1" t="s">
        <v>14</v>
      </c>
      <c r="F1607" s="1" t="n">
        <v>38.9</v>
      </c>
      <c r="G1607" s="1" t="n">
        <f aca="false">IF(E1607=E1606,F1607/F1606-1,"")</f>
        <v>-0.0500610500610502</v>
      </c>
    </row>
    <row r="1608" customFormat="false" ht="14.25" hidden="false" customHeight="true" outlineLevel="0" collapsed="false">
      <c r="A1608" s="26" t="n">
        <v>25051</v>
      </c>
      <c r="B1608" s="1" t="n">
        <v>1968</v>
      </c>
      <c r="C1608" s="1" t="n">
        <v>8</v>
      </c>
      <c r="D1608" s="1" t="s">
        <v>49</v>
      </c>
      <c r="E1608" s="1" t="s">
        <v>14</v>
      </c>
      <c r="F1608" s="1" t="n">
        <v>39.85</v>
      </c>
      <c r="G1608" s="1" t="n">
        <f aca="false">IF(E1608=E1607,F1608/F1607-1,"")</f>
        <v>0.0244215938303343</v>
      </c>
    </row>
    <row r="1609" customFormat="false" ht="14.25" hidden="false" customHeight="true" outlineLevel="0" collapsed="false">
      <c r="A1609" s="26" t="n">
        <v>25082</v>
      </c>
      <c r="B1609" s="1" t="n">
        <v>1968</v>
      </c>
      <c r="C1609" s="1" t="n">
        <v>9</v>
      </c>
      <c r="D1609" s="1" t="s">
        <v>50</v>
      </c>
      <c r="E1609" s="1" t="s">
        <v>14</v>
      </c>
      <c r="F1609" s="1" t="n">
        <v>39.7</v>
      </c>
      <c r="G1609" s="1" t="n">
        <f aca="false">IF(E1609=E1608,F1609/F1608-1,"")</f>
        <v>-0.00376411543287325</v>
      </c>
    </row>
    <row r="1610" customFormat="false" ht="14.25" hidden="false" customHeight="true" outlineLevel="0" collapsed="false">
      <c r="A1610" s="26" t="n">
        <v>25112</v>
      </c>
      <c r="B1610" s="1" t="n">
        <v>1968</v>
      </c>
      <c r="C1610" s="1" t="n">
        <v>10</v>
      </c>
      <c r="D1610" s="1" t="s">
        <v>51</v>
      </c>
      <c r="E1610" s="1" t="s">
        <v>14</v>
      </c>
      <c r="F1610" s="1" t="n">
        <v>39.2</v>
      </c>
      <c r="G1610" s="1" t="n">
        <f aca="false">IF(E1610=E1609,F1610/F1609-1,"")</f>
        <v>-0.0125944584382871</v>
      </c>
    </row>
    <row r="1611" customFormat="false" ht="14.25" hidden="false" customHeight="true" outlineLevel="0" collapsed="false">
      <c r="A1611" s="26" t="n">
        <v>25143</v>
      </c>
      <c r="B1611" s="1" t="n">
        <v>1968</v>
      </c>
      <c r="C1611" s="1" t="n">
        <v>11</v>
      </c>
      <c r="D1611" s="1" t="s">
        <v>52</v>
      </c>
      <c r="E1611" s="1" t="s">
        <v>14</v>
      </c>
      <c r="F1611" s="1" t="n">
        <v>39.85</v>
      </c>
      <c r="G1611" s="1" t="n">
        <f aca="false">IF(E1611=E1610,F1611/F1610-1,"")</f>
        <v>0.0165816326530612</v>
      </c>
    </row>
    <row r="1612" customFormat="false" ht="14.25" hidden="false" customHeight="true" outlineLevel="0" collapsed="false">
      <c r="A1612" s="26" t="n">
        <v>25173</v>
      </c>
      <c r="B1612" s="1" t="n">
        <v>1968</v>
      </c>
      <c r="C1612" s="1" t="n">
        <v>12</v>
      </c>
      <c r="D1612" s="1" t="s">
        <v>53</v>
      </c>
      <c r="E1612" s="1" t="s">
        <v>14</v>
      </c>
      <c r="F1612" s="1" t="n">
        <v>41.95</v>
      </c>
      <c r="G1612" s="1" t="n">
        <f aca="false">IF(E1612=E1611,F1612/F1611-1,"")</f>
        <v>0.0526976160602259</v>
      </c>
    </row>
    <row r="1613" customFormat="false" ht="14.25" hidden="false" customHeight="true" outlineLevel="0" collapsed="false">
      <c r="A1613" s="26" t="n">
        <v>25204</v>
      </c>
      <c r="B1613" s="1" t="n">
        <v>1969</v>
      </c>
      <c r="C1613" s="1" t="n">
        <v>1</v>
      </c>
      <c r="D1613" s="1" t="s">
        <v>42</v>
      </c>
      <c r="E1613" s="1" t="s">
        <v>14</v>
      </c>
      <c r="F1613" s="1" t="n">
        <v>42.55</v>
      </c>
      <c r="G1613" s="1" t="n">
        <f aca="false">IF(E1613=E1612,F1613/F1612-1,"")</f>
        <v>0.0143027413587602</v>
      </c>
    </row>
    <row r="1614" customFormat="false" ht="14.25" hidden="false" customHeight="true" outlineLevel="0" collapsed="false">
      <c r="A1614" s="26" t="n">
        <v>25235</v>
      </c>
      <c r="B1614" s="1" t="n">
        <v>1969</v>
      </c>
      <c r="C1614" s="1" t="n">
        <v>2</v>
      </c>
      <c r="D1614" s="1" t="s">
        <v>43</v>
      </c>
      <c r="E1614" s="1" t="s">
        <v>14</v>
      </c>
      <c r="F1614" s="1" t="n">
        <v>42.78</v>
      </c>
      <c r="G1614" s="1" t="n">
        <f aca="false">IF(E1614=E1613,F1614/F1613-1,"")</f>
        <v>0.00540540540540557</v>
      </c>
    </row>
    <row r="1615" customFormat="false" ht="14.25" hidden="false" customHeight="true" outlineLevel="0" collapsed="false">
      <c r="A1615" s="26" t="n">
        <v>25263</v>
      </c>
      <c r="B1615" s="1" t="n">
        <v>1969</v>
      </c>
      <c r="C1615" s="1" t="n">
        <v>3</v>
      </c>
      <c r="D1615" s="1" t="s">
        <v>44</v>
      </c>
      <c r="E1615" s="1" t="s">
        <v>14</v>
      </c>
      <c r="F1615" s="1" t="n">
        <v>43.1</v>
      </c>
      <c r="G1615" s="1" t="n">
        <f aca="false">IF(E1615=E1614,F1615/F1614-1,"")</f>
        <v>0.00748013090229072</v>
      </c>
    </row>
    <row r="1616" customFormat="false" ht="14.25" hidden="false" customHeight="true" outlineLevel="0" collapsed="false">
      <c r="A1616" s="26" t="n">
        <v>25294</v>
      </c>
      <c r="B1616" s="1" t="n">
        <v>1969</v>
      </c>
      <c r="C1616" s="1" t="n">
        <v>4</v>
      </c>
      <c r="D1616" s="1" t="s">
        <v>45</v>
      </c>
      <c r="E1616" s="1" t="s">
        <v>14</v>
      </c>
      <c r="F1616" s="1" t="n">
        <v>43.6</v>
      </c>
      <c r="G1616" s="1" t="n">
        <f aca="false">IF(E1616=E1615,F1616/F1615-1,"")</f>
        <v>0.011600928074246</v>
      </c>
    </row>
    <row r="1617" customFormat="false" ht="14.25" hidden="false" customHeight="true" outlineLevel="0" collapsed="false">
      <c r="A1617" s="26" t="n">
        <v>25324</v>
      </c>
      <c r="B1617" s="1" t="n">
        <v>1969</v>
      </c>
      <c r="C1617" s="1" t="n">
        <v>5</v>
      </c>
      <c r="D1617" s="1" t="s">
        <v>46</v>
      </c>
      <c r="E1617" s="1" t="s">
        <v>14</v>
      </c>
      <c r="F1617" s="1" t="n">
        <v>43.15</v>
      </c>
      <c r="G1617" s="1" t="n">
        <f aca="false">IF(E1617=E1616,F1617/F1616-1,"")</f>
        <v>-0.0103211009174312</v>
      </c>
    </row>
    <row r="1618" customFormat="false" ht="14.25" hidden="false" customHeight="true" outlineLevel="0" collapsed="false">
      <c r="A1618" s="26" t="n">
        <v>25355</v>
      </c>
      <c r="B1618" s="1" t="n">
        <v>1969</v>
      </c>
      <c r="C1618" s="1" t="n">
        <v>6</v>
      </c>
      <c r="D1618" s="1" t="s">
        <v>47</v>
      </c>
      <c r="E1618" s="1" t="s">
        <v>14</v>
      </c>
      <c r="F1618" s="1" t="n">
        <v>41.23</v>
      </c>
      <c r="G1618" s="1" t="n">
        <f aca="false">IF(E1618=E1617,F1618/F1617-1,"")</f>
        <v>-0.0444959443800695</v>
      </c>
    </row>
    <row r="1619" customFormat="false" ht="14.25" hidden="false" customHeight="true" outlineLevel="0" collapsed="false">
      <c r="A1619" s="26" t="n">
        <v>25385</v>
      </c>
      <c r="B1619" s="1" t="n">
        <v>1969</v>
      </c>
      <c r="C1619" s="1" t="n">
        <v>7</v>
      </c>
      <c r="D1619" s="1" t="s">
        <v>48</v>
      </c>
      <c r="E1619" s="1" t="s">
        <v>14</v>
      </c>
      <c r="F1619" s="1" t="n">
        <v>41.45</v>
      </c>
      <c r="G1619" s="1" t="n">
        <f aca="false">IF(E1619=E1618,F1619/F1618-1,"")</f>
        <v>0.00533592044627707</v>
      </c>
    </row>
    <row r="1620" customFormat="false" ht="14.25" hidden="false" customHeight="true" outlineLevel="0" collapsed="false">
      <c r="A1620" s="26" t="n">
        <v>25416</v>
      </c>
      <c r="B1620" s="1" t="n">
        <v>1969</v>
      </c>
      <c r="C1620" s="1" t="n">
        <v>8</v>
      </c>
      <c r="D1620" s="1" t="s">
        <v>49</v>
      </c>
      <c r="E1620" s="1" t="s">
        <v>14</v>
      </c>
      <c r="F1620" s="1" t="n">
        <v>40.95</v>
      </c>
      <c r="G1620" s="1" t="n">
        <f aca="false">IF(E1620=E1619,F1620/F1619-1,"")</f>
        <v>-0.0120627261761158</v>
      </c>
    </row>
    <row r="1621" customFormat="false" ht="14.25" hidden="false" customHeight="true" outlineLevel="0" collapsed="false">
      <c r="A1621" s="26" t="n">
        <v>25447</v>
      </c>
      <c r="B1621" s="1" t="n">
        <v>1969</v>
      </c>
      <c r="C1621" s="1" t="n">
        <v>9</v>
      </c>
      <c r="D1621" s="1" t="s">
        <v>50</v>
      </c>
      <c r="E1621" s="1" t="s">
        <v>14</v>
      </c>
      <c r="F1621" s="1" t="n">
        <v>40.65</v>
      </c>
      <c r="G1621" s="1" t="n">
        <f aca="false">IF(E1621=E1620,F1621/F1620-1,"")</f>
        <v>-0.00732600732600741</v>
      </c>
    </row>
    <row r="1622" customFormat="false" ht="14.25" hidden="false" customHeight="true" outlineLevel="0" collapsed="false">
      <c r="A1622" s="26" t="n">
        <v>25477</v>
      </c>
      <c r="B1622" s="1" t="n">
        <v>1969</v>
      </c>
      <c r="C1622" s="1" t="n">
        <v>10</v>
      </c>
      <c r="D1622" s="1" t="s">
        <v>51</v>
      </c>
      <c r="E1622" s="1" t="s">
        <v>14</v>
      </c>
      <c r="F1622" s="1" t="n">
        <v>39.85</v>
      </c>
      <c r="G1622" s="1" t="n">
        <f aca="false">IF(E1622=E1621,F1622/F1621-1,"")</f>
        <v>-0.019680196801968</v>
      </c>
    </row>
    <row r="1623" customFormat="false" ht="14.25" hidden="false" customHeight="true" outlineLevel="0" collapsed="false">
      <c r="A1623" s="26" t="n">
        <v>25508</v>
      </c>
      <c r="B1623" s="1" t="n">
        <v>1969</v>
      </c>
      <c r="C1623" s="1" t="n">
        <v>11</v>
      </c>
      <c r="D1623" s="1" t="s">
        <v>52</v>
      </c>
      <c r="E1623" s="1" t="s">
        <v>14</v>
      </c>
      <c r="F1623" s="1" t="n">
        <v>35.55</v>
      </c>
      <c r="G1623" s="1" t="n">
        <f aca="false">IF(E1623=E1622,F1623/F1622-1,"")</f>
        <v>-0.107904642409034</v>
      </c>
    </row>
    <row r="1624" customFormat="false" ht="14.25" hidden="false" customHeight="true" outlineLevel="0" collapsed="false">
      <c r="A1624" s="26" t="n">
        <v>25538</v>
      </c>
      <c r="B1624" s="1" t="n">
        <v>1969</v>
      </c>
      <c r="C1624" s="1" t="n">
        <v>12</v>
      </c>
      <c r="D1624" s="1" t="s">
        <v>53</v>
      </c>
      <c r="E1624" s="1" t="s">
        <v>14</v>
      </c>
      <c r="F1624" s="1" t="n">
        <v>35.21</v>
      </c>
      <c r="G1624" s="1" t="n">
        <f aca="false">IF(E1624=E1623,F1624/F1623-1,"")</f>
        <v>-0.00956399437412081</v>
      </c>
    </row>
    <row r="1625" customFormat="false" ht="14.25" hidden="false" customHeight="true" outlineLevel="0" collapsed="false">
      <c r="A1625" s="26" t="n">
        <v>25569</v>
      </c>
      <c r="B1625" s="1" t="n">
        <v>1970</v>
      </c>
      <c r="C1625" s="1" t="n">
        <v>1</v>
      </c>
      <c r="D1625" s="1" t="s">
        <v>42</v>
      </c>
      <c r="E1625" s="1" t="s">
        <v>14</v>
      </c>
      <c r="F1625" s="1" t="n">
        <v>34.98</v>
      </c>
      <c r="G1625" s="1" t="n">
        <f aca="false">IF(E1625=E1624,F1625/F1624-1,"")</f>
        <v>-0.00653223516046586</v>
      </c>
    </row>
    <row r="1626" customFormat="false" ht="14.25" hidden="false" customHeight="true" outlineLevel="0" collapsed="false">
      <c r="A1626" s="26" t="n">
        <v>25600</v>
      </c>
      <c r="B1626" s="1" t="n">
        <v>1970</v>
      </c>
      <c r="C1626" s="1" t="n">
        <v>2</v>
      </c>
      <c r="D1626" s="1" t="s">
        <v>43</v>
      </c>
      <c r="E1626" s="1" t="s">
        <v>14</v>
      </c>
      <c r="F1626" s="1" t="n">
        <v>35</v>
      </c>
      <c r="G1626" s="1" t="n">
        <f aca="false">IF(E1626=E1625,F1626/F1625-1,"")</f>
        <v>0.000571755288736542</v>
      </c>
    </row>
    <row r="1627" customFormat="false" ht="14.25" hidden="false" customHeight="true" outlineLevel="0" collapsed="false">
      <c r="A1627" s="26" t="n">
        <v>25628</v>
      </c>
      <c r="B1627" s="1" t="n">
        <v>1970</v>
      </c>
      <c r="C1627" s="1" t="n">
        <v>3</v>
      </c>
      <c r="D1627" s="1" t="s">
        <v>44</v>
      </c>
      <c r="E1627" s="1" t="s">
        <v>14</v>
      </c>
      <c r="F1627" s="1" t="n">
        <v>35.3</v>
      </c>
      <c r="G1627" s="1" t="n">
        <f aca="false">IF(E1627=E1626,F1627/F1626-1,"")</f>
        <v>0.00857142857142845</v>
      </c>
    </row>
    <row r="1628" customFormat="false" ht="14.25" hidden="false" customHeight="true" outlineLevel="0" collapsed="false">
      <c r="A1628" s="26" t="n">
        <v>25659</v>
      </c>
      <c r="B1628" s="1" t="n">
        <v>1970</v>
      </c>
      <c r="C1628" s="1" t="n">
        <v>4</v>
      </c>
      <c r="D1628" s="1" t="s">
        <v>45</v>
      </c>
      <c r="E1628" s="1" t="s">
        <v>14</v>
      </c>
      <c r="F1628" s="1" t="n">
        <v>35.85</v>
      </c>
      <c r="G1628" s="1" t="n">
        <f aca="false">IF(E1628=E1627,F1628/F1627-1,"")</f>
        <v>0.0155807365439096</v>
      </c>
    </row>
    <row r="1629" customFormat="false" ht="14.25" hidden="false" customHeight="true" outlineLevel="0" collapsed="false">
      <c r="A1629" s="26" t="n">
        <v>25689</v>
      </c>
      <c r="B1629" s="1" t="n">
        <v>1970</v>
      </c>
      <c r="C1629" s="1" t="n">
        <v>5</v>
      </c>
      <c r="D1629" s="1" t="s">
        <v>46</v>
      </c>
      <c r="E1629" s="1" t="s">
        <v>14</v>
      </c>
      <c r="F1629" s="1" t="n">
        <v>35.5</v>
      </c>
      <c r="G1629" s="1" t="n">
        <f aca="false">IF(E1629=E1628,F1629/F1628-1,"")</f>
        <v>-0.00976290097629018</v>
      </c>
    </row>
    <row r="1630" customFormat="false" ht="14.25" hidden="false" customHeight="true" outlineLevel="0" collapsed="false">
      <c r="A1630" s="26" t="n">
        <v>25720</v>
      </c>
      <c r="B1630" s="1" t="n">
        <v>1970</v>
      </c>
      <c r="C1630" s="1" t="n">
        <v>6</v>
      </c>
      <c r="D1630" s="1" t="s">
        <v>47</v>
      </c>
      <c r="E1630" s="1" t="s">
        <v>14</v>
      </c>
      <c r="F1630" s="1" t="n">
        <v>35.51</v>
      </c>
      <c r="G1630" s="1" t="n">
        <f aca="false">IF(E1630=E1629,F1630/F1629-1,"")</f>
        <v>0.000281690140845114</v>
      </c>
    </row>
    <row r="1631" customFormat="false" ht="14.25" hidden="false" customHeight="true" outlineLevel="0" collapsed="false">
      <c r="A1631" s="26" t="n">
        <v>25750</v>
      </c>
      <c r="B1631" s="1" t="n">
        <v>1970</v>
      </c>
      <c r="C1631" s="1" t="n">
        <v>7</v>
      </c>
      <c r="D1631" s="1" t="s">
        <v>48</v>
      </c>
      <c r="E1631" s="1" t="s">
        <v>14</v>
      </c>
      <c r="F1631" s="1" t="n">
        <v>35.29</v>
      </c>
      <c r="G1631" s="1" t="n">
        <f aca="false">IF(E1631=E1630,F1631/F1630-1,"")</f>
        <v>-0.00619543790481547</v>
      </c>
    </row>
    <row r="1632" customFormat="false" ht="14.25" hidden="false" customHeight="true" outlineLevel="0" collapsed="false">
      <c r="A1632" s="26" t="n">
        <v>25781</v>
      </c>
      <c r="B1632" s="1" t="n">
        <v>1970</v>
      </c>
      <c r="C1632" s="1" t="n">
        <v>8</v>
      </c>
      <c r="D1632" s="1" t="s">
        <v>49</v>
      </c>
      <c r="E1632" s="1" t="s">
        <v>14</v>
      </c>
      <c r="F1632" s="1" t="n">
        <v>35.78</v>
      </c>
      <c r="G1632" s="1" t="n">
        <f aca="false">IF(E1632=E1631,F1632/F1631-1,"")</f>
        <v>0.0138849532445453</v>
      </c>
    </row>
    <row r="1633" customFormat="false" ht="14.25" hidden="false" customHeight="true" outlineLevel="0" collapsed="false">
      <c r="A1633" s="26" t="n">
        <v>25812</v>
      </c>
      <c r="B1633" s="1" t="n">
        <v>1970</v>
      </c>
      <c r="C1633" s="1" t="n">
        <v>9</v>
      </c>
      <c r="D1633" s="1" t="s">
        <v>50</v>
      </c>
      <c r="E1633" s="1" t="s">
        <v>14</v>
      </c>
      <c r="F1633" s="1" t="n">
        <v>36.24</v>
      </c>
      <c r="G1633" s="1" t="n">
        <f aca="false">IF(E1633=E1632,F1633/F1632-1,"")</f>
        <v>0.0128563443264393</v>
      </c>
    </row>
    <row r="1634" customFormat="false" ht="14.25" hidden="false" customHeight="true" outlineLevel="0" collapsed="false">
      <c r="A1634" s="26" t="n">
        <v>25842</v>
      </c>
      <c r="B1634" s="1" t="n">
        <v>1970</v>
      </c>
      <c r="C1634" s="1" t="n">
        <v>10</v>
      </c>
      <c r="D1634" s="1" t="s">
        <v>51</v>
      </c>
      <c r="E1634" s="1" t="s">
        <v>14</v>
      </c>
      <c r="F1634" s="1" t="n">
        <v>37.4</v>
      </c>
      <c r="G1634" s="1" t="n">
        <f aca="false">IF(E1634=E1633,F1634/F1633-1,"")</f>
        <v>0.0320088300220749</v>
      </c>
    </row>
    <row r="1635" customFormat="false" ht="14.25" hidden="false" customHeight="true" outlineLevel="0" collapsed="false">
      <c r="A1635" s="26" t="n">
        <v>25873</v>
      </c>
      <c r="B1635" s="1" t="n">
        <v>1970</v>
      </c>
      <c r="C1635" s="1" t="n">
        <v>11</v>
      </c>
      <c r="D1635" s="1" t="s">
        <v>52</v>
      </c>
      <c r="E1635" s="1" t="s">
        <v>14</v>
      </c>
      <c r="F1635" s="1" t="n">
        <v>37.6</v>
      </c>
      <c r="G1635" s="1" t="n">
        <f aca="false">IF(E1635=E1634,F1635/F1634-1,"")</f>
        <v>0.00534759358288772</v>
      </c>
    </row>
    <row r="1636" customFormat="false" ht="14.25" hidden="false" customHeight="true" outlineLevel="0" collapsed="false">
      <c r="A1636" s="26" t="n">
        <v>25903</v>
      </c>
      <c r="B1636" s="1" t="n">
        <v>1970</v>
      </c>
      <c r="C1636" s="1" t="n">
        <v>12</v>
      </c>
      <c r="D1636" s="1" t="s">
        <v>53</v>
      </c>
      <c r="E1636" s="1" t="s">
        <v>14</v>
      </c>
      <c r="F1636" s="1" t="n">
        <v>37.38</v>
      </c>
      <c r="G1636" s="1" t="n">
        <f aca="false">IF(E1636=E1635,F1636/F1635-1,"")</f>
        <v>-0.00585106382978717</v>
      </c>
    </row>
    <row r="1637" customFormat="false" ht="14.25" hidden="false" customHeight="true" outlineLevel="0" collapsed="false">
      <c r="A1637" s="26" t="n">
        <v>25934</v>
      </c>
      <c r="B1637" s="1" t="n">
        <v>1971</v>
      </c>
      <c r="C1637" s="1" t="n">
        <v>1</v>
      </c>
      <c r="D1637" s="1" t="s">
        <v>42</v>
      </c>
      <c r="E1637" s="1" t="s">
        <v>14</v>
      </c>
      <c r="F1637" s="1" t="n">
        <v>38</v>
      </c>
      <c r="G1637" s="1" t="n">
        <f aca="false">IF(E1637=E1636,F1637/F1636-1,"")</f>
        <v>0.0165864098448367</v>
      </c>
    </row>
    <row r="1638" customFormat="false" ht="14.25" hidden="false" customHeight="true" outlineLevel="0" collapsed="false">
      <c r="A1638" s="26" t="n">
        <v>25965</v>
      </c>
      <c r="B1638" s="1" t="n">
        <v>1971</v>
      </c>
      <c r="C1638" s="1" t="n">
        <v>2</v>
      </c>
      <c r="D1638" s="1" t="s">
        <v>43</v>
      </c>
      <c r="E1638" s="1" t="s">
        <v>14</v>
      </c>
      <c r="F1638" s="1" t="n">
        <v>38.79</v>
      </c>
      <c r="G1638" s="1" t="n">
        <f aca="false">IF(E1638=E1637,F1638/F1637-1,"")</f>
        <v>0.0207894736842105</v>
      </c>
    </row>
    <row r="1639" customFormat="false" ht="14.25" hidden="false" customHeight="true" outlineLevel="0" collapsed="false">
      <c r="A1639" s="26" t="n">
        <v>25993</v>
      </c>
      <c r="B1639" s="1" t="n">
        <v>1971</v>
      </c>
      <c r="C1639" s="1" t="n">
        <v>3</v>
      </c>
      <c r="D1639" s="1" t="s">
        <v>44</v>
      </c>
      <c r="E1639" s="1" t="s">
        <v>14</v>
      </c>
      <c r="F1639" s="1" t="n">
        <v>38.8</v>
      </c>
      <c r="G1639" s="1" t="n">
        <f aca="false">IF(E1639=E1638,F1639/F1638-1,"")</f>
        <v>0.000257798401649856</v>
      </c>
    </row>
    <row r="1640" customFormat="false" ht="14.25" hidden="false" customHeight="true" outlineLevel="0" collapsed="false">
      <c r="A1640" s="26" t="n">
        <v>26024</v>
      </c>
      <c r="B1640" s="1" t="n">
        <v>1971</v>
      </c>
      <c r="C1640" s="1" t="n">
        <v>4</v>
      </c>
      <c r="D1640" s="1" t="s">
        <v>45</v>
      </c>
      <c r="E1640" s="1" t="s">
        <v>14</v>
      </c>
      <c r="F1640" s="1" t="n">
        <v>39.6</v>
      </c>
      <c r="G1640" s="1" t="n">
        <f aca="false">IF(E1640=E1639,F1640/F1639-1,"")</f>
        <v>0.0206185567010311</v>
      </c>
    </row>
    <row r="1641" customFormat="false" ht="14.25" hidden="false" customHeight="true" outlineLevel="0" collapsed="false">
      <c r="A1641" s="26" t="n">
        <v>26054</v>
      </c>
      <c r="B1641" s="1" t="n">
        <v>1971</v>
      </c>
      <c r="C1641" s="1" t="n">
        <v>5</v>
      </c>
      <c r="D1641" s="1" t="s">
        <v>46</v>
      </c>
      <c r="E1641" s="1" t="s">
        <v>14</v>
      </c>
      <c r="F1641" s="1" t="n">
        <v>40.8</v>
      </c>
      <c r="G1641" s="1" t="n">
        <f aca="false">IF(E1641=E1640,F1641/F1640-1,"")</f>
        <v>0.0303030303030303</v>
      </c>
    </row>
    <row r="1642" customFormat="false" ht="14.25" hidden="false" customHeight="true" outlineLevel="0" collapsed="false">
      <c r="A1642" s="26" t="n">
        <v>26085</v>
      </c>
      <c r="B1642" s="1" t="n">
        <v>1971</v>
      </c>
      <c r="C1642" s="1" t="n">
        <v>6</v>
      </c>
      <c r="D1642" s="1" t="s">
        <v>47</v>
      </c>
      <c r="E1642" s="1" t="s">
        <v>14</v>
      </c>
      <c r="F1642" s="1" t="n">
        <v>40.2</v>
      </c>
      <c r="G1642" s="1" t="n">
        <f aca="false">IF(E1642=E1641,F1642/F1641-1,"")</f>
        <v>-0.014705882352941</v>
      </c>
    </row>
    <row r="1643" customFormat="false" ht="14.25" hidden="false" customHeight="true" outlineLevel="0" collapsed="false">
      <c r="A1643" s="26" t="n">
        <v>26115</v>
      </c>
      <c r="B1643" s="1" t="n">
        <v>1971</v>
      </c>
      <c r="C1643" s="1" t="n">
        <v>7</v>
      </c>
      <c r="D1643" s="1" t="s">
        <v>48</v>
      </c>
      <c r="E1643" s="1" t="s">
        <v>14</v>
      </c>
      <c r="F1643" s="1" t="n">
        <v>42.48</v>
      </c>
      <c r="G1643" s="1" t="n">
        <f aca="false">IF(E1643=E1642,F1643/F1642-1,"")</f>
        <v>0.0567164179104476</v>
      </c>
    </row>
    <row r="1644" customFormat="false" ht="14.25" hidden="false" customHeight="true" outlineLevel="0" collapsed="false">
      <c r="A1644" s="26" t="n">
        <v>26146</v>
      </c>
      <c r="B1644" s="1" t="n">
        <v>1971</v>
      </c>
      <c r="C1644" s="1" t="n">
        <v>8</v>
      </c>
      <c r="D1644" s="1" t="s">
        <v>49</v>
      </c>
      <c r="E1644" s="1" t="s">
        <v>14</v>
      </c>
      <c r="F1644" s="1" t="n">
        <v>41</v>
      </c>
      <c r="G1644" s="1" t="n">
        <f aca="false">IF(E1644=E1643,F1644/F1643-1,"")</f>
        <v>-0.0348399246704331</v>
      </c>
    </row>
    <row r="1645" customFormat="false" ht="14.25" hidden="false" customHeight="true" outlineLevel="0" collapsed="false">
      <c r="A1645" s="26" t="n">
        <v>26177</v>
      </c>
      <c r="B1645" s="1" t="n">
        <v>1971</v>
      </c>
      <c r="C1645" s="1" t="n">
        <v>9</v>
      </c>
      <c r="D1645" s="1" t="s">
        <v>50</v>
      </c>
      <c r="E1645" s="1" t="s">
        <v>14</v>
      </c>
      <c r="F1645" s="1" t="n">
        <v>42.48</v>
      </c>
      <c r="G1645" s="1" t="n">
        <f aca="false">IF(E1645=E1644,F1645/F1644-1,"")</f>
        <v>0.0360975609756098</v>
      </c>
    </row>
    <row r="1646" customFormat="false" ht="14.25" hidden="false" customHeight="true" outlineLevel="0" collapsed="false">
      <c r="A1646" s="26" t="n">
        <v>26207</v>
      </c>
      <c r="B1646" s="1" t="n">
        <v>1971</v>
      </c>
      <c r="C1646" s="1" t="n">
        <v>10</v>
      </c>
      <c r="D1646" s="1" t="s">
        <v>51</v>
      </c>
      <c r="E1646" s="1" t="s">
        <v>14</v>
      </c>
      <c r="F1646" s="1" t="n">
        <v>42.4</v>
      </c>
      <c r="G1646" s="1" t="n">
        <f aca="false">IF(E1646=E1645,F1646/F1645-1,"")</f>
        <v>-0.00188323917137467</v>
      </c>
    </row>
    <row r="1647" customFormat="false" ht="14.25" hidden="false" customHeight="true" outlineLevel="0" collapsed="false">
      <c r="A1647" s="26" t="n">
        <v>26238</v>
      </c>
      <c r="B1647" s="1" t="n">
        <v>1971</v>
      </c>
      <c r="C1647" s="1" t="n">
        <v>11</v>
      </c>
      <c r="D1647" s="1" t="s">
        <v>52</v>
      </c>
      <c r="E1647" s="1" t="s">
        <v>14</v>
      </c>
      <c r="F1647" s="1" t="n">
        <v>43.55</v>
      </c>
      <c r="G1647" s="1" t="n">
        <f aca="false">IF(E1647=E1646,F1647/F1646-1,"")</f>
        <v>0.0271226415094339</v>
      </c>
    </row>
    <row r="1648" customFormat="false" ht="14.25" hidden="false" customHeight="true" outlineLevel="0" collapsed="false">
      <c r="A1648" s="26" t="n">
        <v>26268</v>
      </c>
      <c r="B1648" s="1" t="n">
        <v>1971</v>
      </c>
      <c r="C1648" s="1" t="n">
        <v>12</v>
      </c>
      <c r="D1648" s="1" t="s">
        <v>53</v>
      </c>
      <c r="E1648" s="1" t="s">
        <v>14</v>
      </c>
      <c r="F1648" s="1" t="n">
        <v>43.5</v>
      </c>
      <c r="G1648" s="1" t="n">
        <f aca="false">IF(E1648=E1647,F1648/F1647-1,"")</f>
        <v>-0.00114810562571754</v>
      </c>
    </row>
    <row r="1649" customFormat="false" ht="14.25" hidden="false" customHeight="true" outlineLevel="0" collapsed="false">
      <c r="A1649" s="26" t="n">
        <v>26299</v>
      </c>
      <c r="B1649" s="1" t="n">
        <v>1972</v>
      </c>
      <c r="C1649" s="1" t="n">
        <v>1</v>
      </c>
      <c r="D1649" s="1" t="s">
        <v>42</v>
      </c>
      <c r="E1649" s="1" t="s">
        <v>14</v>
      </c>
      <c r="F1649" s="1" t="n">
        <v>46.95</v>
      </c>
      <c r="G1649" s="1" t="n">
        <f aca="false">IF(E1649=E1648,F1649/F1648-1,"")</f>
        <v>0.0793103448275863</v>
      </c>
    </row>
    <row r="1650" customFormat="false" ht="14.25" hidden="false" customHeight="true" outlineLevel="0" collapsed="false">
      <c r="A1650" s="26" t="n">
        <v>26330</v>
      </c>
      <c r="B1650" s="1" t="n">
        <v>1972</v>
      </c>
      <c r="C1650" s="1" t="n">
        <v>2</v>
      </c>
      <c r="D1650" s="1" t="s">
        <v>43</v>
      </c>
      <c r="E1650" s="1" t="s">
        <v>14</v>
      </c>
      <c r="F1650" s="1" t="n">
        <v>48.4</v>
      </c>
      <c r="G1650" s="1" t="n">
        <f aca="false">IF(E1650=E1649,F1650/F1649-1,"")</f>
        <v>0.0308839190628327</v>
      </c>
    </row>
    <row r="1651" customFormat="false" ht="14.25" hidden="false" customHeight="true" outlineLevel="0" collapsed="false">
      <c r="A1651" s="26" t="n">
        <v>26359</v>
      </c>
      <c r="B1651" s="1" t="n">
        <v>1972</v>
      </c>
      <c r="C1651" s="1" t="n">
        <v>3</v>
      </c>
      <c r="D1651" s="1" t="s">
        <v>44</v>
      </c>
      <c r="E1651" s="1" t="s">
        <v>14</v>
      </c>
      <c r="F1651" s="1" t="n">
        <v>48.38</v>
      </c>
      <c r="G1651" s="1" t="n">
        <f aca="false">IF(E1651=E1650,F1651/F1650-1,"")</f>
        <v>-0.000413223140495744</v>
      </c>
    </row>
    <row r="1652" customFormat="false" ht="14.25" hidden="false" customHeight="true" outlineLevel="0" collapsed="false">
      <c r="A1652" s="26" t="n">
        <v>26390</v>
      </c>
      <c r="B1652" s="1" t="n">
        <v>1972</v>
      </c>
      <c r="C1652" s="1" t="n">
        <v>4</v>
      </c>
      <c r="D1652" s="1" t="s">
        <v>45</v>
      </c>
      <c r="E1652" s="1" t="s">
        <v>14</v>
      </c>
      <c r="F1652" s="1" t="n">
        <v>49.5</v>
      </c>
      <c r="G1652" s="1" t="n">
        <f aca="false">IF(E1652=E1651,F1652/F1651-1,"")</f>
        <v>0.0231500620090945</v>
      </c>
    </row>
    <row r="1653" customFormat="false" ht="14.25" hidden="false" customHeight="true" outlineLevel="0" collapsed="false">
      <c r="A1653" s="26" t="n">
        <v>26420</v>
      </c>
      <c r="B1653" s="1" t="n">
        <v>1972</v>
      </c>
      <c r="C1653" s="1" t="n">
        <v>5</v>
      </c>
      <c r="D1653" s="1" t="s">
        <v>46</v>
      </c>
      <c r="E1653" s="1" t="s">
        <v>14</v>
      </c>
      <c r="F1653" s="1" t="n">
        <v>59.3</v>
      </c>
      <c r="G1653" s="1" t="n">
        <f aca="false">IF(E1653=E1652,F1653/F1652-1,"")</f>
        <v>0.197979797979798</v>
      </c>
    </row>
    <row r="1654" customFormat="false" ht="14.25" hidden="false" customHeight="true" outlineLevel="0" collapsed="false">
      <c r="A1654" s="26" t="n">
        <v>26451</v>
      </c>
      <c r="B1654" s="1" t="n">
        <v>1972</v>
      </c>
      <c r="C1654" s="1" t="n">
        <v>6</v>
      </c>
      <c r="D1654" s="1" t="s">
        <v>47</v>
      </c>
      <c r="E1654" s="1" t="s">
        <v>14</v>
      </c>
      <c r="F1654" s="1" t="n">
        <v>64.1</v>
      </c>
      <c r="G1654" s="1" t="n">
        <f aca="false">IF(E1654=E1653,F1654/F1653-1,"")</f>
        <v>0.0809443507588532</v>
      </c>
    </row>
    <row r="1655" customFormat="false" ht="14.25" hidden="false" customHeight="true" outlineLevel="0" collapsed="false">
      <c r="A1655" s="26" t="n">
        <v>26481</v>
      </c>
      <c r="B1655" s="1" t="n">
        <v>1972</v>
      </c>
      <c r="C1655" s="1" t="n">
        <v>7</v>
      </c>
      <c r="D1655" s="1" t="s">
        <v>48</v>
      </c>
      <c r="E1655" s="1" t="s">
        <v>14</v>
      </c>
      <c r="F1655" s="1" t="n">
        <v>68.9</v>
      </c>
      <c r="G1655" s="1" t="n">
        <f aca="false">IF(E1655=E1654,F1655/F1654-1,"")</f>
        <v>0.0748829953198129</v>
      </c>
    </row>
    <row r="1656" customFormat="false" ht="14.25" hidden="false" customHeight="true" outlineLevel="0" collapsed="false">
      <c r="A1656" s="26" t="n">
        <v>26512</v>
      </c>
      <c r="B1656" s="1" t="n">
        <v>1972</v>
      </c>
      <c r="C1656" s="1" t="n">
        <v>8</v>
      </c>
      <c r="D1656" s="1" t="s">
        <v>49</v>
      </c>
      <c r="E1656" s="1" t="s">
        <v>14</v>
      </c>
      <c r="F1656" s="1" t="n">
        <v>66.8</v>
      </c>
      <c r="G1656" s="1" t="n">
        <f aca="false">IF(E1656=E1655,F1656/F1655-1,"")</f>
        <v>-0.0304789550072571</v>
      </c>
    </row>
    <row r="1657" customFormat="false" ht="14.25" hidden="false" customHeight="true" outlineLevel="0" collapsed="false">
      <c r="A1657" s="26" t="n">
        <v>26543</v>
      </c>
      <c r="B1657" s="1" t="n">
        <v>1972</v>
      </c>
      <c r="C1657" s="1" t="n">
        <v>9</v>
      </c>
      <c r="D1657" s="1" t="s">
        <v>50</v>
      </c>
      <c r="E1657" s="1" t="s">
        <v>14</v>
      </c>
      <c r="F1657" s="1" t="n">
        <v>64.1</v>
      </c>
      <c r="G1657" s="1" t="n">
        <f aca="false">IF(E1657=E1656,F1657/F1656-1,"")</f>
        <v>-0.0404191616766467</v>
      </c>
    </row>
    <row r="1658" customFormat="false" ht="14.25" hidden="false" customHeight="true" outlineLevel="0" collapsed="false">
      <c r="A1658" s="26" t="n">
        <v>26573</v>
      </c>
      <c r="B1658" s="1" t="n">
        <v>1972</v>
      </c>
      <c r="C1658" s="1" t="n">
        <v>10</v>
      </c>
      <c r="D1658" s="1" t="s">
        <v>51</v>
      </c>
      <c r="E1658" s="1" t="s">
        <v>14</v>
      </c>
      <c r="F1658" s="1" t="n">
        <v>64.43</v>
      </c>
      <c r="G1658" s="1" t="n">
        <f aca="false">IF(E1658=E1657,F1658/F1657-1,"")</f>
        <v>0.00514820592823728</v>
      </c>
    </row>
    <row r="1659" customFormat="false" ht="14.25" hidden="false" customHeight="true" outlineLevel="0" collapsed="false">
      <c r="A1659" s="26" t="n">
        <v>26604</v>
      </c>
      <c r="B1659" s="1" t="n">
        <v>1972</v>
      </c>
      <c r="C1659" s="1" t="n">
        <v>11</v>
      </c>
      <c r="D1659" s="1" t="s">
        <v>52</v>
      </c>
      <c r="E1659" s="1" t="s">
        <v>14</v>
      </c>
      <c r="F1659" s="1" t="n">
        <v>63.6</v>
      </c>
      <c r="G1659" s="1" t="n">
        <f aca="false">IF(E1659=E1658,F1659/F1658-1,"")</f>
        <v>-0.0128821977339749</v>
      </c>
    </row>
    <row r="1660" customFormat="false" ht="14.25" hidden="false" customHeight="true" outlineLevel="0" collapsed="false">
      <c r="A1660" s="26" t="n">
        <v>26634</v>
      </c>
      <c r="B1660" s="1" t="n">
        <v>1972</v>
      </c>
      <c r="C1660" s="1" t="n">
        <v>12</v>
      </c>
      <c r="D1660" s="1" t="s">
        <v>53</v>
      </c>
      <c r="E1660" s="1" t="s">
        <v>14</v>
      </c>
      <c r="F1660" s="1" t="n">
        <v>64.7</v>
      </c>
      <c r="G1660" s="1" t="n">
        <f aca="false">IF(E1660=E1659,F1660/F1659-1,"")</f>
        <v>0.0172955974842768</v>
      </c>
    </row>
    <row r="1661" customFormat="false" ht="14.25" hidden="false" customHeight="true" outlineLevel="0" collapsed="false">
      <c r="A1661" s="26" t="n">
        <v>26665</v>
      </c>
      <c r="B1661" s="1" t="n">
        <v>1973</v>
      </c>
      <c r="C1661" s="1" t="n">
        <v>1</v>
      </c>
      <c r="D1661" s="1" t="s">
        <v>42</v>
      </c>
      <c r="E1661" s="1" t="s">
        <v>14</v>
      </c>
      <c r="F1661" s="1" t="n">
        <v>66</v>
      </c>
      <c r="G1661" s="1" t="n">
        <f aca="false">IF(E1661=E1660,F1661/F1660-1,"")</f>
        <v>0.0200927357032457</v>
      </c>
    </row>
    <row r="1662" customFormat="false" ht="14.25" hidden="false" customHeight="true" outlineLevel="0" collapsed="false">
      <c r="A1662" s="26" t="n">
        <v>26696</v>
      </c>
      <c r="B1662" s="1" t="n">
        <v>1973</v>
      </c>
      <c r="C1662" s="1" t="n">
        <v>2</v>
      </c>
      <c r="D1662" s="1" t="s">
        <v>43</v>
      </c>
      <c r="E1662" s="1" t="s">
        <v>14</v>
      </c>
      <c r="F1662" s="1" t="n">
        <v>85.3</v>
      </c>
      <c r="G1662" s="1" t="n">
        <f aca="false">IF(E1662=E1661,F1662/F1661-1,"")</f>
        <v>0.292424242424243</v>
      </c>
    </row>
    <row r="1663" customFormat="false" ht="14.25" hidden="false" customHeight="true" outlineLevel="0" collapsed="false">
      <c r="A1663" s="26" t="n">
        <v>26724</v>
      </c>
      <c r="B1663" s="1" t="n">
        <v>1973</v>
      </c>
      <c r="C1663" s="1" t="n">
        <v>3</v>
      </c>
      <c r="D1663" s="1" t="s">
        <v>44</v>
      </c>
      <c r="E1663" s="1" t="s">
        <v>14</v>
      </c>
      <c r="F1663" s="1" t="n">
        <v>90.25</v>
      </c>
      <c r="G1663" s="1" t="n">
        <f aca="false">IF(E1663=E1662,F1663/F1662-1,"")</f>
        <v>0.0580304806565064</v>
      </c>
    </row>
    <row r="1664" customFormat="false" ht="14.25" hidden="false" customHeight="true" outlineLevel="0" collapsed="false">
      <c r="A1664" s="26" t="n">
        <v>26755</v>
      </c>
      <c r="B1664" s="1" t="n">
        <v>1973</v>
      </c>
      <c r="C1664" s="1" t="n">
        <v>4</v>
      </c>
      <c r="D1664" s="1" t="s">
        <v>45</v>
      </c>
      <c r="E1664" s="1" t="s">
        <v>14</v>
      </c>
      <c r="F1664" s="1" t="n">
        <v>90.7</v>
      </c>
      <c r="G1664" s="1" t="n">
        <f aca="false">IF(E1664=E1663,F1664/F1663-1,"")</f>
        <v>0.00498614958448762</v>
      </c>
    </row>
    <row r="1665" customFormat="false" ht="14.25" hidden="false" customHeight="true" outlineLevel="0" collapsed="false">
      <c r="A1665" s="26" t="n">
        <v>26785</v>
      </c>
      <c r="B1665" s="1" t="n">
        <v>1973</v>
      </c>
      <c r="C1665" s="1" t="n">
        <v>5</v>
      </c>
      <c r="D1665" s="1" t="s">
        <v>46</v>
      </c>
      <c r="E1665" s="1" t="s">
        <v>14</v>
      </c>
      <c r="F1665" s="1" t="n">
        <v>114.5</v>
      </c>
      <c r="G1665" s="1" t="n">
        <f aca="false">IF(E1665=E1664,F1665/F1664-1,"")</f>
        <v>0.262403528114664</v>
      </c>
    </row>
    <row r="1666" customFormat="false" ht="14.25" hidden="false" customHeight="true" outlineLevel="0" collapsed="false">
      <c r="A1666" s="26" t="n">
        <v>26816</v>
      </c>
      <c r="B1666" s="1" t="n">
        <v>1973</v>
      </c>
      <c r="C1666" s="1" t="n">
        <v>6</v>
      </c>
      <c r="D1666" s="1" t="s">
        <v>47</v>
      </c>
      <c r="E1666" s="1" t="s">
        <v>14</v>
      </c>
      <c r="F1666" s="1" t="n">
        <v>123.5</v>
      </c>
      <c r="G1666" s="1" t="n">
        <f aca="false">IF(E1666=E1665,F1666/F1665-1,"")</f>
        <v>0.0786026200873362</v>
      </c>
    </row>
    <row r="1667" customFormat="false" ht="14.25" hidden="false" customHeight="true" outlineLevel="0" collapsed="false">
      <c r="A1667" s="26" t="n">
        <v>26846</v>
      </c>
      <c r="B1667" s="1" t="n">
        <v>1973</v>
      </c>
      <c r="C1667" s="1" t="n">
        <v>7</v>
      </c>
      <c r="D1667" s="1" t="s">
        <v>48</v>
      </c>
      <c r="E1667" s="1" t="s">
        <v>14</v>
      </c>
      <c r="F1667" s="1" t="n">
        <v>115.2</v>
      </c>
      <c r="G1667" s="1" t="n">
        <f aca="false">IF(E1667=E1666,F1667/F1666-1,"")</f>
        <v>-0.0672064777327935</v>
      </c>
    </row>
    <row r="1668" customFormat="false" ht="14.25" hidden="false" customHeight="true" outlineLevel="0" collapsed="false">
      <c r="A1668" s="26" t="n">
        <v>26877</v>
      </c>
      <c r="B1668" s="1" t="n">
        <v>1973</v>
      </c>
      <c r="C1668" s="1" t="n">
        <v>8</v>
      </c>
      <c r="D1668" s="1" t="s">
        <v>49</v>
      </c>
      <c r="E1668" s="1" t="s">
        <v>14</v>
      </c>
      <c r="F1668" s="1" t="n">
        <v>104</v>
      </c>
      <c r="G1668" s="1" t="n">
        <f aca="false">IF(E1668=E1667,F1668/F1667-1,"")</f>
        <v>-0.0972222222222222</v>
      </c>
    </row>
    <row r="1669" customFormat="false" ht="14.25" hidden="false" customHeight="true" outlineLevel="0" collapsed="false">
      <c r="A1669" s="26" t="n">
        <v>26908</v>
      </c>
      <c r="B1669" s="1" t="n">
        <v>1973</v>
      </c>
      <c r="C1669" s="1" t="n">
        <v>9</v>
      </c>
      <c r="D1669" s="1" t="s">
        <v>50</v>
      </c>
      <c r="E1669" s="1" t="s">
        <v>14</v>
      </c>
      <c r="F1669" s="1" t="n">
        <v>100.25</v>
      </c>
      <c r="G1669" s="1" t="n">
        <f aca="false">IF(E1669=E1668,F1669/F1668-1,"")</f>
        <v>-0.0360576923076923</v>
      </c>
    </row>
    <row r="1670" customFormat="false" ht="14.25" hidden="false" customHeight="true" outlineLevel="0" collapsed="false">
      <c r="A1670" s="26" t="n">
        <v>26938</v>
      </c>
      <c r="B1670" s="1" t="n">
        <v>1973</v>
      </c>
      <c r="C1670" s="1" t="n">
        <v>10</v>
      </c>
      <c r="D1670" s="1" t="s">
        <v>51</v>
      </c>
      <c r="E1670" s="1" t="s">
        <v>14</v>
      </c>
      <c r="F1670" s="1" t="n">
        <v>97.25</v>
      </c>
      <c r="G1670" s="1" t="n">
        <f aca="false">IF(E1670=E1669,F1670/F1669-1,"")</f>
        <v>-0.029925187032419</v>
      </c>
    </row>
    <row r="1671" customFormat="false" ht="14.25" hidden="false" customHeight="true" outlineLevel="0" collapsed="false">
      <c r="A1671" s="26" t="n">
        <v>26969</v>
      </c>
      <c r="B1671" s="1" t="n">
        <v>1973</v>
      </c>
      <c r="C1671" s="1" t="n">
        <v>11</v>
      </c>
      <c r="D1671" s="1" t="s">
        <v>52</v>
      </c>
      <c r="E1671" s="1" t="s">
        <v>14</v>
      </c>
      <c r="F1671" s="1" t="n">
        <v>100.25</v>
      </c>
      <c r="G1671" s="1" t="n">
        <f aca="false">IF(E1671=E1670,F1671/F1670-1,"")</f>
        <v>0.0308483290488433</v>
      </c>
    </row>
    <row r="1672" customFormat="false" ht="14.25" hidden="false" customHeight="true" outlineLevel="0" collapsed="false">
      <c r="A1672" s="26" t="n">
        <v>26999</v>
      </c>
      <c r="B1672" s="1" t="n">
        <v>1973</v>
      </c>
      <c r="C1672" s="1" t="n">
        <v>12</v>
      </c>
      <c r="D1672" s="1" t="s">
        <v>53</v>
      </c>
      <c r="E1672" s="1" t="s">
        <v>14</v>
      </c>
      <c r="F1672" s="1" t="n">
        <v>112.25</v>
      </c>
      <c r="G1672" s="1" t="n">
        <f aca="false">IF(E1672=E1671,F1672/F1671-1,"")</f>
        <v>0.119700748129676</v>
      </c>
    </row>
    <row r="1673" customFormat="false" ht="14.25" hidden="false" customHeight="true" outlineLevel="0" collapsed="false">
      <c r="A1673" s="26" t="n">
        <v>27030</v>
      </c>
      <c r="B1673" s="1" t="n">
        <v>1974</v>
      </c>
      <c r="C1673" s="1" t="n">
        <v>1</v>
      </c>
      <c r="D1673" s="1" t="s">
        <v>42</v>
      </c>
      <c r="E1673" s="1" t="s">
        <v>14</v>
      </c>
      <c r="F1673" s="1" t="n">
        <v>133.25</v>
      </c>
      <c r="G1673" s="1" t="n">
        <f aca="false">IF(E1673=E1672,F1673/F1672-1,"")</f>
        <v>0.187082405345212</v>
      </c>
    </row>
    <row r="1674" customFormat="false" ht="14.25" hidden="false" customHeight="true" outlineLevel="0" collapsed="false">
      <c r="A1674" s="26" t="n">
        <v>27061</v>
      </c>
      <c r="B1674" s="1" t="n">
        <v>1974</v>
      </c>
      <c r="C1674" s="1" t="n">
        <v>2</v>
      </c>
      <c r="D1674" s="1" t="s">
        <v>43</v>
      </c>
      <c r="E1674" s="1" t="s">
        <v>14</v>
      </c>
      <c r="F1674" s="1" t="n">
        <v>169.5</v>
      </c>
      <c r="G1674" s="1" t="n">
        <f aca="false">IF(E1674=E1673,F1674/F1673-1,"")</f>
        <v>0.272045028142589</v>
      </c>
    </row>
    <row r="1675" customFormat="false" ht="14.25" hidden="false" customHeight="true" outlineLevel="0" collapsed="false">
      <c r="A1675" s="26" t="n">
        <v>27089</v>
      </c>
      <c r="B1675" s="1" t="n">
        <v>1974</v>
      </c>
      <c r="C1675" s="1" t="n">
        <v>3</v>
      </c>
      <c r="D1675" s="1" t="s">
        <v>44</v>
      </c>
      <c r="E1675" s="1" t="s">
        <v>14</v>
      </c>
      <c r="F1675" s="1" t="n">
        <v>173</v>
      </c>
      <c r="G1675" s="1" t="n">
        <f aca="false">IF(E1675=E1674,F1675/F1674-1,"")</f>
        <v>0.0206489675516224</v>
      </c>
    </row>
    <row r="1676" customFormat="false" ht="14.25" hidden="false" customHeight="true" outlineLevel="0" collapsed="false">
      <c r="A1676" s="26" t="n">
        <v>27120</v>
      </c>
      <c r="B1676" s="1" t="n">
        <v>1974</v>
      </c>
      <c r="C1676" s="1" t="n">
        <v>4</v>
      </c>
      <c r="D1676" s="1" t="s">
        <v>45</v>
      </c>
      <c r="E1676" s="1" t="s">
        <v>14</v>
      </c>
      <c r="F1676" s="1" t="n">
        <v>168.5</v>
      </c>
      <c r="G1676" s="1" t="n">
        <f aca="false">IF(E1676=E1675,F1676/F1675-1,"")</f>
        <v>-0.0260115606936416</v>
      </c>
    </row>
    <row r="1677" customFormat="false" ht="14.25" hidden="false" customHeight="true" outlineLevel="0" collapsed="false">
      <c r="A1677" s="26" t="n">
        <v>27150</v>
      </c>
      <c r="B1677" s="1" t="n">
        <v>1974</v>
      </c>
      <c r="C1677" s="1" t="n">
        <v>5</v>
      </c>
      <c r="D1677" s="1" t="s">
        <v>46</v>
      </c>
      <c r="E1677" s="1" t="s">
        <v>14</v>
      </c>
      <c r="F1677" s="1" t="n">
        <v>156.5</v>
      </c>
      <c r="G1677" s="1" t="n">
        <f aca="false">IF(E1677=E1676,F1677/F1676-1,"")</f>
        <v>-0.0712166172106825</v>
      </c>
    </row>
    <row r="1678" customFormat="false" ht="14.25" hidden="false" customHeight="true" outlineLevel="0" collapsed="false">
      <c r="A1678" s="26" t="n">
        <v>27181</v>
      </c>
      <c r="B1678" s="1" t="n">
        <v>1974</v>
      </c>
      <c r="C1678" s="1" t="n">
        <v>6</v>
      </c>
      <c r="D1678" s="1" t="s">
        <v>47</v>
      </c>
      <c r="E1678" s="1" t="s">
        <v>14</v>
      </c>
      <c r="F1678" s="1" t="n">
        <v>146.75</v>
      </c>
      <c r="G1678" s="1" t="n">
        <f aca="false">IF(E1678=E1677,F1678/F1677-1,"")</f>
        <v>-0.0623003194888179</v>
      </c>
    </row>
    <row r="1679" customFormat="false" ht="14.25" hidden="false" customHeight="true" outlineLevel="0" collapsed="false">
      <c r="A1679" s="26" t="n">
        <v>27211</v>
      </c>
      <c r="B1679" s="1" t="n">
        <v>1974</v>
      </c>
      <c r="C1679" s="1" t="n">
        <v>7</v>
      </c>
      <c r="D1679" s="1" t="s">
        <v>48</v>
      </c>
      <c r="E1679" s="1" t="s">
        <v>14</v>
      </c>
      <c r="F1679" s="1" t="n">
        <v>154</v>
      </c>
      <c r="G1679" s="1" t="n">
        <f aca="false">IF(E1679=E1678,F1679/F1678-1,"")</f>
        <v>0.049403747870528</v>
      </c>
    </row>
    <row r="1680" customFormat="false" ht="14.25" hidden="false" customHeight="true" outlineLevel="0" collapsed="false">
      <c r="A1680" s="26" t="n">
        <v>27242</v>
      </c>
      <c r="B1680" s="1" t="n">
        <v>1974</v>
      </c>
      <c r="C1680" s="1" t="n">
        <v>8</v>
      </c>
      <c r="D1680" s="1" t="s">
        <v>49</v>
      </c>
      <c r="E1680" s="1" t="s">
        <v>14</v>
      </c>
      <c r="F1680" s="1" t="n">
        <v>155.25</v>
      </c>
      <c r="G1680" s="1" t="n">
        <f aca="false">IF(E1680=E1679,F1680/F1679-1,"")</f>
        <v>0.00811688311688319</v>
      </c>
    </row>
    <row r="1681" customFormat="false" ht="14.25" hidden="false" customHeight="true" outlineLevel="0" collapsed="false">
      <c r="A1681" s="26" t="n">
        <v>27273</v>
      </c>
      <c r="B1681" s="1" t="n">
        <v>1974</v>
      </c>
      <c r="C1681" s="1" t="n">
        <v>9</v>
      </c>
      <c r="D1681" s="1" t="s">
        <v>50</v>
      </c>
      <c r="E1681" s="1" t="s">
        <v>14</v>
      </c>
      <c r="F1681" s="1" t="n">
        <v>147.5</v>
      </c>
      <c r="G1681" s="1" t="n">
        <f aca="false">IF(E1681=E1680,F1681/F1680-1,"")</f>
        <v>-0.0499194847020934</v>
      </c>
    </row>
    <row r="1682" customFormat="false" ht="14.25" hidden="false" customHeight="true" outlineLevel="0" collapsed="false">
      <c r="A1682" s="26" t="n">
        <v>27303</v>
      </c>
      <c r="B1682" s="1" t="n">
        <v>1974</v>
      </c>
      <c r="C1682" s="1" t="n">
        <v>10</v>
      </c>
      <c r="D1682" s="1" t="s">
        <v>51</v>
      </c>
      <c r="E1682" s="1" t="s">
        <v>14</v>
      </c>
      <c r="F1682" s="1" t="n">
        <v>166.4</v>
      </c>
      <c r="G1682" s="1" t="n">
        <f aca="false">IF(E1682=E1681,F1682/F1681-1,"")</f>
        <v>0.128135593220339</v>
      </c>
    </row>
    <row r="1683" customFormat="false" ht="14.25" hidden="false" customHeight="true" outlineLevel="0" collapsed="false">
      <c r="A1683" s="26" t="n">
        <v>27334</v>
      </c>
      <c r="B1683" s="1" t="n">
        <v>1974</v>
      </c>
      <c r="C1683" s="1" t="n">
        <v>11</v>
      </c>
      <c r="D1683" s="1" t="s">
        <v>52</v>
      </c>
      <c r="E1683" s="1" t="s">
        <v>14</v>
      </c>
      <c r="F1683" s="1" t="n">
        <v>182</v>
      </c>
      <c r="G1683" s="1" t="n">
        <f aca="false">IF(E1683=E1682,F1683/F1682-1,"")</f>
        <v>0.09375</v>
      </c>
    </row>
    <row r="1684" customFormat="false" ht="14.25" hidden="false" customHeight="true" outlineLevel="0" collapsed="false">
      <c r="A1684" s="26" t="n">
        <v>27364</v>
      </c>
      <c r="B1684" s="1" t="n">
        <v>1974</v>
      </c>
      <c r="C1684" s="1" t="n">
        <v>12</v>
      </c>
      <c r="D1684" s="1" t="s">
        <v>53</v>
      </c>
      <c r="E1684" s="1" t="s">
        <v>14</v>
      </c>
      <c r="F1684" s="1" t="n">
        <v>187.5</v>
      </c>
      <c r="G1684" s="1" t="n">
        <f aca="false">IF(E1684=E1683,F1684/F1683-1,"")</f>
        <v>0.0302197802197801</v>
      </c>
    </row>
    <row r="1685" customFormat="false" ht="14.25" hidden="false" customHeight="true" outlineLevel="0" collapsed="false">
      <c r="A1685" s="26" t="n">
        <v>27395</v>
      </c>
      <c r="B1685" s="1" t="n">
        <v>1975</v>
      </c>
      <c r="C1685" s="1" t="n">
        <v>1</v>
      </c>
      <c r="D1685" s="1" t="s">
        <v>42</v>
      </c>
      <c r="E1685" s="1" t="s">
        <v>14</v>
      </c>
      <c r="F1685" s="1" t="n">
        <v>176.25</v>
      </c>
      <c r="G1685" s="1" t="n">
        <f aca="false">IF(E1685=E1684,F1685/F1684-1,"")</f>
        <v>-0.0600000000000001</v>
      </c>
    </row>
    <row r="1686" customFormat="false" ht="14.25" hidden="false" customHeight="true" outlineLevel="0" collapsed="false">
      <c r="A1686" s="26" t="n">
        <v>27426</v>
      </c>
      <c r="B1686" s="1" t="n">
        <v>1975</v>
      </c>
      <c r="C1686" s="1" t="n">
        <v>2</v>
      </c>
      <c r="D1686" s="1" t="s">
        <v>43</v>
      </c>
      <c r="E1686" s="1" t="s">
        <v>14</v>
      </c>
      <c r="F1686" s="1" t="n">
        <v>181.75</v>
      </c>
      <c r="G1686" s="1" t="n">
        <f aca="false">IF(E1686=E1685,F1686/F1685-1,"")</f>
        <v>0.0312056737588653</v>
      </c>
    </row>
    <row r="1687" customFormat="false" ht="14.25" hidden="false" customHeight="true" outlineLevel="0" collapsed="false">
      <c r="A1687" s="26" t="n">
        <v>27454</v>
      </c>
      <c r="B1687" s="1" t="n">
        <v>1975</v>
      </c>
      <c r="C1687" s="1" t="n">
        <v>3</v>
      </c>
      <c r="D1687" s="1" t="s">
        <v>44</v>
      </c>
      <c r="E1687" s="1" t="s">
        <v>14</v>
      </c>
      <c r="F1687" s="1" t="n">
        <v>177.75</v>
      </c>
      <c r="G1687" s="1" t="n">
        <f aca="false">IF(E1687=E1686,F1687/F1686-1,"")</f>
        <v>-0.0220082530949106</v>
      </c>
    </row>
    <row r="1688" customFormat="false" ht="14.25" hidden="false" customHeight="true" outlineLevel="0" collapsed="false">
      <c r="A1688" s="26" t="n">
        <v>27485</v>
      </c>
      <c r="B1688" s="1" t="n">
        <v>1975</v>
      </c>
      <c r="C1688" s="1" t="n">
        <v>4</v>
      </c>
      <c r="D1688" s="1" t="s">
        <v>45</v>
      </c>
      <c r="E1688" s="1" t="s">
        <v>14</v>
      </c>
      <c r="F1688" s="1" t="n">
        <v>167.4</v>
      </c>
      <c r="G1688" s="1" t="n">
        <f aca="false">IF(E1688=E1687,F1688/F1687-1,"")</f>
        <v>-0.0582278481012658</v>
      </c>
    </row>
    <row r="1689" customFormat="false" ht="14.25" hidden="false" customHeight="true" outlineLevel="0" collapsed="false">
      <c r="A1689" s="26" t="n">
        <v>27515</v>
      </c>
      <c r="B1689" s="1" t="n">
        <v>1975</v>
      </c>
      <c r="C1689" s="1" t="n">
        <v>5</v>
      </c>
      <c r="D1689" s="1" t="s">
        <v>46</v>
      </c>
      <c r="E1689" s="1" t="s">
        <v>14</v>
      </c>
      <c r="F1689" s="1" t="n">
        <v>167.75</v>
      </c>
      <c r="G1689" s="1" t="n">
        <f aca="false">IF(E1689=E1688,F1689/F1688-1,"")</f>
        <v>0.00209080047789723</v>
      </c>
    </row>
    <row r="1690" customFormat="false" ht="14.25" hidden="false" customHeight="true" outlineLevel="0" collapsed="false">
      <c r="A1690" s="26" t="n">
        <v>27546</v>
      </c>
      <c r="B1690" s="1" t="n">
        <v>1975</v>
      </c>
      <c r="C1690" s="1" t="n">
        <v>6</v>
      </c>
      <c r="D1690" s="1" t="s">
        <v>47</v>
      </c>
      <c r="E1690" s="1" t="s">
        <v>14</v>
      </c>
      <c r="F1690" s="1" t="n">
        <v>166</v>
      </c>
      <c r="G1690" s="1" t="n">
        <f aca="false">IF(E1690=E1689,F1690/F1689-1,"")</f>
        <v>-0.0104321907600596</v>
      </c>
    </row>
    <row r="1691" customFormat="false" ht="14.25" hidden="false" customHeight="true" outlineLevel="0" collapsed="false">
      <c r="A1691" s="26" t="n">
        <v>27576</v>
      </c>
      <c r="B1691" s="1" t="n">
        <v>1975</v>
      </c>
      <c r="C1691" s="1" t="n">
        <v>7</v>
      </c>
      <c r="D1691" s="1" t="s">
        <v>48</v>
      </c>
      <c r="E1691" s="1" t="s">
        <v>14</v>
      </c>
      <c r="F1691" s="1" t="n">
        <v>166.4</v>
      </c>
      <c r="G1691" s="1" t="n">
        <f aca="false">IF(E1691=E1690,F1691/F1690-1,"")</f>
        <v>0.00240963855421694</v>
      </c>
    </row>
    <row r="1692" customFormat="false" ht="14.25" hidden="false" customHeight="true" outlineLevel="0" collapsed="false">
      <c r="A1692" s="26" t="n">
        <v>27607</v>
      </c>
      <c r="B1692" s="1" t="n">
        <v>1975</v>
      </c>
      <c r="C1692" s="1" t="n">
        <v>8</v>
      </c>
      <c r="D1692" s="1" t="s">
        <v>49</v>
      </c>
      <c r="E1692" s="1" t="s">
        <v>14</v>
      </c>
      <c r="F1692" s="1" t="n">
        <v>161.5</v>
      </c>
      <c r="G1692" s="1" t="n">
        <f aca="false">IF(E1692=E1691,F1692/F1691-1,"")</f>
        <v>-0.0294471153846154</v>
      </c>
    </row>
    <row r="1693" customFormat="false" ht="14.25" hidden="false" customHeight="true" outlineLevel="0" collapsed="false">
      <c r="A1693" s="26" t="n">
        <v>27638</v>
      </c>
      <c r="B1693" s="1" t="n">
        <v>1975</v>
      </c>
      <c r="C1693" s="1" t="n">
        <v>9</v>
      </c>
      <c r="D1693" s="1" t="s">
        <v>50</v>
      </c>
      <c r="E1693" s="1" t="s">
        <v>14</v>
      </c>
      <c r="F1693" s="1" t="n">
        <v>138.25</v>
      </c>
      <c r="G1693" s="1" t="n">
        <f aca="false">IF(E1693=E1692,F1693/F1692-1,"")</f>
        <v>-0.143962848297214</v>
      </c>
    </row>
    <row r="1694" customFormat="false" ht="14.25" hidden="false" customHeight="true" outlineLevel="0" collapsed="false">
      <c r="A1694" s="26" t="n">
        <v>27668</v>
      </c>
      <c r="B1694" s="1" t="n">
        <v>1975</v>
      </c>
      <c r="C1694" s="1" t="n">
        <v>10</v>
      </c>
      <c r="D1694" s="1" t="s">
        <v>51</v>
      </c>
      <c r="E1694" s="1" t="s">
        <v>14</v>
      </c>
      <c r="F1694" s="1" t="n">
        <v>143.4</v>
      </c>
      <c r="G1694" s="1" t="n">
        <f aca="false">IF(E1694=E1693,F1694/F1693-1,"")</f>
        <v>0.037251356238698</v>
      </c>
    </row>
    <row r="1695" customFormat="false" ht="14.25" hidden="false" customHeight="true" outlineLevel="0" collapsed="false">
      <c r="A1695" s="26" t="n">
        <v>27699</v>
      </c>
      <c r="B1695" s="1" t="n">
        <v>1975</v>
      </c>
      <c r="C1695" s="1" t="n">
        <v>11</v>
      </c>
      <c r="D1695" s="1" t="s">
        <v>52</v>
      </c>
      <c r="E1695" s="1" t="s">
        <v>14</v>
      </c>
      <c r="F1695" s="1" t="n">
        <v>138.25</v>
      </c>
      <c r="G1695" s="1" t="n">
        <f aca="false">IF(E1695=E1694,F1695/F1694-1,"")</f>
        <v>-0.0359135285913529</v>
      </c>
    </row>
    <row r="1696" customFormat="false" ht="14.25" hidden="false" customHeight="true" outlineLevel="0" collapsed="false">
      <c r="A1696" s="26" t="n">
        <v>27729</v>
      </c>
      <c r="B1696" s="1" t="n">
        <v>1975</v>
      </c>
      <c r="C1696" s="1" t="n">
        <v>12</v>
      </c>
      <c r="D1696" s="1" t="s">
        <v>53</v>
      </c>
      <c r="E1696" s="1" t="s">
        <v>14</v>
      </c>
      <c r="F1696" s="1" t="n">
        <v>140.25</v>
      </c>
      <c r="G1696" s="1" t="n">
        <f aca="false">IF(E1696=E1695,F1696/F1695-1,"")</f>
        <v>0.0144665461121158</v>
      </c>
    </row>
    <row r="1697" customFormat="false" ht="14.25" hidden="false" customHeight="true" outlineLevel="0" collapsed="false">
      <c r="A1697" s="26" t="n">
        <v>27760</v>
      </c>
      <c r="B1697" s="1" t="n">
        <v>1976</v>
      </c>
      <c r="C1697" s="1" t="n">
        <v>1</v>
      </c>
      <c r="D1697" s="1" t="s">
        <v>42</v>
      </c>
      <c r="E1697" s="1" t="s">
        <v>14</v>
      </c>
      <c r="F1697" s="1" t="n">
        <v>128</v>
      </c>
      <c r="G1697" s="1" t="n">
        <f aca="false">IF(E1697=E1696,F1697/F1696-1,"")</f>
        <v>-0.0873440285204992</v>
      </c>
    </row>
    <row r="1698" customFormat="false" ht="14.25" hidden="false" customHeight="true" outlineLevel="0" collapsed="false">
      <c r="A1698" s="26" t="n">
        <v>27791</v>
      </c>
      <c r="B1698" s="1" t="n">
        <v>1976</v>
      </c>
      <c r="C1698" s="1" t="n">
        <v>2</v>
      </c>
      <c r="D1698" s="1" t="s">
        <v>43</v>
      </c>
      <c r="E1698" s="1" t="s">
        <v>14</v>
      </c>
      <c r="F1698" s="1" t="n">
        <v>132.3</v>
      </c>
      <c r="G1698" s="1" t="n">
        <f aca="false">IF(E1698=E1697,F1698/F1697-1,"")</f>
        <v>0.0335937500000001</v>
      </c>
    </row>
    <row r="1699" customFormat="false" ht="14.25" hidden="false" customHeight="true" outlineLevel="0" collapsed="false">
      <c r="A1699" s="26" t="n">
        <v>27820</v>
      </c>
      <c r="B1699" s="1" t="n">
        <v>1976</v>
      </c>
      <c r="C1699" s="1" t="n">
        <v>3</v>
      </c>
      <c r="D1699" s="1" t="s">
        <v>44</v>
      </c>
      <c r="E1699" s="1" t="s">
        <v>14</v>
      </c>
      <c r="F1699" s="1" t="n">
        <v>129.5</v>
      </c>
      <c r="G1699" s="1" t="n">
        <f aca="false">IF(E1699=E1698,F1699/F1698-1,"")</f>
        <v>-0.0211640211640213</v>
      </c>
    </row>
    <row r="1700" customFormat="false" ht="14.25" hidden="false" customHeight="true" outlineLevel="0" collapsed="false">
      <c r="A1700" s="26" t="n">
        <v>27851</v>
      </c>
      <c r="B1700" s="1" t="n">
        <v>1976</v>
      </c>
      <c r="C1700" s="1" t="n">
        <v>4</v>
      </c>
      <c r="D1700" s="1" t="s">
        <v>45</v>
      </c>
      <c r="E1700" s="1" t="s">
        <v>14</v>
      </c>
      <c r="F1700" s="1" t="n">
        <v>128.15</v>
      </c>
      <c r="G1700" s="1" t="n">
        <f aca="false">IF(E1700=E1699,F1700/F1699-1,"")</f>
        <v>-0.0104247104247104</v>
      </c>
    </row>
    <row r="1701" customFormat="false" ht="14.25" hidden="false" customHeight="true" outlineLevel="0" collapsed="false">
      <c r="A1701" s="26" t="n">
        <v>27881</v>
      </c>
      <c r="B1701" s="1" t="n">
        <v>1976</v>
      </c>
      <c r="C1701" s="1" t="n">
        <v>5</v>
      </c>
      <c r="D1701" s="1" t="s">
        <v>46</v>
      </c>
      <c r="E1701" s="1" t="s">
        <v>14</v>
      </c>
      <c r="F1701" s="1" t="n">
        <v>125.25</v>
      </c>
      <c r="G1701" s="1" t="n">
        <f aca="false">IF(E1701=E1700,F1701/F1700-1,"")</f>
        <v>-0.0226297307842372</v>
      </c>
    </row>
    <row r="1702" customFormat="false" ht="14.25" hidden="false" customHeight="true" outlineLevel="0" collapsed="false">
      <c r="A1702" s="26" t="n">
        <v>27912</v>
      </c>
      <c r="B1702" s="1" t="n">
        <v>1976</v>
      </c>
      <c r="C1702" s="1" t="n">
        <v>6</v>
      </c>
      <c r="D1702" s="1" t="s">
        <v>47</v>
      </c>
      <c r="E1702" s="1" t="s">
        <v>14</v>
      </c>
      <c r="F1702" s="1" t="n">
        <v>123.8</v>
      </c>
      <c r="G1702" s="1" t="n">
        <f aca="false">IF(E1702=E1701,F1702/F1701-1,"")</f>
        <v>-0.0115768463073852</v>
      </c>
    </row>
    <row r="1703" customFormat="false" ht="14.25" hidden="false" customHeight="true" outlineLevel="0" collapsed="false">
      <c r="A1703" s="26" t="n">
        <v>27942</v>
      </c>
      <c r="B1703" s="1" t="n">
        <v>1976</v>
      </c>
      <c r="C1703" s="1" t="n">
        <v>7</v>
      </c>
      <c r="D1703" s="1" t="s">
        <v>48</v>
      </c>
      <c r="E1703" s="1" t="s">
        <v>14</v>
      </c>
      <c r="F1703" s="1" t="n">
        <v>112.4</v>
      </c>
      <c r="G1703" s="1" t="n">
        <f aca="false">IF(E1703=E1702,F1703/F1702-1,"")</f>
        <v>-0.0920840064620355</v>
      </c>
    </row>
    <row r="1704" customFormat="false" ht="14.25" hidden="false" customHeight="true" outlineLevel="0" collapsed="false">
      <c r="A1704" s="26" t="n">
        <v>27973</v>
      </c>
      <c r="B1704" s="1" t="n">
        <v>1976</v>
      </c>
      <c r="C1704" s="1" t="n">
        <v>8</v>
      </c>
      <c r="D1704" s="1" t="s">
        <v>49</v>
      </c>
      <c r="E1704" s="1" t="s">
        <v>14</v>
      </c>
      <c r="F1704" s="1" t="n">
        <v>103.05</v>
      </c>
      <c r="G1704" s="1" t="n">
        <f aca="false">IF(E1704=E1703,F1704/F1703-1,"")</f>
        <v>-0.083185053380783</v>
      </c>
    </row>
    <row r="1705" customFormat="false" ht="14.25" hidden="false" customHeight="true" outlineLevel="0" collapsed="false">
      <c r="A1705" s="26" t="n">
        <v>28004</v>
      </c>
      <c r="B1705" s="1" t="n">
        <v>1976</v>
      </c>
      <c r="C1705" s="1" t="n">
        <v>9</v>
      </c>
      <c r="D1705" s="1" t="s">
        <v>50</v>
      </c>
      <c r="E1705" s="1" t="s">
        <v>14</v>
      </c>
      <c r="F1705" s="1" t="n">
        <v>116.1</v>
      </c>
      <c r="G1705" s="1" t="n">
        <f aca="false">IF(E1705=E1704,F1705/F1704-1,"")</f>
        <v>0.126637554585153</v>
      </c>
    </row>
    <row r="1706" customFormat="false" ht="14.25" hidden="false" customHeight="true" outlineLevel="0" collapsed="false">
      <c r="A1706" s="26" t="n">
        <v>28034</v>
      </c>
      <c r="B1706" s="1" t="n">
        <v>1976</v>
      </c>
      <c r="C1706" s="1" t="n">
        <v>10</v>
      </c>
      <c r="D1706" s="1" t="s">
        <v>51</v>
      </c>
      <c r="E1706" s="1" t="s">
        <v>14</v>
      </c>
      <c r="F1706" s="1" t="n">
        <v>122.3</v>
      </c>
      <c r="G1706" s="1" t="n">
        <f aca="false">IF(E1706=E1705,F1706/F1705-1,"")</f>
        <v>0.053402239448751</v>
      </c>
    </row>
    <row r="1707" customFormat="false" ht="14.25" hidden="false" customHeight="true" outlineLevel="0" collapsed="false">
      <c r="A1707" s="26" t="n">
        <v>28065</v>
      </c>
      <c r="B1707" s="1" t="n">
        <v>1976</v>
      </c>
      <c r="C1707" s="1" t="n">
        <v>11</v>
      </c>
      <c r="D1707" s="1" t="s">
        <v>52</v>
      </c>
      <c r="E1707" s="1" t="s">
        <v>14</v>
      </c>
      <c r="F1707" s="1" t="n">
        <v>130.1</v>
      </c>
      <c r="G1707" s="1" t="n">
        <f aca="false">IF(E1707=E1706,F1707/F1706-1,"")</f>
        <v>0.0637775960752249</v>
      </c>
    </row>
    <row r="1708" customFormat="false" ht="14.25" hidden="false" customHeight="true" outlineLevel="0" collapsed="false">
      <c r="A1708" s="26" t="n">
        <v>28095</v>
      </c>
      <c r="B1708" s="1" t="n">
        <v>1976</v>
      </c>
      <c r="C1708" s="1" t="n">
        <v>12</v>
      </c>
      <c r="D1708" s="1" t="s">
        <v>53</v>
      </c>
      <c r="E1708" s="1" t="s">
        <v>14</v>
      </c>
      <c r="F1708" s="1" t="n">
        <v>134.55</v>
      </c>
      <c r="G1708" s="1" t="n">
        <f aca="false">IF(E1708=E1707,F1708/F1707-1,"")</f>
        <v>0.034204458109147</v>
      </c>
    </row>
    <row r="1709" customFormat="false" ht="14.25" hidden="false" customHeight="true" outlineLevel="0" collapsed="false">
      <c r="A1709" s="26" t="n">
        <v>28126</v>
      </c>
      <c r="B1709" s="1" t="n">
        <v>1977</v>
      </c>
      <c r="C1709" s="1" t="n">
        <v>1</v>
      </c>
      <c r="D1709" s="1" t="s">
        <v>42</v>
      </c>
      <c r="E1709" s="1" t="s">
        <v>14</v>
      </c>
      <c r="F1709" s="1" t="n">
        <v>132.1</v>
      </c>
      <c r="G1709" s="1" t="n">
        <f aca="false">IF(E1709=E1708,F1709/F1708-1,"")</f>
        <v>-0.0182088442958009</v>
      </c>
    </row>
    <row r="1710" customFormat="false" ht="14.25" hidden="false" customHeight="true" outlineLevel="0" collapsed="false">
      <c r="A1710" s="26" t="n">
        <v>28157</v>
      </c>
      <c r="B1710" s="1" t="n">
        <v>1977</v>
      </c>
      <c r="C1710" s="1" t="n">
        <v>2</v>
      </c>
      <c r="D1710" s="1" t="s">
        <v>43</v>
      </c>
      <c r="E1710" s="1" t="s">
        <v>14</v>
      </c>
      <c r="F1710" s="1" t="n">
        <v>142.25</v>
      </c>
      <c r="G1710" s="1" t="n">
        <f aca="false">IF(E1710=E1709,F1710/F1709-1,"")</f>
        <v>0.0768357305071916</v>
      </c>
    </row>
    <row r="1711" customFormat="false" ht="14.25" hidden="false" customHeight="true" outlineLevel="0" collapsed="false">
      <c r="A1711" s="26" t="n">
        <v>28185</v>
      </c>
      <c r="B1711" s="1" t="n">
        <v>1977</v>
      </c>
      <c r="C1711" s="1" t="n">
        <v>3</v>
      </c>
      <c r="D1711" s="1" t="s">
        <v>44</v>
      </c>
      <c r="E1711" s="1" t="s">
        <v>14</v>
      </c>
      <c r="F1711" s="1" t="n">
        <v>149.8</v>
      </c>
      <c r="G1711" s="1" t="n">
        <f aca="false">IF(E1711=E1710,F1711/F1710-1,"")</f>
        <v>0.0530755711775044</v>
      </c>
    </row>
    <row r="1712" customFormat="false" ht="14.25" hidden="false" customHeight="true" outlineLevel="0" collapsed="false">
      <c r="A1712" s="26" t="n">
        <v>28216</v>
      </c>
      <c r="B1712" s="1" t="n">
        <v>1977</v>
      </c>
      <c r="C1712" s="1" t="n">
        <v>4</v>
      </c>
      <c r="D1712" s="1" t="s">
        <v>45</v>
      </c>
      <c r="E1712" s="1" t="s">
        <v>14</v>
      </c>
      <c r="F1712" s="1" t="n">
        <v>146.5</v>
      </c>
      <c r="G1712" s="1" t="n">
        <f aca="false">IF(E1712=E1711,F1712/F1711-1,"")</f>
        <v>-0.0220293724966623</v>
      </c>
    </row>
    <row r="1713" customFormat="false" ht="14.25" hidden="false" customHeight="true" outlineLevel="0" collapsed="false">
      <c r="A1713" s="26" t="n">
        <v>28246</v>
      </c>
      <c r="B1713" s="1" t="n">
        <v>1977</v>
      </c>
      <c r="C1713" s="1" t="n">
        <v>5</v>
      </c>
      <c r="D1713" s="1" t="s">
        <v>46</v>
      </c>
      <c r="E1713" s="1" t="s">
        <v>14</v>
      </c>
      <c r="F1713" s="1" t="n">
        <v>143.2</v>
      </c>
      <c r="G1713" s="1" t="n">
        <f aca="false">IF(E1713=E1712,F1713/F1712-1,"")</f>
        <v>-0.0225255972696247</v>
      </c>
    </row>
    <row r="1714" customFormat="false" ht="14.25" hidden="false" customHeight="true" outlineLevel="0" collapsed="false">
      <c r="A1714" s="26" t="n">
        <v>28277</v>
      </c>
      <c r="B1714" s="1" t="n">
        <v>1977</v>
      </c>
      <c r="C1714" s="1" t="n">
        <v>6</v>
      </c>
      <c r="D1714" s="1" t="s">
        <v>47</v>
      </c>
      <c r="E1714" s="1" t="s">
        <v>14</v>
      </c>
      <c r="F1714" s="1" t="n">
        <v>142.95</v>
      </c>
      <c r="G1714" s="1" t="n">
        <f aca="false">IF(E1714=E1713,F1714/F1713-1,"")</f>
        <v>-0.00174581005586594</v>
      </c>
    </row>
    <row r="1715" customFormat="false" ht="14.25" hidden="false" customHeight="true" outlineLevel="0" collapsed="false">
      <c r="A1715" s="26" t="n">
        <v>28307</v>
      </c>
      <c r="B1715" s="1" t="n">
        <v>1977</v>
      </c>
      <c r="C1715" s="1" t="n">
        <v>7</v>
      </c>
      <c r="D1715" s="1" t="s">
        <v>48</v>
      </c>
      <c r="E1715" s="1" t="s">
        <v>14</v>
      </c>
      <c r="F1715" s="1" t="n">
        <v>144.5</v>
      </c>
      <c r="G1715" s="1" t="n">
        <f aca="false">IF(E1715=E1714,F1715/F1714-1,"")</f>
        <v>0.0108429520811473</v>
      </c>
    </row>
    <row r="1716" customFormat="false" ht="14.25" hidden="false" customHeight="true" outlineLevel="0" collapsed="false">
      <c r="A1716" s="26" t="n">
        <v>28338</v>
      </c>
      <c r="B1716" s="1" t="n">
        <v>1977</v>
      </c>
      <c r="C1716" s="1" t="n">
        <v>8</v>
      </c>
      <c r="D1716" s="1" t="s">
        <v>49</v>
      </c>
      <c r="E1716" s="1" t="s">
        <v>14</v>
      </c>
      <c r="F1716" s="1" t="n">
        <v>146</v>
      </c>
      <c r="G1716" s="1" t="n">
        <f aca="false">IF(E1716=E1715,F1716/F1715-1,"")</f>
        <v>0.0103806228373702</v>
      </c>
    </row>
    <row r="1717" customFormat="false" ht="14.25" hidden="false" customHeight="true" outlineLevel="0" collapsed="false">
      <c r="A1717" s="26" t="n">
        <v>28369</v>
      </c>
      <c r="B1717" s="1" t="n">
        <v>1977</v>
      </c>
      <c r="C1717" s="1" t="n">
        <v>9</v>
      </c>
      <c r="D1717" s="1" t="s">
        <v>50</v>
      </c>
      <c r="E1717" s="1" t="s">
        <v>14</v>
      </c>
      <c r="F1717" s="1" t="n">
        <v>153.9</v>
      </c>
      <c r="G1717" s="1" t="n">
        <f aca="false">IF(E1717=E1716,F1717/F1716-1,"")</f>
        <v>0.0541095890410959</v>
      </c>
    </row>
    <row r="1718" customFormat="false" ht="14.25" hidden="false" customHeight="true" outlineLevel="0" collapsed="false">
      <c r="A1718" s="26" t="n">
        <v>28399</v>
      </c>
      <c r="B1718" s="1" t="n">
        <v>1977</v>
      </c>
      <c r="C1718" s="1" t="n">
        <v>10</v>
      </c>
      <c r="D1718" s="1" t="s">
        <v>51</v>
      </c>
      <c r="E1718" s="1" t="s">
        <v>14</v>
      </c>
      <c r="F1718" s="1" t="n">
        <v>160.8</v>
      </c>
      <c r="G1718" s="1" t="n">
        <f aca="false">IF(E1718=E1717,F1718/F1717-1,"")</f>
        <v>0.0448343079922027</v>
      </c>
    </row>
    <row r="1719" customFormat="false" ht="14.25" hidden="false" customHeight="true" outlineLevel="0" collapsed="false">
      <c r="A1719" s="26" t="n">
        <v>28430</v>
      </c>
      <c r="B1719" s="1" t="n">
        <v>1977</v>
      </c>
      <c r="C1719" s="1" t="n">
        <v>11</v>
      </c>
      <c r="D1719" s="1" t="s">
        <v>52</v>
      </c>
      <c r="E1719" s="1" t="s">
        <v>14</v>
      </c>
      <c r="F1719" s="1" t="n">
        <v>159.8</v>
      </c>
      <c r="G1719" s="1" t="n">
        <f aca="false">IF(E1719=E1718,F1719/F1718-1,"")</f>
        <v>-0.00621890547263682</v>
      </c>
    </row>
    <row r="1720" customFormat="false" ht="14.25" hidden="false" customHeight="true" outlineLevel="0" collapsed="false">
      <c r="A1720" s="26" t="n">
        <v>28460</v>
      </c>
      <c r="B1720" s="1" t="n">
        <v>1977</v>
      </c>
      <c r="C1720" s="1" t="n">
        <v>12</v>
      </c>
      <c r="D1720" s="1" t="s">
        <v>53</v>
      </c>
      <c r="E1720" s="1" t="s">
        <v>14</v>
      </c>
      <c r="F1720" s="1" t="n">
        <v>165.6</v>
      </c>
      <c r="G1720" s="1" t="n">
        <f aca="false">IF(E1720=E1719,F1720/F1719-1,"")</f>
        <v>0.0362953692115142</v>
      </c>
    </row>
    <row r="1721" customFormat="false" ht="14.25" hidden="false" customHeight="true" outlineLevel="0" collapsed="false">
      <c r="A1721" s="26" t="n">
        <v>28491</v>
      </c>
      <c r="B1721" s="1" t="n">
        <v>1978</v>
      </c>
      <c r="C1721" s="1" t="n">
        <v>1</v>
      </c>
      <c r="D1721" s="1" t="s">
        <v>42</v>
      </c>
      <c r="E1721" s="1" t="s">
        <v>14</v>
      </c>
      <c r="F1721" s="1" t="n">
        <v>175.2</v>
      </c>
      <c r="G1721" s="1" t="n">
        <f aca="false">IF(E1721=E1720,F1721/F1720-1,"")</f>
        <v>0.0579710144927537</v>
      </c>
    </row>
    <row r="1722" customFormat="false" ht="14.25" hidden="false" customHeight="true" outlineLevel="0" collapsed="false">
      <c r="A1722" s="26" t="n">
        <v>28522</v>
      </c>
      <c r="B1722" s="1" t="n">
        <v>1978</v>
      </c>
      <c r="C1722" s="1" t="n">
        <v>2</v>
      </c>
      <c r="D1722" s="1" t="s">
        <v>43</v>
      </c>
      <c r="E1722" s="1" t="s">
        <v>14</v>
      </c>
      <c r="F1722" s="1" t="n">
        <v>182</v>
      </c>
      <c r="G1722" s="1" t="n">
        <f aca="false">IF(E1722=E1721,F1722/F1721-1,"")</f>
        <v>0.0388127853881279</v>
      </c>
    </row>
    <row r="1723" customFormat="false" ht="14.25" hidden="false" customHeight="true" outlineLevel="0" collapsed="false">
      <c r="A1723" s="26" t="n">
        <v>28550</v>
      </c>
      <c r="B1723" s="1" t="n">
        <v>1978</v>
      </c>
      <c r="C1723" s="1" t="n">
        <v>3</v>
      </c>
      <c r="D1723" s="1" t="s">
        <v>44</v>
      </c>
      <c r="E1723" s="1" t="s">
        <v>14</v>
      </c>
      <c r="F1723" s="1" t="n">
        <v>180.75</v>
      </c>
      <c r="G1723" s="1" t="n">
        <f aca="false">IF(E1723=E1722,F1723/F1722-1,"")</f>
        <v>-0.00686813186813184</v>
      </c>
    </row>
    <row r="1724" customFormat="false" ht="14.25" hidden="false" customHeight="true" outlineLevel="0" collapsed="false">
      <c r="A1724" s="26" t="n">
        <v>28581</v>
      </c>
      <c r="B1724" s="1" t="n">
        <v>1978</v>
      </c>
      <c r="C1724" s="1" t="n">
        <v>4</v>
      </c>
      <c r="D1724" s="1" t="s">
        <v>45</v>
      </c>
      <c r="E1724" s="1" t="s">
        <v>14</v>
      </c>
      <c r="F1724" s="1" t="n">
        <v>170</v>
      </c>
      <c r="G1724" s="1" t="n">
        <f aca="false">IF(E1724=E1723,F1724/F1723-1,"")</f>
        <v>-0.0594744121715076</v>
      </c>
    </row>
    <row r="1725" customFormat="false" ht="14.25" hidden="false" customHeight="true" outlineLevel="0" collapsed="false">
      <c r="A1725" s="26" t="n">
        <v>28611</v>
      </c>
      <c r="B1725" s="1" t="n">
        <v>1978</v>
      </c>
      <c r="C1725" s="1" t="n">
        <v>5</v>
      </c>
      <c r="D1725" s="1" t="s">
        <v>46</v>
      </c>
      <c r="E1725" s="1" t="s">
        <v>14</v>
      </c>
      <c r="F1725" s="1" t="n">
        <v>184.9</v>
      </c>
      <c r="G1725" s="1" t="n">
        <f aca="false">IF(E1725=E1724,F1725/F1724-1,"")</f>
        <v>0.0876470588235294</v>
      </c>
    </row>
    <row r="1726" customFormat="false" ht="14.25" hidden="false" customHeight="true" outlineLevel="0" collapsed="false">
      <c r="A1726" s="26" t="n">
        <v>28642</v>
      </c>
      <c r="B1726" s="1" t="n">
        <v>1978</v>
      </c>
      <c r="C1726" s="1" t="n">
        <v>6</v>
      </c>
      <c r="D1726" s="1" t="s">
        <v>47</v>
      </c>
      <c r="E1726" s="1" t="s">
        <v>14</v>
      </c>
      <c r="F1726" s="1" t="n">
        <v>183.2</v>
      </c>
      <c r="G1726" s="1" t="n">
        <f aca="false">IF(E1726=E1725,F1726/F1725-1,"")</f>
        <v>-0.00919415900486764</v>
      </c>
    </row>
    <row r="1727" customFormat="false" ht="14.25" hidden="false" customHeight="true" outlineLevel="0" collapsed="false">
      <c r="A1727" s="26" t="n">
        <v>28672</v>
      </c>
      <c r="B1727" s="1" t="n">
        <v>1978</v>
      </c>
      <c r="C1727" s="1" t="n">
        <v>7</v>
      </c>
      <c r="D1727" s="1" t="s">
        <v>48</v>
      </c>
      <c r="E1727" s="1" t="s">
        <v>14</v>
      </c>
      <c r="F1727" s="1" t="n">
        <v>198.9</v>
      </c>
      <c r="G1727" s="1" t="n">
        <f aca="false">IF(E1727=E1726,F1727/F1726-1,"")</f>
        <v>0.0856986899563319</v>
      </c>
    </row>
    <row r="1728" customFormat="false" ht="14.25" hidden="false" customHeight="true" outlineLevel="0" collapsed="false">
      <c r="A1728" s="26" t="n">
        <v>28703</v>
      </c>
      <c r="B1728" s="1" t="n">
        <v>1978</v>
      </c>
      <c r="C1728" s="1" t="n">
        <v>8</v>
      </c>
      <c r="D1728" s="1" t="s">
        <v>49</v>
      </c>
      <c r="E1728" s="1" t="s">
        <v>14</v>
      </c>
      <c r="F1728" s="1" t="n">
        <v>207.3</v>
      </c>
      <c r="G1728" s="1" t="n">
        <f aca="false">IF(E1728=E1727,F1728/F1727-1,"")</f>
        <v>0.0422322775263952</v>
      </c>
    </row>
    <row r="1729" customFormat="false" ht="14.25" hidden="false" customHeight="true" outlineLevel="0" collapsed="false">
      <c r="A1729" s="26" t="n">
        <v>28734</v>
      </c>
      <c r="B1729" s="1" t="n">
        <v>1978</v>
      </c>
      <c r="C1729" s="1" t="n">
        <v>9</v>
      </c>
      <c r="D1729" s="1" t="s">
        <v>50</v>
      </c>
      <c r="E1729" s="1" t="s">
        <v>14</v>
      </c>
      <c r="F1729" s="1" t="n">
        <v>217.45</v>
      </c>
      <c r="G1729" s="1" t="n">
        <f aca="false">IF(E1729=E1728,F1729/F1728-1,"")</f>
        <v>0.0489628557645923</v>
      </c>
    </row>
    <row r="1730" customFormat="false" ht="14.25" hidden="false" customHeight="true" outlineLevel="0" collapsed="false">
      <c r="A1730" s="26" t="n">
        <v>28764</v>
      </c>
      <c r="B1730" s="1" t="n">
        <v>1978</v>
      </c>
      <c r="C1730" s="1" t="n">
        <v>10</v>
      </c>
      <c r="D1730" s="1" t="s">
        <v>51</v>
      </c>
      <c r="E1730" s="1" t="s">
        <v>14</v>
      </c>
      <c r="F1730" s="1" t="n">
        <v>243.65</v>
      </c>
      <c r="G1730" s="1" t="n">
        <f aca="false">IF(E1730=E1729,F1730/F1729-1,"")</f>
        <v>0.120487468383537</v>
      </c>
    </row>
    <row r="1731" customFormat="false" ht="14.25" hidden="false" customHeight="true" outlineLevel="0" collapsed="false">
      <c r="A1731" s="26" t="n">
        <v>28795</v>
      </c>
      <c r="B1731" s="1" t="n">
        <v>1978</v>
      </c>
      <c r="C1731" s="1" t="n">
        <v>11</v>
      </c>
      <c r="D1731" s="1" t="s">
        <v>52</v>
      </c>
      <c r="E1731" s="1" t="s">
        <v>14</v>
      </c>
      <c r="F1731" s="1" t="n">
        <v>193.7</v>
      </c>
      <c r="G1731" s="1" t="n">
        <f aca="false">IF(E1731=E1730,F1731/F1730-1,"")</f>
        <v>-0.205007182433819</v>
      </c>
    </row>
    <row r="1732" customFormat="false" ht="14.25" hidden="false" customHeight="true" outlineLevel="0" collapsed="false">
      <c r="A1732" s="26" t="n">
        <v>28825</v>
      </c>
      <c r="B1732" s="1" t="n">
        <v>1978</v>
      </c>
      <c r="C1732" s="1" t="n">
        <v>12</v>
      </c>
      <c r="D1732" s="1" t="s">
        <v>53</v>
      </c>
      <c r="E1732" s="1" t="s">
        <v>14</v>
      </c>
      <c r="F1732" s="1" t="n">
        <v>224.5</v>
      </c>
      <c r="G1732" s="1" t="n">
        <f aca="false">IF(E1732=E1731,F1732/F1731-1,"")</f>
        <v>0.159008776458441</v>
      </c>
    </row>
    <row r="1733" customFormat="false" ht="14.25" hidden="false" customHeight="true" outlineLevel="0" collapsed="false">
      <c r="A1733" s="26" t="n">
        <v>28856</v>
      </c>
      <c r="B1733" s="1" t="n">
        <v>1979</v>
      </c>
      <c r="C1733" s="1" t="n">
        <v>1</v>
      </c>
      <c r="D1733" s="1" t="s">
        <v>42</v>
      </c>
      <c r="E1733" s="1" t="s">
        <v>14</v>
      </c>
      <c r="F1733" s="1" t="n">
        <v>233.05</v>
      </c>
      <c r="G1733" s="1" t="n">
        <f aca="false">IF(E1733=E1732,F1733/F1732-1,"")</f>
        <v>0.0380846325167039</v>
      </c>
    </row>
    <row r="1734" customFormat="false" ht="14.25" hidden="false" customHeight="true" outlineLevel="0" collapsed="false">
      <c r="A1734" s="26" t="n">
        <v>28887</v>
      </c>
      <c r="B1734" s="1" t="n">
        <v>1979</v>
      </c>
      <c r="C1734" s="1" t="n">
        <v>2</v>
      </c>
      <c r="D1734" s="1" t="s">
        <v>43</v>
      </c>
      <c r="E1734" s="1" t="s">
        <v>14</v>
      </c>
      <c r="F1734" s="1" t="n">
        <v>250.9</v>
      </c>
      <c r="G1734" s="1" t="n">
        <f aca="false">IF(E1734=E1733,F1734/F1733-1,"")</f>
        <v>0.0765930057927484</v>
      </c>
    </row>
    <row r="1735" customFormat="false" ht="14.25" hidden="false" customHeight="true" outlineLevel="0" collapsed="false">
      <c r="A1735" s="26" t="n">
        <v>28915</v>
      </c>
      <c r="B1735" s="1" t="n">
        <v>1979</v>
      </c>
      <c r="C1735" s="1" t="n">
        <v>3</v>
      </c>
      <c r="D1735" s="1" t="s">
        <v>44</v>
      </c>
      <c r="E1735" s="1" t="s">
        <v>14</v>
      </c>
      <c r="F1735" s="1" t="n">
        <v>239.65</v>
      </c>
      <c r="G1735" s="1" t="n">
        <f aca="false">IF(E1735=E1734,F1735/F1734-1,"")</f>
        <v>-0.0448385811080112</v>
      </c>
    </row>
    <row r="1736" customFormat="false" ht="14.25" hidden="false" customHeight="true" outlineLevel="0" collapsed="false">
      <c r="A1736" s="26" t="n">
        <v>28946</v>
      </c>
      <c r="B1736" s="1" t="n">
        <v>1979</v>
      </c>
      <c r="C1736" s="1" t="n">
        <v>4</v>
      </c>
      <c r="D1736" s="1" t="s">
        <v>45</v>
      </c>
      <c r="E1736" s="1" t="s">
        <v>14</v>
      </c>
      <c r="F1736" s="1" t="n">
        <v>243.45</v>
      </c>
      <c r="G1736" s="1" t="n">
        <f aca="false">IF(E1736=E1735,F1736/F1735-1,"")</f>
        <v>0.0158564573336115</v>
      </c>
    </row>
    <row r="1737" customFormat="false" ht="14.25" hidden="false" customHeight="true" outlineLevel="0" collapsed="false">
      <c r="A1737" s="26" t="n">
        <v>28976</v>
      </c>
      <c r="B1737" s="1" t="n">
        <v>1979</v>
      </c>
      <c r="C1737" s="1" t="n">
        <v>5</v>
      </c>
      <c r="D1737" s="1" t="s">
        <v>46</v>
      </c>
      <c r="E1737" s="1" t="s">
        <v>14</v>
      </c>
      <c r="F1737" s="1" t="n">
        <v>277.15</v>
      </c>
      <c r="G1737" s="1" t="n">
        <f aca="false">IF(E1737=E1736,F1737/F1736-1,"")</f>
        <v>0.138426781680016</v>
      </c>
    </row>
    <row r="1738" customFormat="false" ht="14.25" hidden="false" customHeight="true" outlineLevel="0" collapsed="false">
      <c r="A1738" s="26" t="n">
        <v>29007</v>
      </c>
      <c r="B1738" s="1" t="n">
        <v>1979</v>
      </c>
      <c r="C1738" s="1" t="n">
        <v>6</v>
      </c>
      <c r="D1738" s="1" t="s">
        <v>47</v>
      </c>
      <c r="E1738" s="1" t="s">
        <v>14</v>
      </c>
      <c r="F1738" s="1" t="n">
        <v>276.45</v>
      </c>
      <c r="G1738" s="1" t="n">
        <f aca="false">IF(E1738=E1737,F1738/F1737-1,"")</f>
        <v>-0.00252570810030661</v>
      </c>
    </row>
    <row r="1739" customFormat="false" ht="14.25" hidden="false" customHeight="true" outlineLevel="0" collapsed="false">
      <c r="A1739" s="26" t="n">
        <v>29037</v>
      </c>
      <c r="B1739" s="1" t="n">
        <v>1979</v>
      </c>
      <c r="C1739" s="1" t="n">
        <v>7</v>
      </c>
      <c r="D1739" s="1" t="s">
        <v>48</v>
      </c>
      <c r="E1739" s="1" t="s">
        <v>14</v>
      </c>
      <c r="F1739" s="1" t="n">
        <v>295.35</v>
      </c>
      <c r="G1739" s="1" t="n">
        <f aca="false">IF(E1739=E1738,F1739/F1738-1,"")</f>
        <v>0.0683667932718395</v>
      </c>
    </row>
    <row r="1740" customFormat="false" ht="14.25" hidden="false" customHeight="true" outlineLevel="0" collapsed="false">
      <c r="A1740" s="26" t="n">
        <v>29068</v>
      </c>
      <c r="B1740" s="1" t="n">
        <v>1979</v>
      </c>
      <c r="C1740" s="1" t="n">
        <v>8</v>
      </c>
      <c r="D1740" s="1" t="s">
        <v>49</v>
      </c>
      <c r="E1740" s="1" t="s">
        <v>14</v>
      </c>
      <c r="F1740" s="1" t="n">
        <v>317.75</v>
      </c>
      <c r="G1740" s="1" t="n">
        <f aca="false">IF(E1740=E1739,F1740/F1739-1,"")</f>
        <v>0.0758422210936176</v>
      </c>
    </row>
    <row r="1741" customFormat="false" ht="14.25" hidden="false" customHeight="true" outlineLevel="0" collapsed="false">
      <c r="A1741" s="26" t="n">
        <v>29099</v>
      </c>
      <c r="B1741" s="1" t="n">
        <v>1979</v>
      </c>
      <c r="C1741" s="1" t="n">
        <v>9</v>
      </c>
      <c r="D1741" s="1" t="s">
        <v>50</v>
      </c>
      <c r="E1741" s="1" t="s">
        <v>14</v>
      </c>
      <c r="F1741" s="1" t="n">
        <v>397</v>
      </c>
      <c r="G1741" s="1" t="n">
        <f aca="false">IF(E1741=E1740,F1741/F1740-1,"")</f>
        <v>0.249409913453973</v>
      </c>
    </row>
    <row r="1742" customFormat="false" ht="14.25" hidden="false" customHeight="true" outlineLevel="0" collapsed="false">
      <c r="A1742" s="26" t="n">
        <v>29129</v>
      </c>
      <c r="B1742" s="1" t="n">
        <v>1979</v>
      </c>
      <c r="C1742" s="1" t="n">
        <v>10</v>
      </c>
      <c r="D1742" s="1" t="s">
        <v>51</v>
      </c>
      <c r="E1742" s="1" t="s">
        <v>14</v>
      </c>
      <c r="F1742" s="1" t="n">
        <v>379.75</v>
      </c>
      <c r="G1742" s="1" t="n">
        <f aca="false">IF(E1742=E1741,F1742/F1741-1,"")</f>
        <v>-0.0434508816120907</v>
      </c>
    </row>
    <row r="1743" customFormat="false" ht="14.25" hidden="false" customHeight="true" outlineLevel="0" collapsed="false">
      <c r="A1743" s="26" t="n">
        <v>29160</v>
      </c>
      <c r="B1743" s="1" t="n">
        <v>1979</v>
      </c>
      <c r="C1743" s="1" t="n">
        <v>11</v>
      </c>
      <c r="D1743" s="1" t="s">
        <v>52</v>
      </c>
      <c r="E1743" s="1" t="s">
        <v>14</v>
      </c>
      <c r="F1743" s="1" t="n">
        <v>417.2</v>
      </c>
      <c r="G1743" s="1" t="n">
        <f aca="false">IF(E1743=E1742,F1743/F1742-1,"")</f>
        <v>0.0986175115207373</v>
      </c>
    </row>
    <row r="1744" customFormat="false" ht="14.25" hidden="false" customHeight="true" outlineLevel="0" collapsed="false">
      <c r="A1744" s="26" t="n">
        <v>29190</v>
      </c>
      <c r="B1744" s="1" t="n">
        <v>1979</v>
      </c>
      <c r="C1744" s="1" t="n">
        <v>12</v>
      </c>
      <c r="D1744" s="1" t="s">
        <v>53</v>
      </c>
      <c r="E1744" s="1" t="s">
        <v>14</v>
      </c>
      <c r="F1744" s="1" t="n">
        <v>524</v>
      </c>
      <c r="G1744" s="1" t="n">
        <f aca="false">IF(E1744=E1743,F1744/F1743-1,"")</f>
        <v>0.255992329817833</v>
      </c>
    </row>
    <row r="1745" customFormat="false" ht="14.25" hidden="false" customHeight="true" outlineLevel="0" collapsed="false">
      <c r="A1745" s="26" t="n">
        <v>29221</v>
      </c>
      <c r="B1745" s="1" t="n">
        <v>1980</v>
      </c>
      <c r="C1745" s="1" t="n">
        <v>1</v>
      </c>
      <c r="D1745" s="1" t="s">
        <v>42</v>
      </c>
      <c r="E1745" s="1" t="s">
        <v>14</v>
      </c>
      <c r="F1745" s="1" t="n">
        <v>668</v>
      </c>
      <c r="G1745" s="1" t="n">
        <f aca="false">IF(E1745=E1744,F1745/F1744-1,"")</f>
        <v>0.274809160305344</v>
      </c>
    </row>
    <row r="1746" customFormat="false" ht="14.25" hidden="false" customHeight="true" outlineLevel="0" collapsed="false">
      <c r="A1746" s="26" t="n">
        <v>29252</v>
      </c>
      <c r="B1746" s="1" t="n">
        <v>1980</v>
      </c>
      <c r="C1746" s="1" t="n">
        <v>2</v>
      </c>
      <c r="D1746" s="1" t="s">
        <v>43</v>
      </c>
      <c r="E1746" s="1" t="s">
        <v>14</v>
      </c>
      <c r="F1746" s="1" t="n">
        <v>640</v>
      </c>
      <c r="G1746" s="1" t="n">
        <f aca="false">IF(E1746=E1745,F1746/F1745-1,"")</f>
        <v>-0.0419161676646707</v>
      </c>
    </row>
    <row r="1747" customFormat="false" ht="14.25" hidden="false" customHeight="true" outlineLevel="0" collapsed="false">
      <c r="A1747" s="26" t="n">
        <v>29281</v>
      </c>
      <c r="B1747" s="1" t="n">
        <v>1980</v>
      </c>
      <c r="C1747" s="1" t="n">
        <v>3</v>
      </c>
      <c r="D1747" s="1" t="s">
        <v>44</v>
      </c>
      <c r="E1747" s="1" t="s">
        <v>14</v>
      </c>
      <c r="F1747" s="1" t="n">
        <v>503.25</v>
      </c>
      <c r="G1747" s="1" t="n">
        <f aca="false">IF(E1747=E1746,F1747/F1746-1,"")</f>
        <v>-0.213671875</v>
      </c>
    </row>
    <row r="1748" customFormat="false" ht="14.25" hidden="false" customHeight="true" outlineLevel="0" collapsed="false">
      <c r="A1748" s="26" t="n">
        <v>29312</v>
      </c>
      <c r="B1748" s="1" t="n">
        <v>1980</v>
      </c>
      <c r="C1748" s="1" t="n">
        <v>4</v>
      </c>
      <c r="D1748" s="1" t="s">
        <v>45</v>
      </c>
      <c r="E1748" s="1" t="s">
        <v>14</v>
      </c>
      <c r="F1748" s="1" t="n">
        <v>519.25</v>
      </c>
      <c r="G1748" s="1" t="n">
        <f aca="false">IF(E1748=E1747,F1748/F1747-1,"")</f>
        <v>0.0317933432687532</v>
      </c>
    </row>
    <row r="1749" customFormat="false" ht="14.25" hidden="false" customHeight="true" outlineLevel="0" collapsed="false">
      <c r="A1749" s="26" t="n">
        <v>29342</v>
      </c>
      <c r="B1749" s="1" t="n">
        <v>1980</v>
      </c>
      <c r="C1749" s="1" t="n">
        <v>5</v>
      </c>
      <c r="D1749" s="1" t="s">
        <v>46</v>
      </c>
      <c r="E1749" s="1" t="s">
        <v>14</v>
      </c>
      <c r="F1749" s="1" t="n">
        <v>531.4</v>
      </c>
      <c r="G1749" s="1" t="n">
        <f aca="false">IF(E1749=E1748,F1749/F1748-1,"")</f>
        <v>0.0233991333654309</v>
      </c>
    </row>
    <row r="1750" customFormat="false" ht="14.25" hidden="false" customHeight="true" outlineLevel="0" collapsed="false">
      <c r="A1750" s="26" t="n">
        <v>29373</v>
      </c>
      <c r="B1750" s="1" t="n">
        <v>1980</v>
      </c>
      <c r="C1750" s="1" t="n">
        <v>6</v>
      </c>
      <c r="D1750" s="1" t="s">
        <v>47</v>
      </c>
      <c r="E1750" s="1" t="s">
        <v>14</v>
      </c>
      <c r="F1750" s="1" t="n">
        <v>662.5</v>
      </c>
      <c r="G1750" s="1" t="n">
        <f aca="false">IF(E1750=E1749,F1750/F1749-1,"")</f>
        <v>0.246706812194204</v>
      </c>
    </row>
    <row r="1751" customFormat="false" ht="14.25" hidden="false" customHeight="true" outlineLevel="0" collapsed="false">
      <c r="A1751" s="26" t="n">
        <v>29403</v>
      </c>
      <c r="B1751" s="1" t="n">
        <v>1980</v>
      </c>
      <c r="C1751" s="1" t="n">
        <v>7</v>
      </c>
      <c r="D1751" s="1" t="s">
        <v>48</v>
      </c>
      <c r="E1751" s="1" t="s">
        <v>14</v>
      </c>
      <c r="F1751" s="1" t="n">
        <v>618</v>
      </c>
      <c r="G1751" s="1" t="n">
        <f aca="false">IF(E1751=E1750,F1751/F1750-1,"")</f>
        <v>-0.0671698113207547</v>
      </c>
    </row>
    <row r="1752" customFormat="false" ht="14.25" hidden="false" customHeight="true" outlineLevel="0" collapsed="false">
      <c r="A1752" s="26" t="n">
        <v>29434</v>
      </c>
      <c r="B1752" s="1" t="n">
        <v>1980</v>
      </c>
      <c r="C1752" s="1" t="n">
        <v>8</v>
      </c>
      <c r="D1752" s="1" t="s">
        <v>49</v>
      </c>
      <c r="E1752" s="1" t="s">
        <v>14</v>
      </c>
      <c r="F1752" s="1" t="n">
        <v>633.75</v>
      </c>
      <c r="G1752" s="1" t="n">
        <f aca="false">IF(E1752=E1751,F1752/F1751-1,"")</f>
        <v>0.0254854368932038</v>
      </c>
    </row>
    <row r="1753" customFormat="false" ht="14.25" hidden="false" customHeight="true" outlineLevel="0" collapsed="false">
      <c r="A1753" s="26" t="n">
        <v>29465</v>
      </c>
      <c r="B1753" s="1" t="n">
        <v>1980</v>
      </c>
      <c r="C1753" s="1" t="n">
        <v>9</v>
      </c>
      <c r="D1753" s="1" t="s">
        <v>50</v>
      </c>
      <c r="E1753" s="1" t="s">
        <v>14</v>
      </c>
      <c r="F1753" s="1" t="n">
        <v>670</v>
      </c>
      <c r="G1753" s="1" t="n">
        <f aca="false">IF(E1753=E1752,F1753/F1752-1,"")</f>
        <v>0.057199211045365</v>
      </c>
    </row>
    <row r="1754" customFormat="false" ht="14.25" hidden="false" customHeight="true" outlineLevel="0" collapsed="false">
      <c r="A1754" s="26" t="n">
        <v>29495</v>
      </c>
      <c r="B1754" s="1" t="n">
        <v>1980</v>
      </c>
      <c r="C1754" s="1" t="n">
        <v>10</v>
      </c>
      <c r="D1754" s="1" t="s">
        <v>51</v>
      </c>
      <c r="E1754" s="1" t="s">
        <v>14</v>
      </c>
      <c r="F1754" s="1" t="n">
        <v>636</v>
      </c>
      <c r="G1754" s="1" t="n">
        <f aca="false">IF(E1754=E1753,F1754/F1753-1,"")</f>
        <v>-0.0507462686567164</v>
      </c>
    </row>
    <row r="1755" customFormat="false" ht="14.25" hidden="false" customHeight="true" outlineLevel="0" collapsed="false">
      <c r="A1755" s="26" t="n">
        <v>29526</v>
      </c>
      <c r="B1755" s="1" t="n">
        <v>1980</v>
      </c>
      <c r="C1755" s="1" t="n">
        <v>11</v>
      </c>
      <c r="D1755" s="1" t="s">
        <v>52</v>
      </c>
      <c r="E1755" s="1" t="s">
        <v>14</v>
      </c>
      <c r="F1755" s="1" t="n">
        <v>621.5</v>
      </c>
      <c r="G1755" s="1" t="n">
        <f aca="false">IF(E1755=E1754,F1755/F1754-1,"")</f>
        <v>-0.0227987421383647</v>
      </c>
    </row>
    <row r="1756" customFormat="false" ht="14.25" hidden="false" customHeight="true" outlineLevel="0" collapsed="false">
      <c r="A1756" s="26" t="n">
        <v>29556</v>
      </c>
      <c r="B1756" s="1" t="n">
        <v>1980</v>
      </c>
      <c r="C1756" s="1" t="n">
        <v>12</v>
      </c>
      <c r="D1756" s="1" t="s">
        <v>53</v>
      </c>
      <c r="E1756" s="1" t="s">
        <v>14</v>
      </c>
      <c r="F1756" s="1" t="n">
        <v>589.5</v>
      </c>
      <c r="G1756" s="1" t="n">
        <f aca="false">IF(E1756=E1755,F1756/F1755-1,"")</f>
        <v>-0.0514883346741754</v>
      </c>
    </row>
    <row r="1757" customFormat="false" ht="14.25" hidden="false" customHeight="true" outlineLevel="0" collapsed="false">
      <c r="A1757" s="26" t="n">
        <v>29587</v>
      </c>
      <c r="B1757" s="1" t="n">
        <v>1981</v>
      </c>
      <c r="C1757" s="1" t="n">
        <v>1</v>
      </c>
      <c r="D1757" s="1" t="s">
        <v>42</v>
      </c>
      <c r="E1757" s="1" t="s">
        <v>14</v>
      </c>
      <c r="F1757" s="1" t="n">
        <v>507.5</v>
      </c>
      <c r="G1757" s="1" t="n">
        <f aca="false">IF(E1757=E1756,F1757/F1756-1,"")</f>
        <v>-0.139100932994063</v>
      </c>
    </row>
    <row r="1758" customFormat="false" ht="14.25" hidden="false" customHeight="true" outlineLevel="0" collapsed="false">
      <c r="A1758" s="26" t="n">
        <v>29618</v>
      </c>
      <c r="B1758" s="1" t="n">
        <v>1981</v>
      </c>
      <c r="C1758" s="1" t="n">
        <v>2</v>
      </c>
      <c r="D1758" s="1" t="s">
        <v>43</v>
      </c>
      <c r="E1758" s="1" t="s">
        <v>14</v>
      </c>
      <c r="F1758" s="1" t="n">
        <v>490.25</v>
      </c>
      <c r="G1758" s="1" t="n">
        <f aca="false">IF(E1758=E1757,F1758/F1757-1,"")</f>
        <v>-0.0339901477832513</v>
      </c>
    </row>
    <row r="1759" customFormat="false" ht="14.25" hidden="false" customHeight="true" outlineLevel="0" collapsed="false">
      <c r="A1759" s="26" t="n">
        <v>29646</v>
      </c>
      <c r="B1759" s="1" t="n">
        <v>1981</v>
      </c>
      <c r="C1759" s="1" t="n">
        <v>3</v>
      </c>
      <c r="D1759" s="1" t="s">
        <v>44</v>
      </c>
      <c r="E1759" s="1" t="s">
        <v>14</v>
      </c>
      <c r="F1759" s="1" t="n">
        <v>514.25</v>
      </c>
      <c r="G1759" s="1" t="n">
        <f aca="false">IF(E1759=E1758,F1759/F1758-1,"")</f>
        <v>0.0489546149923508</v>
      </c>
    </row>
    <row r="1760" customFormat="false" ht="14.25" hidden="false" customHeight="true" outlineLevel="0" collapsed="false">
      <c r="A1760" s="26" t="n">
        <v>29677</v>
      </c>
      <c r="B1760" s="1" t="n">
        <v>1981</v>
      </c>
      <c r="C1760" s="1" t="n">
        <v>4</v>
      </c>
      <c r="D1760" s="1" t="s">
        <v>45</v>
      </c>
      <c r="E1760" s="1" t="s">
        <v>14</v>
      </c>
      <c r="F1760" s="1" t="n">
        <v>481</v>
      </c>
      <c r="G1760" s="1" t="n">
        <f aca="false">IF(E1760=E1759,F1760/F1759-1,"")</f>
        <v>-0.064657267865824</v>
      </c>
    </row>
    <row r="1761" customFormat="false" ht="14.25" hidden="false" customHeight="true" outlineLevel="0" collapsed="false">
      <c r="A1761" s="26" t="n">
        <v>29707</v>
      </c>
      <c r="B1761" s="1" t="n">
        <v>1981</v>
      </c>
      <c r="C1761" s="1" t="n">
        <v>5</v>
      </c>
      <c r="D1761" s="1" t="s">
        <v>46</v>
      </c>
      <c r="E1761" s="1" t="s">
        <v>14</v>
      </c>
      <c r="F1761" s="1" t="n">
        <v>478.75</v>
      </c>
      <c r="G1761" s="1" t="n">
        <f aca="false">IF(E1761=E1760,F1761/F1760-1,"")</f>
        <v>-0.00467775467775466</v>
      </c>
    </row>
    <row r="1762" customFormat="false" ht="14.25" hidden="false" customHeight="true" outlineLevel="0" collapsed="false">
      <c r="A1762" s="26" t="n">
        <v>29738</v>
      </c>
      <c r="B1762" s="1" t="n">
        <v>1981</v>
      </c>
      <c r="C1762" s="1" t="n">
        <v>6</v>
      </c>
      <c r="D1762" s="1" t="s">
        <v>47</v>
      </c>
      <c r="E1762" s="1" t="s">
        <v>14</v>
      </c>
      <c r="F1762" s="1" t="n">
        <v>421.5</v>
      </c>
      <c r="G1762" s="1" t="n">
        <f aca="false">IF(E1762=E1761,F1762/F1761-1,"")</f>
        <v>-0.119582245430809</v>
      </c>
    </row>
    <row r="1763" customFormat="false" ht="14.25" hidden="false" customHeight="true" outlineLevel="0" collapsed="false">
      <c r="A1763" s="26" t="n">
        <v>29768</v>
      </c>
      <c r="B1763" s="1" t="n">
        <v>1981</v>
      </c>
      <c r="C1763" s="1" t="n">
        <v>7</v>
      </c>
      <c r="D1763" s="1" t="s">
        <v>48</v>
      </c>
      <c r="E1763" s="1" t="s">
        <v>14</v>
      </c>
      <c r="F1763" s="1" t="n">
        <v>405.25</v>
      </c>
      <c r="G1763" s="1" t="n">
        <f aca="false">IF(E1763=E1762,F1763/F1762-1,"")</f>
        <v>-0.038552787663108</v>
      </c>
    </row>
    <row r="1764" customFormat="false" ht="14.25" hidden="false" customHeight="true" outlineLevel="0" collapsed="false">
      <c r="A1764" s="26" t="n">
        <v>29799</v>
      </c>
      <c r="B1764" s="1" t="n">
        <v>1981</v>
      </c>
      <c r="C1764" s="1" t="n">
        <v>8</v>
      </c>
      <c r="D1764" s="1" t="s">
        <v>49</v>
      </c>
      <c r="E1764" s="1" t="s">
        <v>14</v>
      </c>
      <c r="F1764" s="1" t="n">
        <v>425.5</v>
      </c>
      <c r="G1764" s="1" t="n">
        <f aca="false">IF(E1764=E1763,F1764/F1763-1,"")</f>
        <v>0.0499691548426897</v>
      </c>
    </row>
    <row r="1765" customFormat="false" ht="14.25" hidden="false" customHeight="true" outlineLevel="0" collapsed="false">
      <c r="A1765" s="26" t="n">
        <v>29830</v>
      </c>
      <c r="B1765" s="1" t="n">
        <v>1981</v>
      </c>
      <c r="C1765" s="1" t="n">
        <v>9</v>
      </c>
      <c r="D1765" s="1" t="s">
        <v>50</v>
      </c>
      <c r="E1765" s="1" t="s">
        <v>14</v>
      </c>
      <c r="F1765" s="1" t="n">
        <v>426.5</v>
      </c>
      <c r="G1765" s="1" t="n">
        <f aca="false">IF(E1765=E1764,F1765/F1764-1,"")</f>
        <v>0.00235017626321965</v>
      </c>
    </row>
    <row r="1766" customFormat="false" ht="14.25" hidden="false" customHeight="true" outlineLevel="0" collapsed="false">
      <c r="A1766" s="26" t="n">
        <v>29860</v>
      </c>
      <c r="B1766" s="1" t="n">
        <v>1981</v>
      </c>
      <c r="C1766" s="1" t="n">
        <v>10</v>
      </c>
      <c r="D1766" s="1" t="s">
        <v>51</v>
      </c>
      <c r="E1766" s="1" t="s">
        <v>14</v>
      </c>
      <c r="F1766" s="1" t="n">
        <v>429</v>
      </c>
      <c r="G1766" s="1" t="n">
        <f aca="false">IF(E1766=E1765,F1766/F1765-1,"")</f>
        <v>0.00586166471277849</v>
      </c>
    </row>
    <row r="1767" customFormat="false" ht="14.25" hidden="false" customHeight="true" outlineLevel="0" collapsed="false">
      <c r="A1767" s="26" t="n">
        <v>29891</v>
      </c>
      <c r="B1767" s="1" t="n">
        <v>1981</v>
      </c>
      <c r="C1767" s="1" t="n">
        <v>11</v>
      </c>
      <c r="D1767" s="1" t="s">
        <v>52</v>
      </c>
      <c r="E1767" s="1" t="s">
        <v>14</v>
      </c>
      <c r="F1767" s="1" t="n">
        <v>415.5</v>
      </c>
      <c r="G1767" s="1" t="n">
        <f aca="false">IF(E1767=E1766,F1767/F1766-1,"")</f>
        <v>-0.0314685314685315</v>
      </c>
    </row>
    <row r="1768" customFormat="false" ht="14.25" hidden="false" customHeight="true" outlineLevel="0" collapsed="false">
      <c r="A1768" s="26" t="n">
        <v>29921</v>
      </c>
      <c r="B1768" s="1" t="n">
        <v>1981</v>
      </c>
      <c r="C1768" s="1" t="n">
        <v>12</v>
      </c>
      <c r="D1768" s="1" t="s">
        <v>53</v>
      </c>
      <c r="E1768" s="1" t="s">
        <v>14</v>
      </c>
      <c r="F1768" s="1" t="n">
        <v>400</v>
      </c>
      <c r="G1768" s="1" t="n">
        <f aca="false">IF(E1768=E1767,F1768/F1767-1,"")</f>
        <v>-0.0373044524669074</v>
      </c>
    </row>
    <row r="1769" customFormat="false" ht="14.25" hidden="false" customHeight="true" outlineLevel="0" collapsed="false">
      <c r="A1769" s="26" t="n">
        <v>29952</v>
      </c>
      <c r="B1769" s="1" t="n">
        <v>1982</v>
      </c>
      <c r="C1769" s="1" t="n">
        <v>1</v>
      </c>
      <c r="D1769" s="1" t="s">
        <v>42</v>
      </c>
      <c r="E1769" s="1" t="s">
        <v>14</v>
      </c>
      <c r="F1769" s="1" t="n">
        <v>388.25</v>
      </c>
      <c r="G1769" s="1" t="n">
        <f aca="false">IF(E1769=E1768,F1769/F1768-1,"")</f>
        <v>-0.029375</v>
      </c>
    </row>
    <row r="1770" customFormat="false" ht="14.25" hidden="false" customHeight="true" outlineLevel="0" collapsed="false">
      <c r="A1770" s="26" t="n">
        <v>29983</v>
      </c>
      <c r="B1770" s="1" t="n">
        <v>1982</v>
      </c>
      <c r="C1770" s="1" t="n">
        <v>2</v>
      </c>
      <c r="D1770" s="1" t="s">
        <v>43</v>
      </c>
      <c r="E1770" s="1" t="s">
        <v>14</v>
      </c>
      <c r="F1770" s="1" t="n">
        <v>363.25</v>
      </c>
      <c r="G1770" s="1" t="n">
        <f aca="false">IF(E1770=E1769,F1770/F1769-1,"")</f>
        <v>-0.0643915003219575</v>
      </c>
    </row>
    <row r="1771" customFormat="false" ht="14.25" hidden="false" customHeight="true" outlineLevel="0" collapsed="false">
      <c r="A1771" s="26" t="n">
        <v>30011</v>
      </c>
      <c r="B1771" s="1" t="n">
        <v>1982</v>
      </c>
      <c r="C1771" s="1" t="n">
        <v>3</v>
      </c>
      <c r="D1771" s="1" t="s">
        <v>44</v>
      </c>
      <c r="E1771" s="1" t="s">
        <v>14</v>
      </c>
      <c r="F1771" s="1" t="n">
        <v>320.5</v>
      </c>
      <c r="G1771" s="1" t="n">
        <f aca="false">IF(E1771=E1770,F1771/F1770-1,"")</f>
        <v>-0.117687543014453</v>
      </c>
    </row>
    <row r="1772" customFormat="false" ht="14.25" hidden="false" customHeight="true" outlineLevel="0" collapsed="false">
      <c r="A1772" s="26" t="n">
        <v>30042</v>
      </c>
      <c r="B1772" s="1" t="n">
        <v>1982</v>
      </c>
      <c r="C1772" s="1" t="n">
        <v>4</v>
      </c>
      <c r="D1772" s="1" t="s">
        <v>45</v>
      </c>
      <c r="E1772" s="1" t="s">
        <v>14</v>
      </c>
      <c r="F1772" s="1" t="n">
        <v>356.75</v>
      </c>
      <c r="G1772" s="1" t="n">
        <f aca="false">IF(E1772=E1771,F1772/F1771-1,"")</f>
        <v>0.113104524180967</v>
      </c>
    </row>
    <row r="1773" customFormat="false" ht="14.25" hidden="false" customHeight="true" outlineLevel="0" collapsed="false">
      <c r="A1773" s="26" t="n">
        <v>30072</v>
      </c>
      <c r="B1773" s="1" t="n">
        <v>1982</v>
      </c>
      <c r="C1773" s="1" t="n">
        <v>5</v>
      </c>
      <c r="D1773" s="1" t="s">
        <v>46</v>
      </c>
      <c r="E1773" s="1" t="s">
        <v>14</v>
      </c>
      <c r="F1773" s="1" t="n">
        <v>325.5</v>
      </c>
      <c r="G1773" s="1" t="n">
        <f aca="false">IF(E1773=E1772,F1773/F1772-1,"")</f>
        <v>-0.0875963559915908</v>
      </c>
    </row>
    <row r="1774" customFormat="false" ht="14.25" hidden="false" customHeight="true" outlineLevel="0" collapsed="false">
      <c r="A1774" s="26" t="n">
        <v>30103</v>
      </c>
      <c r="B1774" s="1" t="n">
        <v>1982</v>
      </c>
      <c r="C1774" s="1" t="n">
        <v>6</v>
      </c>
      <c r="D1774" s="1" t="s">
        <v>47</v>
      </c>
      <c r="E1774" s="1" t="s">
        <v>14</v>
      </c>
      <c r="F1774" s="1" t="n">
        <v>314</v>
      </c>
      <c r="G1774" s="1" t="n">
        <f aca="false">IF(E1774=E1773,F1774/F1773-1,"")</f>
        <v>-0.0353302611367128</v>
      </c>
    </row>
    <row r="1775" customFormat="false" ht="14.25" hidden="false" customHeight="true" outlineLevel="0" collapsed="false">
      <c r="A1775" s="26" t="n">
        <v>30133</v>
      </c>
      <c r="B1775" s="1" t="n">
        <v>1982</v>
      </c>
      <c r="C1775" s="1" t="n">
        <v>7</v>
      </c>
      <c r="D1775" s="1" t="s">
        <v>48</v>
      </c>
      <c r="E1775" s="1" t="s">
        <v>14</v>
      </c>
      <c r="F1775" s="1" t="n">
        <v>342.5</v>
      </c>
      <c r="G1775" s="1" t="n">
        <f aca="false">IF(E1775=E1774,F1775/F1774-1,"")</f>
        <v>0.0907643312101911</v>
      </c>
    </row>
    <row r="1776" customFormat="false" ht="14.25" hidden="false" customHeight="true" outlineLevel="0" collapsed="false">
      <c r="A1776" s="26" t="n">
        <v>30164</v>
      </c>
      <c r="B1776" s="1" t="n">
        <v>1982</v>
      </c>
      <c r="C1776" s="1" t="n">
        <v>8</v>
      </c>
      <c r="D1776" s="1" t="s">
        <v>49</v>
      </c>
      <c r="E1776" s="1" t="s">
        <v>14</v>
      </c>
      <c r="F1776" s="1" t="n">
        <v>409.6</v>
      </c>
      <c r="G1776" s="1" t="n">
        <f aca="false">IF(E1776=E1775,F1776/F1775-1,"")</f>
        <v>0.195912408759124</v>
      </c>
    </row>
    <row r="1777" customFormat="false" ht="14.25" hidden="false" customHeight="true" outlineLevel="0" collapsed="false">
      <c r="A1777" s="26" t="n">
        <v>30195</v>
      </c>
      <c r="B1777" s="1" t="n">
        <v>1982</v>
      </c>
      <c r="C1777" s="1" t="n">
        <v>9</v>
      </c>
      <c r="D1777" s="1" t="s">
        <v>50</v>
      </c>
      <c r="E1777" s="1" t="s">
        <v>14</v>
      </c>
      <c r="F1777" s="1" t="n">
        <v>394.75</v>
      </c>
      <c r="G1777" s="1" t="n">
        <f aca="false">IF(E1777=E1776,F1777/F1776-1,"")</f>
        <v>-0.0362548828125</v>
      </c>
    </row>
    <row r="1778" customFormat="false" ht="14.25" hidden="false" customHeight="true" outlineLevel="0" collapsed="false">
      <c r="A1778" s="26" t="n">
        <v>30225</v>
      </c>
      <c r="B1778" s="1" t="n">
        <v>1982</v>
      </c>
      <c r="C1778" s="1" t="n">
        <v>10</v>
      </c>
      <c r="D1778" s="1" t="s">
        <v>51</v>
      </c>
      <c r="E1778" s="1" t="s">
        <v>14</v>
      </c>
      <c r="F1778" s="1" t="n">
        <v>422</v>
      </c>
      <c r="G1778" s="1" t="n">
        <f aca="false">IF(E1778=E1777,F1778/F1777-1,"")</f>
        <v>0.0690310322989234</v>
      </c>
    </row>
    <row r="1779" customFormat="false" ht="14.25" hidden="false" customHeight="true" outlineLevel="0" collapsed="false">
      <c r="A1779" s="26" t="n">
        <v>30256</v>
      </c>
      <c r="B1779" s="1" t="n">
        <v>1982</v>
      </c>
      <c r="C1779" s="1" t="n">
        <v>11</v>
      </c>
      <c r="D1779" s="1" t="s">
        <v>52</v>
      </c>
      <c r="E1779" s="1" t="s">
        <v>14</v>
      </c>
      <c r="F1779" s="1" t="n">
        <v>428.25</v>
      </c>
      <c r="G1779" s="1" t="n">
        <f aca="false">IF(E1779=E1778,F1779/F1778-1,"")</f>
        <v>0.0148104265402844</v>
      </c>
    </row>
    <row r="1780" customFormat="false" ht="14.25" hidden="false" customHeight="true" outlineLevel="0" collapsed="false">
      <c r="A1780" s="26" t="n">
        <v>30286</v>
      </c>
      <c r="B1780" s="1" t="n">
        <v>1982</v>
      </c>
      <c r="C1780" s="1" t="n">
        <v>12</v>
      </c>
      <c r="D1780" s="1" t="s">
        <v>53</v>
      </c>
      <c r="E1780" s="1" t="s">
        <v>14</v>
      </c>
      <c r="F1780" s="1" t="n">
        <v>448</v>
      </c>
      <c r="G1780" s="1" t="n">
        <f aca="false">IF(E1780=E1779,F1780/F1779-1,"")</f>
        <v>0.0461179217746643</v>
      </c>
    </row>
    <row r="1781" customFormat="false" ht="14.25" hidden="false" customHeight="true" outlineLevel="0" collapsed="false">
      <c r="A1781" s="26" t="n">
        <v>30317</v>
      </c>
      <c r="B1781" s="1" t="n">
        <v>1983</v>
      </c>
      <c r="C1781" s="1" t="n">
        <v>1</v>
      </c>
      <c r="D1781" s="1" t="s">
        <v>42</v>
      </c>
      <c r="E1781" s="1" t="s">
        <v>14</v>
      </c>
      <c r="F1781" s="1" t="n">
        <v>503</v>
      </c>
      <c r="G1781" s="1" t="n">
        <f aca="false">IF(E1781=E1780,F1781/F1780-1,"")</f>
        <v>0.122767857142857</v>
      </c>
    </row>
    <row r="1782" customFormat="false" ht="14.25" hidden="false" customHeight="true" outlineLevel="0" collapsed="false">
      <c r="A1782" s="26" t="n">
        <v>30348</v>
      </c>
      <c r="B1782" s="1" t="n">
        <v>1983</v>
      </c>
      <c r="C1782" s="1" t="n">
        <v>2</v>
      </c>
      <c r="D1782" s="1" t="s">
        <v>43</v>
      </c>
      <c r="E1782" s="1" t="s">
        <v>14</v>
      </c>
      <c r="F1782" s="1" t="n">
        <v>419.75</v>
      </c>
      <c r="G1782" s="1" t="n">
        <f aca="false">IF(E1782=E1781,F1782/F1781-1,"")</f>
        <v>-0.165506958250497</v>
      </c>
    </row>
    <row r="1783" customFormat="false" ht="14.25" hidden="false" customHeight="true" outlineLevel="0" collapsed="false">
      <c r="A1783" s="26" t="n">
        <v>30376</v>
      </c>
      <c r="B1783" s="1" t="n">
        <v>1983</v>
      </c>
      <c r="C1783" s="1" t="n">
        <v>3</v>
      </c>
      <c r="D1783" s="1" t="s">
        <v>44</v>
      </c>
      <c r="E1783" s="1" t="s">
        <v>14</v>
      </c>
      <c r="F1783" s="1" t="n">
        <v>414.25</v>
      </c>
      <c r="G1783" s="1" t="n">
        <f aca="false">IF(E1783=E1782,F1783/F1782-1,"")</f>
        <v>-0.0131030375223348</v>
      </c>
    </row>
    <row r="1784" customFormat="false" ht="14.25" hidden="false" customHeight="true" outlineLevel="0" collapsed="false">
      <c r="A1784" s="26" t="n">
        <v>30407</v>
      </c>
      <c r="B1784" s="1" t="n">
        <v>1983</v>
      </c>
      <c r="C1784" s="1" t="n">
        <v>4</v>
      </c>
      <c r="D1784" s="1" t="s">
        <v>45</v>
      </c>
      <c r="E1784" s="1" t="s">
        <v>14</v>
      </c>
      <c r="F1784" s="1" t="n">
        <v>428.5</v>
      </c>
      <c r="G1784" s="1" t="n">
        <f aca="false">IF(E1784=E1783,F1784/F1783-1,"")</f>
        <v>0.0343995171997586</v>
      </c>
    </row>
    <row r="1785" customFormat="false" ht="14.25" hidden="false" customHeight="true" outlineLevel="0" collapsed="false">
      <c r="A1785" s="26" t="n">
        <v>30437</v>
      </c>
      <c r="B1785" s="1" t="n">
        <v>1983</v>
      </c>
      <c r="C1785" s="1" t="n">
        <v>5</v>
      </c>
      <c r="D1785" s="1" t="s">
        <v>46</v>
      </c>
      <c r="E1785" s="1" t="s">
        <v>14</v>
      </c>
      <c r="F1785" s="1" t="n">
        <v>439</v>
      </c>
      <c r="G1785" s="1" t="n">
        <f aca="false">IF(E1785=E1784,F1785/F1784-1,"")</f>
        <v>0.0245040840140023</v>
      </c>
    </row>
    <row r="1786" customFormat="false" ht="14.25" hidden="false" customHeight="true" outlineLevel="0" collapsed="false">
      <c r="A1786" s="26" t="n">
        <v>30468</v>
      </c>
      <c r="B1786" s="1" t="n">
        <v>1983</v>
      </c>
      <c r="C1786" s="1" t="n">
        <v>6</v>
      </c>
      <c r="D1786" s="1" t="s">
        <v>47</v>
      </c>
      <c r="E1786" s="1" t="s">
        <v>14</v>
      </c>
      <c r="F1786" s="1" t="n">
        <v>416.75</v>
      </c>
      <c r="G1786" s="1" t="n">
        <f aca="false">IF(E1786=E1785,F1786/F1785-1,"")</f>
        <v>-0.0506833712984055</v>
      </c>
    </row>
    <row r="1787" customFormat="false" ht="14.25" hidden="false" customHeight="true" outlineLevel="0" collapsed="false">
      <c r="A1787" s="26" t="n">
        <v>30498</v>
      </c>
      <c r="B1787" s="1" t="n">
        <v>1983</v>
      </c>
      <c r="C1787" s="1" t="n">
        <v>7</v>
      </c>
      <c r="D1787" s="1" t="s">
        <v>48</v>
      </c>
      <c r="E1787" s="1" t="s">
        <v>14</v>
      </c>
      <c r="F1787" s="1" t="n">
        <v>422.25</v>
      </c>
      <c r="G1787" s="1" t="n">
        <f aca="false">IF(E1787=E1786,F1787/F1786-1,"")</f>
        <v>0.0131973605278943</v>
      </c>
    </row>
    <row r="1788" customFormat="false" ht="14.25" hidden="false" customHeight="true" outlineLevel="0" collapsed="false">
      <c r="A1788" s="26" t="n">
        <v>30529</v>
      </c>
      <c r="B1788" s="1" t="n">
        <v>1983</v>
      </c>
      <c r="C1788" s="1" t="n">
        <v>8</v>
      </c>
      <c r="D1788" s="1" t="s">
        <v>49</v>
      </c>
      <c r="E1788" s="1" t="s">
        <v>14</v>
      </c>
      <c r="F1788" s="1" t="n">
        <v>414.5</v>
      </c>
      <c r="G1788" s="1" t="n">
        <f aca="false">IF(E1788=E1787,F1788/F1787-1,"")</f>
        <v>-0.0183540556542333</v>
      </c>
    </row>
    <row r="1789" customFormat="false" ht="14.25" hidden="false" customHeight="true" outlineLevel="0" collapsed="false">
      <c r="A1789" s="26" t="n">
        <v>30560</v>
      </c>
      <c r="B1789" s="1" t="n">
        <v>1983</v>
      </c>
      <c r="C1789" s="1" t="n">
        <v>9</v>
      </c>
      <c r="D1789" s="1" t="s">
        <v>50</v>
      </c>
      <c r="E1789" s="1" t="s">
        <v>14</v>
      </c>
      <c r="F1789" s="1" t="n">
        <v>404</v>
      </c>
      <c r="G1789" s="1" t="n">
        <f aca="false">IF(E1789=E1788,F1789/F1788-1,"")</f>
        <v>-0.0253317249698432</v>
      </c>
    </row>
    <row r="1790" customFormat="false" ht="14.25" hidden="false" customHeight="true" outlineLevel="0" collapsed="false">
      <c r="A1790" s="26" t="n">
        <v>30590</v>
      </c>
      <c r="B1790" s="1" t="n">
        <v>1983</v>
      </c>
      <c r="C1790" s="1" t="n">
        <v>10</v>
      </c>
      <c r="D1790" s="1" t="s">
        <v>51</v>
      </c>
      <c r="E1790" s="1" t="s">
        <v>14</v>
      </c>
      <c r="F1790" s="1" t="n">
        <v>383.5</v>
      </c>
      <c r="G1790" s="1" t="n">
        <f aca="false">IF(E1790=E1789,F1790/F1789-1,"")</f>
        <v>-0.0507425742574258</v>
      </c>
    </row>
    <row r="1791" customFormat="false" ht="14.25" hidden="false" customHeight="true" outlineLevel="0" collapsed="false">
      <c r="A1791" s="26" t="n">
        <v>30621</v>
      </c>
      <c r="B1791" s="1" t="n">
        <v>1983</v>
      </c>
      <c r="C1791" s="1" t="n">
        <v>11</v>
      </c>
      <c r="D1791" s="1" t="s">
        <v>52</v>
      </c>
      <c r="E1791" s="1" t="s">
        <v>14</v>
      </c>
      <c r="F1791" s="1" t="n">
        <v>405.75</v>
      </c>
      <c r="G1791" s="1" t="n">
        <f aca="false">IF(E1791=E1790,F1791/F1790-1,"")</f>
        <v>0.0580182529335072</v>
      </c>
    </row>
    <row r="1792" customFormat="false" ht="14.25" hidden="false" customHeight="true" outlineLevel="0" collapsed="false">
      <c r="A1792" s="26" t="n">
        <v>30651</v>
      </c>
      <c r="B1792" s="1" t="n">
        <v>1983</v>
      </c>
      <c r="C1792" s="1" t="n">
        <v>12</v>
      </c>
      <c r="D1792" s="1" t="s">
        <v>53</v>
      </c>
      <c r="E1792" s="1" t="s">
        <v>14</v>
      </c>
      <c r="F1792" s="1" t="n">
        <v>381.5</v>
      </c>
      <c r="G1792" s="1" t="n">
        <f aca="false">IF(E1792=E1791,F1792/F1791-1,"")</f>
        <v>-0.059765865680838</v>
      </c>
    </row>
    <row r="1793" customFormat="false" ht="14.25" hidden="false" customHeight="true" outlineLevel="0" collapsed="false">
      <c r="A1793" s="26" t="n">
        <v>30682</v>
      </c>
      <c r="B1793" s="1" t="n">
        <v>1984</v>
      </c>
      <c r="C1793" s="1" t="n">
        <v>1</v>
      </c>
      <c r="D1793" s="1" t="s">
        <v>42</v>
      </c>
      <c r="E1793" s="1" t="s">
        <v>14</v>
      </c>
      <c r="F1793" s="1" t="n">
        <v>371.9</v>
      </c>
      <c r="G1793" s="1" t="n">
        <f aca="false">IF(E1793=E1792,F1793/F1792-1,"")</f>
        <v>-0.0251638269986895</v>
      </c>
    </row>
    <row r="1794" customFormat="false" ht="14.25" hidden="false" customHeight="true" outlineLevel="0" collapsed="false">
      <c r="A1794" s="26" t="n">
        <v>30713</v>
      </c>
      <c r="B1794" s="1" t="n">
        <v>1984</v>
      </c>
      <c r="C1794" s="1" t="n">
        <v>2</v>
      </c>
      <c r="D1794" s="1" t="s">
        <v>43</v>
      </c>
      <c r="E1794" s="1" t="s">
        <v>14</v>
      </c>
      <c r="F1794" s="1" t="n">
        <v>396.6</v>
      </c>
      <c r="G1794" s="1" t="n">
        <f aca="false">IF(E1794=E1793,F1794/F1793-1,"")</f>
        <v>0.0664157031460071</v>
      </c>
    </row>
    <row r="1795" customFormat="false" ht="14.25" hidden="false" customHeight="true" outlineLevel="0" collapsed="false">
      <c r="A1795" s="26" t="n">
        <v>30742</v>
      </c>
      <c r="B1795" s="1" t="n">
        <v>1984</v>
      </c>
      <c r="C1795" s="1" t="n">
        <v>3</v>
      </c>
      <c r="D1795" s="1" t="s">
        <v>44</v>
      </c>
      <c r="E1795" s="1" t="s">
        <v>14</v>
      </c>
      <c r="F1795" s="1" t="n">
        <v>388.5</v>
      </c>
      <c r="G1795" s="1" t="n">
        <f aca="false">IF(E1795=E1794,F1795/F1794-1,"")</f>
        <v>-0.0204236006051438</v>
      </c>
    </row>
    <row r="1796" customFormat="false" ht="14.25" hidden="false" customHeight="true" outlineLevel="0" collapsed="false">
      <c r="A1796" s="26" t="n">
        <v>30773</v>
      </c>
      <c r="B1796" s="1" t="n">
        <v>1984</v>
      </c>
      <c r="C1796" s="1" t="n">
        <v>4</v>
      </c>
      <c r="D1796" s="1" t="s">
        <v>45</v>
      </c>
      <c r="E1796" s="1" t="s">
        <v>14</v>
      </c>
      <c r="F1796" s="1" t="n">
        <v>376.2</v>
      </c>
      <c r="G1796" s="1" t="n">
        <f aca="false">IF(E1796=E1795,F1796/F1795-1,"")</f>
        <v>-0.0316602316602317</v>
      </c>
    </row>
    <row r="1797" customFormat="false" ht="14.25" hidden="false" customHeight="true" outlineLevel="0" collapsed="false">
      <c r="A1797" s="26" t="n">
        <v>30803</v>
      </c>
      <c r="B1797" s="1" t="n">
        <v>1984</v>
      </c>
      <c r="C1797" s="1" t="n">
        <v>5</v>
      </c>
      <c r="D1797" s="1" t="s">
        <v>46</v>
      </c>
      <c r="E1797" s="1" t="s">
        <v>14</v>
      </c>
      <c r="F1797" s="1" t="n">
        <v>383.45</v>
      </c>
      <c r="G1797" s="1" t="n">
        <f aca="false">IF(E1797=E1796,F1797/F1796-1,"")</f>
        <v>0.0192716640085062</v>
      </c>
    </row>
    <row r="1798" customFormat="false" ht="14.25" hidden="false" customHeight="true" outlineLevel="0" collapsed="false">
      <c r="A1798" s="26" t="n">
        <v>30834</v>
      </c>
      <c r="B1798" s="1" t="n">
        <v>1984</v>
      </c>
      <c r="C1798" s="1" t="n">
        <v>6</v>
      </c>
      <c r="D1798" s="1" t="s">
        <v>47</v>
      </c>
      <c r="E1798" s="1" t="s">
        <v>14</v>
      </c>
      <c r="F1798" s="1" t="n">
        <v>375.25</v>
      </c>
      <c r="G1798" s="1" t="n">
        <f aca="false">IF(E1798=E1797,F1798/F1797-1,"")</f>
        <v>-0.021384795931673</v>
      </c>
    </row>
    <row r="1799" customFormat="false" ht="14.25" hidden="false" customHeight="true" outlineLevel="0" collapsed="false">
      <c r="A1799" s="26" t="n">
        <v>30864</v>
      </c>
      <c r="B1799" s="1" t="n">
        <v>1984</v>
      </c>
      <c r="C1799" s="1" t="n">
        <v>7</v>
      </c>
      <c r="D1799" s="1" t="s">
        <v>48</v>
      </c>
      <c r="E1799" s="1" t="s">
        <v>14</v>
      </c>
      <c r="F1799" s="1" t="n">
        <v>341.6</v>
      </c>
      <c r="G1799" s="1" t="n">
        <f aca="false">IF(E1799=E1798,F1799/F1798-1,"")</f>
        <v>-0.0896735509660226</v>
      </c>
    </row>
    <row r="1800" customFormat="false" ht="14.25" hidden="false" customHeight="true" outlineLevel="0" collapsed="false">
      <c r="A1800" s="26" t="n">
        <v>30895</v>
      </c>
      <c r="B1800" s="1" t="n">
        <v>1984</v>
      </c>
      <c r="C1800" s="1" t="n">
        <v>8</v>
      </c>
      <c r="D1800" s="1" t="s">
        <v>49</v>
      </c>
      <c r="E1800" s="1" t="s">
        <v>14</v>
      </c>
      <c r="F1800" s="1" t="n">
        <v>347.7</v>
      </c>
      <c r="G1800" s="1" t="n">
        <f aca="false">IF(E1800=E1799,F1800/F1799-1,"")</f>
        <v>0.0178571428571428</v>
      </c>
    </row>
    <row r="1801" customFormat="false" ht="14.25" hidden="false" customHeight="true" outlineLevel="0" collapsed="false">
      <c r="A1801" s="26" t="n">
        <v>30926</v>
      </c>
      <c r="B1801" s="1" t="n">
        <v>1984</v>
      </c>
      <c r="C1801" s="1" t="n">
        <v>9</v>
      </c>
      <c r="D1801" s="1" t="s">
        <v>50</v>
      </c>
      <c r="E1801" s="1" t="s">
        <v>14</v>
      </c>
      <c r="F1801" s="1" t="n">
        <v>344.15</v>
      </c>
      <c r="G1801" s="1" t="n">
        <f aca="false">IF(E1801=E1800,F1801/F1800-1,"")</f>
        <v>-0.0102099511072764</v>
      </c>
    </row>
    <row r="1802" customFormat="false" ht="14.25" hidden="false" customHeight="true" outlineLevel="0" collapsed="false">
      <c r="A1802" s="26" t="n">
        <v>30956</v>
      </c>
      <c r="B1802" s="1" t="n">
        <v>1984</v>
      </c>
      <c r="C1802" s="1" t="n">
        <v>10</v>
      </c>
      <c r="D1802" s="1" t="s">
        <v>51</v>
      </c>
      <c r="E1802" s="1" t="s">
        <v>14</v>
      </c>
      <c r="F1802" s="1" t="n">
        <v>334.5</v>
      </c>
      <c r="G1802" s="1" t="n">
        <f aca="false">IF(E1802=E1801,F1802/F1801-1,"")</f>
        <v>-0.0280400987941304</v>
      </c>
    </row>
    <row r="1803" customFormat="false" ht="14.25" hidden="false" customHeight="true" outlineLevel="0" collapsed="false">
      <c r="A1803" s="26" t="n">
        <v>30987</v>
      </c>
      <c r="B1803" s="1" t="n">
        <v>1984</v>
      </c>
      <c r="C1803" s="1" t="n">
        <v>11</v>
      </c>
      <c r="D1803" s="1" t="s">
        <v>52</v>
      </c>
      <c r="E1803" s="1" t="s">
        <v>14</v>
      </c>
      <c r="F1803" s="1" t="n">
        <v>328.6</v>
      </c>
      <c r="G1803" s="1" t="n">
        <f aca="false">IF(E1803=E1802,F1803/F1802-1,"")</f>
        <v>-0.0176382660687593</v>
      </c>
    </row>
    <row r="1804" customFormat="false" ht="14.25" hidden="false" customHeight="true" outlineLevel="0" collapsed="false">
      <c r="A1804" s="26" t="n">
        <v>31017</v>
      </c>
      <c r="B1804" s="1" t="n">
        <v>1984</v>
      </c>
      <c r="C1804" s="1" t="n">
        <v>12</v>
      </c>
      <c r="D1804" s="1" t="s">
        <v>53</v>
      </c>
      <c r="E1804" s="1" t="s">
        <v>14</v>
      </c>
      <c r="F1804" s="1" t="n">
        <v>309</v>
      </c>
      <c r="G1804" s="1" t="n">
        <f aca="false">IF(E1804=E1803,F1804/F1803-1,"")</f>
        <v>-0.0596469872185028</v>
      </c>
    </row>
    <row r="1805" customFormat="false" ht="14.25" hidden="false" customHeight="true" outlineLevel="0" collapsed="false">
      <c r="A1805" s="26" t="n">
        <v>31048</v>
      </c>
      <c r="B1805" s="1" t="n">
        <v>1985</v>
      </c>
      <c r="C1805" s="1" t="n">
        <v>1</v>
      </c>
      <c r="D1805" s="1" t="s">
        <v>42</v>
      </c>
      <c r="E1805" s="1" t="s">
        <v>14</v>
      </c>
      <c r="F1805" s="1" t="n">
        <v>304.9</v>
      </c>
      <c r="G1805" s="1" t="n">
        <f aca="false">IF(E1805=E1804,F1805/F1804-1,"")</f>
        <v>-0.0132686084142396</v>
      </c>
    </row>
    <row r="1806" customFormat="false" ht="14.25" hidden="false" customHeight="true" outlineLevel="0" collapsed="false">
      <c r="A1806" s="26" t="n">
        <v>31079</v>
      </c>
      <c r="B1806" s="1" t="n">
        <v>1985</v>
      </c>
      <c r="C1806" s="1" t="n">
        <v>2</v>
      </c>
      <c r="D1806" s="1" t="s">
        <v>43</v>
      </c>
      <c r="E1806" s="1" t="s">
        <v>14</v>
      </c>
      <c r="F1806" s="1" t="n">
        <v>290.5</v>
      </c>
      <c r="G1806" s="1" t="n">
        <f aca="false">IF(E1806=E1805,F1806/F1805-1,"")</f>
        <v>-0.047228599540833</v>
      </c>
    </row>
    <row r="1807" customFormat="false" ht="14.25" hidden="false" customHeight="true" outlineLevel="0" collapsed="false">
      <c r="A1807" s="26" t="n">
        <v>31107</v>
      </c>
      <c r="B1807" s="1" t="n">
        <v>1985</v>
      </c>
      <c r="C1807" s="1" t="n">
        <v>3</v>
      </c>
      <c r="D1807" s="1" t="s">
        <v>44</v>
      </c>
      <c r="E1807" s="1" t="s">
        <v>14</v>
      </c>
      <c r="F1807" s="1" t="n">
        <v>329.8</v>
      </c>
      <c r="G1807" s="1" t="n">
        <f aca="false">IF(E1807=E1806,F1807/F1806-1,"")</f>
        <v>0.135283993115318</v>
      </c>
    </row>
    <row r="1808" customFormat="false" ht="14.25" hidden="false" customHeight="true" outlineLevel="0" collapsed="false">
      <c r="A1808" s="26" t="n">
        <v>31138</v>
      </c>
      <c r="B1808" s="1" t="n">
        <v>1985</v>
      </c>
      <c r="C1808" s="1" t="n">
        <v>4</v>
      </c>
      <c r="D1808" s="1" t="s">
        <v>45</v>
      </c>
      <c r="E1808" s="1" t="s">
        <v>14</v>
      </c>
      <c r="F1808" s="1" t="n">
        <v>324.65</v>
      </c>
      <c r="G1808" s="1" t="n">
        <f aca="false">IF(E1808=E1807,F1808/F1807-1,"")</f>
        <v>-0.0156155245603397</v>
      </c>
    </row>
    <row r="1809" customFormat="false" ht="14.25" hidden="false" customHeight="true" outlineLevel="0" collapsed="false">
      <c r="A1809" s="26" t="n">
        <v>31168</v>
      </c>
      <c r="B1809" s="1" t="n">
        <v>1985</v>
      </c>
      <c r="C1809" s="1" t="n">
        <v>5</v>
      </c>
      <c r="D1809" s="1" t="s">
        <v>46</v>
      </c>
      <c r="E1809" s="1" t="s">
        <v>14</v>
      </c>
      <c r="F1809" s="1" t="n">
        <v>313.15</v>
      </c>
      <c r="G1809" s="1" t="n">
        <f aca="false">IF(E1809=E1808,F1809/F1808-1,"")</f>
        <v>-0.0354227629755121</v>
      </c>
    </row>
    <row r="1810" customFormat="false" ht="14.25" hidden="false" customHeight="true" outlineLevel="0" collapsed="false">
      <c r="A1810" s="26" t="n">
        <v>31199</v>
      </c>
      <c r="B1810" s="1" t="n">
        <v>1985</v>
      </c>
      <c r="C1810" s="1" t="n">
        <v>6</v>
      </c>
      <c r="D1810" s="1" t="s">
        <v>47</v>
      </c>
      <c r="E1810" s="1" t="s">
        <v>14</v>
      </c>
      <c r="F1810" s="1" t="n">
        <v>316.5</v>
      </c>
      <c r="G1810" s="1" t="n">
        <f aca="false">IF(E1810=E1809,F1810/F1809-1,"")</f>
        <v>0.01069774868274</v>
      </c>
    </row>
    <row r="1811" customFormat="false" ht="14.25" hidden="false" customHeight="true" outlineLevel="0" collapsed="false">
      <c r="A1811" s="26" t="n">
        <v>31229</v>
      </c>
      <c r="B1811" s="1" t="n">
        <v>1985</v>
      </c>
      <c r="C1811" s="1" t="n">
        <v>7</v>
      </c>
      <c r="D1811" s="1" t="s">
        <v>48</v>
      </c>
      <c r="E1811" s="1" t="s">
        <v>14</v>
      </c>
      <c r="F1811" s="1" t="n">
        <v>328.1</v>
      </c>
      <c r="G1811" s="1" t="n">
        <f aca="false">IF(E1811=E1810,F1811/F1810-1,"")</f>
        <v>0.0366508688783571</v>
      </c>
    </row>
    <row r="1812" customFormat="false" ht="14.25" hidden="false" customHeight="true" outlineLevel="0" collapsed="false">
      <c r="A1812" s="26" t="n">
        <v>31260</v>
      </c>
      <c r="B1812" s="1" t="n">
        <v>1985</v>
      </c>
      <c r="C1812" s="1" t="n">
        <v>8</v>
      </c>
      <c r="D1812" s="1" t="s">
        <v>49</v>
      </c>
      <c r="E1812" s="1" t="s">
        <v>14</v>
      </c>
      <c r="F1812" s="1" t="n">
        <v>335.75</v>
      </c>
      <c r="G1812" s="1" t="n">
        <f aca="false">IF(E1812=E1811,F1812/F1811-1,"")</f>
        <v>0.0233160621761657</v>
      </c>
    </row>
    <row r="1813" customFormat="false" ht="14.25" hidden="false" customHeight="true" outlineLevel="0" collapsed="false">
      <c r="A1813" s="26" t="n">
        <v>31291</v>
      </c>
      <c r="B1813" s="1" t="n">
        <v>1985</v>
      </c>
      <c r="C1813" s="1" t="n">
        <v>9</v>
      </c>
      <c r="D1813" s="1" t="s">
        <v>50</v>
      </c>
      <c r="E1813" s="1" t="s">
        <v>14</v>
      </c>
      <c r="F1813" s="1" t="n">
        <v>326.5</v>
      </c>
      <c r="G1813" s="1" t="n">
        <f aca="false">IF(E1813=E1812,F1813/F1812-1,"")</f>
        <v>-0.0275502606105733</v>
      </c>
    </row>
    <row r="1814" customFormat="false" ht="14.25" hidden="false" customHeight="true" outlineLevel="0" collapsed="false">
      <c r="A1814" s="26" t="n">
        <v>31321</v>
      </c>
      <c r="B1814" s="1" t="n">
        <v>1985</v>
      </c>
      <c r="C1814" s="1" t="n">
        <v>10</v>
      </c>
      <c r="D1814" s="1" t="s">
        <v>51</v>
      </c>
      <c r="E1814" s="1" t="s">
        <v>14</v>
      </c>
      <c r="F1814" s="1" t="n">
        <v>325.75</v>
      </c>
      <c r="G1814" s="1" t="n">
        <f aca="false">IF(E1814=E1813,F1814/F1813-1,"")</f>
        <v>-0.00229709035222048</v>
      </c>
    </row>
    <row r="1815" customFormat="false" ht="14.25" hidden="false" customHeight="true" outlineLevel="0" collapsed="false">
      <c r="A1815" s="26" t="n">
        <v>31352</v>
      </c>
      <c r="B1815" s="1" t="n">
        <v>1985</v>
      </c>
      <c r="C1815" s="1" t="n">
        <v>11</v>
      </c>
      <c r="D1815" s="1" t="s">
        <v>52</v>
      </c>
      <c r="E1815" s="1" t="s">
        <v>14</v>
      </c>
      <c r="F1815" s="1" t="n">
        <v>327.4</v>
      </c>
      <c r="G1815" s="1" t="n">
        <f aca="false">IF(E1815=E1814,F1815/F1814-1,"")</f>
        <v>0.00506523407521109</v>
      </c>
    </row>
    <row r="1816" customFormat="false" ht="14.25" hidden="false" customHeight="true" outlineLevel="0" collapsed="false">
      <c r="A1816" s="26" t="n">
        <v>31382</v>
      </c>
      <c r="B1816" s="1" t="n">
        <v>1985</v>
      </c>
      <c r="C1816" s="1" t="n">
        <v>12</v>
      </c>
      <c r="D1816" s="1" t="s">
        <v>53</v>
      </c>
      <c r="E1816" s="1" t="s">
        <v>14</v>
      </c>
      <c r="F1816" s="1" t="n">
        <v>327</v>
      </c>
      <c r="G1816" s="1" t="n">
        <f aca="false">IF(E1816=E1815,F1816/F1815-1,"")</f>
        <v>-0.00122174709835055</v>
      </c>
    </row>
    <row r="1817" customFormat="false" ht="14.25" hidden="false" customHeight="true" outlineLevel="0" collapsed="false">
      <c r="A1817" s="26" t="n">
        <v>31413</v>
      </c>
      <c r="B1817" s="1" t="n">
        <v>1986</v>
      </c>
      <c r="C1817" s="1" t="n">
        <v>1</v>
      </c>
      <c r="D1817" s="1" t="s">
        <v>42</v>
      </c>
      <c r="E1817" s="1" t="s">
        <v>14</v>
      </c>
      <c r="F1817" s="1" t="n">
        <v>354</v>
      </c>
      <c r="G1817" s="1" t="n">
        <f aca="false">IF(E1817=E1816,F1817/F1816-1,"")</f>
        <v>0.0825688073394495</v>
      </c>
    </row>
    <row r="1818" customFormat="false" ht="14.25" hidden="false" customHeight="true" outlineLevel="0" collapsed="false">
      <c r="A1818" s="26" t="n">
        <v>31444</v>
      </c>
      <c r="B1818" s="1" t="n">
        <v>1986</v>
      </c>
      <c r="C1818" s="1" t="n">
        <v>2</v>
      </c>
      <c r="D1818" s="1" t="s">
        <v>43</v>
      </c>
      <c r="E1818" s="1" t="s">
        <v>14</v>
      </c>
      <c r="F1818" s="1" t="n">
        <v>338.25</v>
      </c>
      <c r="G1818" s="1" t="n">
        <f aca="false">IF(E1818=E1817,F1818/F1817-1,"")</f>
        <v>-0.0444915254237288</v>
      </c>
    </row>
    <row r="1819" customFormat="false" ht="14.25" hidden="false" customHeight="true" outlineLevel="0" collapsed="false">
      <c r="A1819" s="26" t="n">
        <v>31472</v>
      </c>
      <c r="B1819" s="1" t="n">
        <v>1986</v>
      </c>
      <c r="C1819" s="1" t="n">
        <v>3</v>
      </c>
      <c r="D1819" s="1" t="s">
        <v>44</v>
      </c>
      <c r="E1819" s="1" t="s">
        <v>14</v>
      </c>
      <c r="F1819" s="1" t="n">
        <v>345.5</v>
      </c>
      <c r="G1819" s="1" t="n">
        <f aca="false">IF(E1819=E1818,F1819/F1818-1,"")</f>
        <v>0.0214338507021434</v>
      </c>
    </row>
    <row r="1820" customFormat="false" ht="14.25" hidden="false" customHeight="true" outlineLevel="0" collapsed="false">
      <c r="A1820" s="26" t="n">
        <v>31503</v>
      </c>
      <c r="B1820" s="1" t="n">
        <v>1986</v>
      </c>
      <c r="C1820" s="1" t="n">
        <v>4</v>
      </c>
      <c r="D1820" s="1" t="s">
        <v>45</v>
      </c>
      <c r="E1820" s="1" t="s">
        <v>14</v>
      </c>
      <c r="F1820" s="1" t="n">
        <v>344.75</v>
      </c>
      <c r="G1820" s="1" t="n">
        <f aca="false">IF(E1820=E1819,F1820/F1819-1,"")</f>
        <v>-0.00217076700434149</v>
      </c>
    </row>
    <row r="1821" customFormat="false" ht="14.25" hidden="false" customHeight="true" outlineLevel="0" collapsed="false">
      <c r="A1821" s="26" t="n">
        <v>31533</v>
      </c>
      <c r="B1821" s="1" t="n">
        <v>1986</v>
      </c>
      <c r="C1821" s="1" t="n">
        <v>5</v>
      </c>
      <c r="D1821" s="1" t="s">
        <v>46</v>
      </c>
      <c r="E1821" s="1" t="s">
        <v>14</v>
      </c>
      <c r="F1821" s="1" t="n">
        <v>343.35</v>
      </c>
      <c r="G1821" s="1" t="n">
        <f aca="false">IF(E1821=E1820,F1821/F1820-1,"")</f>
        <v>-0.0040609137055837</v>
      </c>
    </row>
    <row r="1822" customFormat="false" ht="14.25" hidden="false" customHeight="true" outlineLevel="0" collapsed="false">
      <c r="A1822" s="26" t="n">
        <v>31564</v>
      </c>
      <c r="B1822" s="1" t="n">
        <v>1986</v>
      </c>
      <c r="C1822" s="1" t="n">
        <v>6</v>
      </c>
      <c r="D1822" s="1" t="s">
        <v>47</v>
      </c>
      <c r="E1822" s="1" t="s">
        <v>14</v>
      </c>
      <c r="F1822" s="1" t="n">
        <v>345.5</v>
      </c>
      <c r="G1822" s="1" t="n">
        <f aca="false">IF(E1822=E1821,F1822/F1821-1,"")</f>
        <v>0.00626183194990526</v>
      </c>
    </row>
    <row r="1823" customFormat="false" ht="14.25" hidden="false" customHeight="true" outlineLevel="0" collapsed="false">
      <c r="A1823" s="26" t="n">
        <v>31594</v>
      </c>
      <c r="B1823" s="1" t="n">
        <v>1986</v>
      </c>
      <c r="C1823" s="1" t="n">
        <v>7</v>
      </c>
      <c r="D1823" s="1" t="s">
        <v>48</v>
      </c>
      <c r="E1823" s="1" t="s">
        <v>14</v>
      </c>
      <c r="F1823" s="1" t="n">
        <v>357.75</v>
      </c>
      <c r="G1823" s="1" t="n">
        <f aca="false">IF(E1823=E1822,F1823/F1822-1,"")</f>
        <v>0.0354558610709117</v>
      </c>
    </row>
    <row r="1824" customFormat="false" ht="14.25" hidden="false" customHeight="true" outlineLevel="0" collapsed="false">
      <c r="A1824" s="26" t="n">
        <v>31625</v>
      </c>
      <c r="B1824" s="1" t="n">
        <v>1986</v>
      </c>
      <c r="C1824" s="1" t="n">
        <v>8</v>
      </c>
      <c r="D1824" s="1" t="s">
        <v>49</v>
      </c>
      <c r="E1824" s="1" t="s">
        <v>14</v>
      </c>
      <c r="F1824" s="1" t="n">
        <v>386</v>
      </c>
      <c r="G1824" s="1" t="n">
        <f aca="false">IF(E1824=E1823,F1824/F1823-1,"")</f>
        <v>0.0789657582110412</v>
      </c>
    </row>
    <row r="1825" customFormat="false" ht="14.25" hidden="false" customHeight="true" outlineLevel="0" collapsed="false">
      <c r="A1825" s="26" t="n">
        <v>31656</v>
      </c>
      <c r="B1825" s="1" t="n">
        <v>1986</v>
      </c>
      <c r="C1825" s="1" t="n">
        <v>9</v>
      </c>
      <c r="D1825" s="1" t="s">
        <v>50</v>
      </c>
      <c r="E1825" s="1" t="s">
        <v>14</v>
      </c>
      <c r="F1825" s="1" t="n">
        <v>421.2</v>
      </c>
      <c r="G1825" s="1" t="n">
        <f aca="false">IF(E1825=E1824,F1825/F1824-1,"")</f>
        <v>0.0911917098445596</v>
      </c>
    </row>
    <row r="1826" customFormat="false" ht="14.25" hidden="false" customHeight="true" outlineLevel="0" collapsed="false">
      <c r="A1826" s="26" t="n">
        <v>31686</v>
      </c>
      <c r="B1826" s="1" t="n">
        <v>1986</v>
      </c>
      <c r="C1826" s="1" t="n">
        <v>10</v>
      </c>
      <c r="D1826" s="1" t="s">
        <v>51</v>
      </c>
      <c r="E1826" s="1" t="s">
        <v>14</v>
      </c>
      <c r="F1826" s="1" t="n">
        <v>401.5</v>
      </c>
      <c r="G1826" s="1" t="n">
        <f aca="false">IF(E1826=E1825,F1826/F1825-1,"")</f>
        <v>-0.0467711301044634</v>
      </c>
    </row>
    <row r="1827" customFormat="false" ht="14.25" hidden="false" customHeight="true" outlineLevel="0" collapsed="false">
      <c r="A1827" s="26" t="n">
        <v>31717</v>
      </c>
      <c r="B1827" s="1" t="n">
        <v>1986</v>
      </c>
      <c r="C1827" s="1" t="n">
        <v>11</v>
      </c>
      <c r="D1827" s="1" t="s">
        <v>52</v>
      </c>
      <c r="E1827" s="1" t="s">
        <v>14</v>
      </c>
      <c r="F1827" s="1" t="n">
        <v>390</v>
      </c>
      <c r="G1827" s="1" t="n">
        <f aca="false">IF(E1827=E1826,F1827/F1826-1,"")</f>
        <v>-0.0286425902864259</v>
      </c>
    </row>
    <row r="1828" customFormat="false" ht="14.25" hidden="false" customHeight="true" outlineLevel="0" collapsed="false">
      <c r="A1828" s="26" t="n">
        <v>31747</v>
      </c>
      <c r="B1828" s="1" t="n">
        <v>1986</v>
      </c>
      <c r="C1828" s="1" t="n">
        <v>12</v>
      </c>
      <c r="D1828" s="1" t="s">
        <v>53</v>
      </c>
      <c r="E1828" s="1" t="s">
        <v>14</v>
      </c>
      <c r="F1828" s="1" t="n">
        <v>390.9</v>
      </c>
      <c r="G1828" s="1" t="n">
        <f aca="false">IF(E1828=E1827,F1828/F1827-1,"")</f>
        <v>0.00230769230769234</v>
      </c>
    </row>
    <row r="1829" customFormat="false" ht="14.25" hidden="false" customHeight="true" outlineLevel="0" collapsed="false">
      <c r="A1829" s="26" t="n">
        <v>31778</v>
      </c>
      <c r="B1829" s="1" t="n">
        <v>1987</v>
      </c>
      <c r="C1829" s="1" t="n">
        <v>1</v>
      </c>
      <c r="D1829" s="1" t="s">
        <v>42</v>
      </c>
      <c r="E1829" s="1" t="s">
        <v>14</v>
      </c>
      <c r="F1829" s="1" t="n">
        <v>407.3</v>
      </c>
      <c r="G1829" s="1" t="n">
        <f aca="false">IF(E1829=E1828,F1829/F1828-1,"")</f>
        <v>0.0419544640573037</v>
      </c>
    </row>
    <row r="1830" customFormat="false" ht="14.25" hidden="false" customHeight="true" outlineLevel="0" collapsed="false">
      <c r="A1830" s="26" t="n">
        <v>31809</v>
      </c>
      <c r="B1830" s="1" t="n">
        <v>1987</v>
      </c>
      <c r="C1830" s="1" t="n">
        <v>2</v>
      </c>
      <c r="D1830" s="1" t="s">
        <v>43</v>
      </c>
      <c r="E1830" s="1" t="s">
        <v>14</v>
      </c>
      <c r="F1830" s="1" t="n">
        <v>405.75</v>
      </c>
      <c r="G1830" s="1" t="n">
        <f aca="false">IF(E1830=E1829,F1830/F1829-1,"")</f>
        <v>-0.00380554873557581</v>
      </c>
    </row>
    <row r="1831" customFormat="false" ht="14.25" hidden="false" customHeight="true" outlineLevel="0" collapsed="false">
      <c r="A1831" s="26" t="n">
        <v>31837</v>
      </c>
      <c r="B1831" s="1" t="n">
        <v>1987</v>
      </c>
      <c r="C1831" s="1" t="n">
        <v>3</v>
      </c>
      <c r="D1831" s="1" t="s">
        <v>44</v>
      </c>
      <c r="E1831" s="1" t="s">
        <v>14</v>
      </c>
      <c r="F1831" s="1" t="n">
        <v>419</v>
      </c>
      <c r="G1831" s="1" t="n">
        <f aca="false">IF(E1831=E1830,F1831/F1830-1,"")</f>
        <v>0.0326555760936538</v>
      </c>
    </row>
    <row r="1832" customFormat="false" ht="14.25" hidden="false" customHeight="true" outlineLevel="0" collapsed="false">
      <c r="A1832" s="26" t="n">
        <v>31868</v>
      </c>
      <c r="B1832" s="1" t="n">
        <v>1987</v>
      </c>
      <c r="C1832" s="1" t="n">
        <v>4</v>
      </c>
      <c r="D1832" s="1" t="s">
        <v>45</v>
      </c>
      <c r="E1832" s="1" t="s">
        <v>14</v>
      </c>
      <c r="F1832" s="1" t="n">
        <v>454.5</v>
      </c>
      <c r="G1832" s="1" t="n">
        <f aca="false">IF(E1832=E1831,F1832/F1831-1,"")</f>
        <v>0.0847255369928401</v>
      </c>
    </row>
    <row r="1833" customFormat="false" ht="14.25" hidden="false" customHeight="true" outlineLevel="0" collapsed="false">
      <c r="A1833" s="26" t="n">
        <v>31898</v>
      </c>
      <c r="B1833" s="1" t="n">
        <v>1987</v>
      </c>
      <c r="C1833" s="1" t="n">
        <v>5</v>
      </c>
      <c r="D1833" s="1" t="s">
        <v>46</v>
      </c>
      <c r="E1833" s="1" t="s">
        <v>14</v>
      </c>
      <c r="F1833" s="1" t="n">
        <v>451.75</v>
      </c>
      <c r="G1833" s="1" t="n">
        <f aca="false">IF(E1833=E1832,F1833/F1832-1,"")</f>
        <v>-0.00605060506050603</v>
      </c>
    </row>
    <row r="1834" customFormat="false" ht="14.25" hidden="false" customHeight="true" outlineLevel="0" collapsed="false">
      <c r="A1834" s="26" t="n">
        <v>31929</v>
      </c>
      <c r="B1834" s="1" t="n">
        <v>1987</v>
      </c>
      <c r="C1834" s="1" t="n">
        <v>6</v>
      </c>
      <c r="D1834" s="1" t="s">
        <v>47</v>
      </c>
      <c r="E1834" s="1" t="s">
        <v>14</v>
      </c>
      <c r="F1834" s="1" t="n">
        <v>447.1</v>
      </c>
      <c r="G1834" s="1" t="n">
        <f aca="false">IF(E1834=E1833,F1834/F1833-1,"")</f>
        <v>-0.0102933038184836</v>
      </c>
    </row>
    <row r="1835" customFormat="false" ht="14.25" hidden="false" customHeight="true" outlineLevel="0" collapsed="false">
      <c r="A1835" s="26" t="n">
        <v>31959</v>
      </c>
      <c r="B1835" s="1" t="n">
        <v>1987</v>
      </c>
      <c r="C1835" s="1" t="n">
        <v>7</v>
      </c>
      <c r="D1835" s="1" t="s">
        <v>48</v>
      </c>
      <c r="E1835" s="1" t="s">
        <v>14</v>
      </c>
      <c r="F1835" s="1" t="n">
        <v>464.25</v>
      </c>
      <c r="G1835" s="1" t="n">
        <f aca="false">IF(E1835=E1834,F1835/F1834-1,"")</f>
        <v>0.0383583091031088</v>
      </c>
    </row>
    <row r="1836" customFormat="false" ht="14.25" hidden="false" customHeight="true" outlineLevel="0" collapsed="false">
      <c r="A1836" s="26" t="n">
        <v>31990</v>
      </c>
      <c r="B1836" s="1" t="n">
        <v>1987</v>
      </c>
      <c r="C1836" s="1" t="n">
        <v>8</v>
      </c>
      <c r="D1836" s="1" t="s">
        <v>49</v>
      </c>
      <c r="E1836" s="1" t="s">
        <v>14</v>
      </c>
      <c r="F1836" s="1" t="n">
        <v>455.9</v>
      </c>
      <c r="G1836" s="1" t="n">
        <f aca="false">IF(E1836=E1835,F1836/F1835-1,"")</f>
        <v>-0.0179859989229941</v>
      </c>
    </row>
    <row r="1837" customFormat="false" ht="14.25" hidden="false" customHeight="true" outlineLevel="0" collapsed="false">
      <c r="A1837" s="26" t="n">
        <v>32021</v>
      </c>
      <c r="B1837" s="1" t="n">
        <v>1987</v>
      </c>
      <c r="C1837" s="1" t="n">
        <v>9</v>
      </c>
      <c r="D1837" s="1" t="s">
        <v>50</v>
      </c>
      <c r="E1837" s="1" t="s">
        <v>14</v>
      </c>
      <c r="F1837" s="1" t="n">
        <v>459.15</v>
      </c>
      <c r="G1837" s="1" t="n">
        <f aca="false">IF(E1837=E1836,F1837/F1836-1,"")</f>
        <v>0.00712875630620746</v>
      </c>
    </row>
    <row r="1838" customFormat="false" ht="14.25" hidden="false" customHeight="true" outlineLevel="0" collapsed="false">
      <c r="A1838" s="26" t="n">
        <v>32051</v>
      </c>
      <c r="B1838" s="1" t="n">
        <v>1987</v>
      </c>
      <c r="C1838" s="1" t="n">
        <v>10</v>
      </c>
      <c r="D1838" s="1" t="s">
        <v>51</v>
      </c>
      <c r="E1838" s="1" t="s">
        <v>14</v>
      </c>
      <c r="F1838" s="1" t="n">
        <v>468</v>
      </c>
      <c r="G1838" s="1" t="n">
        <f aca="false">IF(E1838=E1837,F1838/F1837-1,"")</f>
        <v>0.0192747468147665</v>
      </c>
    </row>
    <row r="1839" customFormat="false" ht="14.25" hidden="false" customHeight="true" outlineLevel="0" collapsed="false">
      <c r="A1839" s="26" t="n">
        <v>32082</v>
      </c>
      <c r="B1839" s="1" t="n">
        <v>1987</v>
      </c>
      <c r="C1839" s="1" t="n">
        <v>11</v>
      </c>
      <c r="D1839" s="1" t="s">
        <v>52</v>
      </c>
      <c r="E1839" s="1" t="s">
        <v>14</v>
      </c>
      <c r="F1839" s="1" t="n">
        <v>493.9</v>
      </c>
      <c r="G1839" s="1" t="n">
        <f aca="false">IF(E1839=E1838,F1839/F1838-1,"")</f>
        <v>0.0553418803418804</v>
      </c>
    </row>
    <row r="1840" customFormat="false" ht="14.25" hidden="false" customHeight="true" outlineLevel="0" collapsed="false">
      <c r="A1840" s="26" t="n">
        <v>32112</v>
      </c>
      <c r="B1840" s="1" t="n">
        <v>1987</v>
      </c>
      <c r="C1840" s="1" t="n">
        <v>12</v>
      </c>
      <c r="D1840" s="1" t="s">
        <v>53</v>
      </c>
      <c r="E1840" s="1" t="s">
        <v>14</v>
      </c>
      <c r="F1840" s="1" t="n">
        <v>486.5</v>
      </c>
      <c r="G1840" s="1" t="n">
        <f aca="false">IF(E1840=E1839,F1840/F1839-1,"")</f>
        <v>-0.0149827900384693</v>
      </c>
    </row>
    <row r="1841" customFormat="false" ht="14.25" hidden="false" customHeight="true" outlineLevel="0" collapsed="false">
      <c r="A1841" s="26" t="n">
        <v>32143</v>
      </c>
      <c r="B1841" s="1" t="n">
        <v>1988</v>
      </c>
      <c r="C1841" s="1" t="n">
        <v>1</v>
      </c>
      <c r="D1841" s="1" t="s">
        <v>42</v>
      </c>
      <c r="E1841" s="1" t="s">
        <v>14</v>
      </c>
      <c r="F1841" s="1" t="n">
        <v>465.25</v>
      </c>
      <c r="G1841" s="1" t="n">
        <f aca="false">IF(E1841=E1840,F1841/F1840-1,"")</f>
        <v>-0.0436793422404933</v>
      </c>
    </row>
    <row r="1842" customFormat="false" ht="14.25" hidden="false" customHeight="true" outlineLevel="0" collapsed="false">
      <c r="A1842" s="26" t="n">
        <v>32174</v>
      </c>
      <c r="B1842" s="1" t="n">
        <v>1988</v>
      </c>
      <c r="C1842" s="1" t="n">
        <v>2</v>
      </c>
      <c r="D1842" s="1" t="s">
        <v>43</v>
      </c>
      <c r="E1842" s="1" t="s">
        <v>14</v>
      </c>
      <c r="F1842" s="1" t="n">
        <v>423.75</v>
      </c>
      <c r="G1842" s="1" t="n">
        <f aca="false">IF(E1842=E1841,F1842/F1841-1,"")</f>
        <v>-0.0891993551853842</v>
      </c>
    </row>
    <row r="1843" customFormat="false" ht="14.25" hidden="false" customHeight="true" outlineLevel="0" collapsed="false">
      <c r="A1843" s="26" t="n">
        <v>32203</v>
      </c>
      <c r="B1843" s="1" t="n">
        <v>1988</v>
      </c>
      <c r="C1843" s="1" t="n">
        <v>3</v>
      </c>
      <c r="D1843" s="1" t="s">
        <v>44</v>
      </c>
      <c r="E1843" s="1" t="s">
        <v>14</v>
      </c>
      <c r="F1843" s="1" t="n">
        <v>458</v>
      </c>
      <c r="G1843" s="1" t="n">
        <f aca="false">IF(E1843=E1842,F1843/F1842-1,"")</f>
        <v>0.080825958702065</v>
      </c>
    </row>
    <row r="1844" customFormat="false" ht="14.25" hidden="false" customHeight="true" outlineLevel="0" collapsed="false">
      <c r="A1844" s="26" t="n">
        <v>32234</v>
      </c>
      <c r="B1844" s="1" t="n">
        <v>1988</v>
      </c>
      <c r="C1844" s="1" t="n">
        <v>4</v>
      </c>
      <c r="D1844" s="1" t="s">
        <v>45</v>
      </c>
      <c r="E1844" s="1" t="s">
        <v>14</v>
      </c>
      <c r="F1844" s="1" t="n">
        <v>449.75</v>
      </c>
      <c r="G1844" s="1" t="n">
        <f aca="false">IF(E1844=E1843,F1844/F1843-1,"")</f>
        <v>-0.0180131004366813</v>
      </c>
    </row>
    <row r="1845" customFormat="false" ht="14.25" hidden="false" customHeight="true" outlineLevel="0" collapsed="false">
      <c r="A1845" s="26" t="n">
        <v>32264</v>
      </c>
      <c r="B1845" s="1" t="n">
        <v>1988</v>
      </c>
      <c r="C1845" s="1" t="n">
        <v>5</v>
      </c>
      <c r="D1845" s="1" t="s">
        <v>46</v>
      </c>
      <c r="E1845" s="1" t="s">
        <v>14</v>
      </c>
      <c r="F1845" s="1" t="n">
        <v>454</v>
      </c>
      <c r="G1845" s="1" t="n">
        <f aca="false">IF(E1845=E1844,F1845/F1844-1,"")</f>
        <v>0.00944969427459697</v>
      </c>
    </row>
    <row r="1846" customFormat="false" ht="14.25" hidden="false" customHeight="true" outlineLevel="0" collapsed="false">
      <c r="A1846" s="26" t="n">
        <v>32295</v>
      </c>
      <c r="B1846" s="1" t="n">
        <v>1988</v>
      </c>
      <c r="C1846" s="1" t="n">
        <v>6</v>
      </c>
      <c r="D1846" s="1" t="s">
        <v>47</v>
      </c>
      <c r="E1846" s="1" t="s">
        <v>14</v>
      </c>
      <c r="F1846" s="1" t="n">
        <v>436.85</v>
      </c>
      <c r="G1846" s="1" t="n">
        <f aca="false">IF(E1846=E1845,F1846/F1845-1,"")</f>
        <v>-0.0377753303964757</v>
      </c>
    </row>
    <row r="1847" customFormat="false" ht="14.25" hidden="false" customHeight="true" outlineLevel="0" collapsed="false">
      <c r="A1847" s="26" t="n">
        <v>32325</v>
      </c>
      <c r="B1847" s="1" t="n">
        <v>1988</v>
      </c>
      <c r="C1847" s="1" t="n">
        <v>7</v>
      </c>
      <c r="D1847" s="1" t="s">
        <v>48</v>
      </c>
      <c r="E1847" s="1" t="s">
        <v>14</v>
      </c>
      <c r="F1847" s="1" t="n">
        <v>432.7</v>
      </c>
      <c r="G1847" s="1" t="n">
        <f aca="false">IF(E1847=E1846,F1847/F1846-1,"")</f>
        <v>-0.00949982831635576</v>
      </c>
    </row>
    <row r="1848" customFormat="false" ht="14.25" hidden="false" customHeight="true" outlineLevel="0" collapsed="false">
      <c r="A1848" s="26" t="n">
        <v>32356</v>
      </c>
      <c r="B1848" s="1" t="n">
        <v>1988</v>
      </c>
      <c r="C1848" s="1" t="n">
        <v>8</v>
      </c>
      <c r="D1848" s="1" t="s">
        <v>49</v>
      </c>
      <c r="E1848" s="1" t="s">
        <v>14</v>
      </c>
      <c r="F1848" s="1" t="n">
        <v>426.35</v>
      </c>
      <c r="G1848" s="1" t="n">
        <f aca="false">IF(E1848=E1847,F1848/F1847-1,"")</f>
        <v>-0.0146752946614281</v>
      </c>
    </row>
    <row r="1849" customFormat="false" ht="14.25" hidden="false" customHeight="true" outlineLevel="0" collapsed="false">
      <c r="A1849" s="26" t="n">
        <v>32387</v>
      </c>
      <c r="B1849" s="1" t="n">
        <v>1988</v>
      </c>
      <c r="C1849" s="1" t="n">
        <v>9</v>
      </c>
      <c r="D1849" s="1" t="s">
        <v>50</v>
      </c>
      <c r="E1849" s="1" t="s">
        <v>14</v>
      </c>
      <c r="F1849" s="1" t="n">
        <v>396.15</v>
      </c>
      <c r="G1849" s="1" t="n">
        <f aca="false">IF(E1849=E1848,F1849/F1848-1,"")</f>
        <v>-0.0708338219772489</v>
      </c>
    </row>
    <row r="1850" customFormat="false" ht="14.25" hidden="false" customHeight="true" outlineLevel="0" collapsed="false">
      <c r="A1850" s="26" t="n">
        <v>32417</v>
      </c>
      <c r="B1850" s="1" t="n">
        <v>1988</v>
      </c>
      <c r="C1850" s="1" t="n">
        <v>10</v>
      </c>
      <c r="D1850" s="1" t="s">
        <v>51</v>
      </c>
      <c r="E1850" s="1" t="s">
        <v>14</v>
      </c>
      <c r="F1850" s="1" t="n">
        <v>412.3</v>
      </c>
      <c r="G1850" s="1" t="n">
        <f aca="false">IF(E1850=E1849,F1850/F1849-1,"")</f>
        <v>0.0407673860911273</v>
      </c>
    </row>
    <row r="1851" customFormat="false" ht="14.25" hidden="false" customHeight="true" outlineLevel="0" collapsed="false">
      <c r="A1851" s="26" t="n">
        <v>32448</v>
      </c>
      <c r="B1851" s="1" t="n">
        <v>1988</v>
      </c>
      <c r="C1851" s="1" t="n">
        <v>11</v>
      </c>
      <c r="D1851" s="1" t="s">
        <v>52</v>
      </c>
      <c r="E1851" s="1" t="s">
        <v>14</v>
      </c>
      <c r="F1851" s="1" t="n">
        <v>421.3</v>
      </c>
      <c r="G1851" s="1" t="n">
        <f aca="false">IF(E1851=E1850,F1851/F1850-1,"")</f>
        <v>0.0218287654620422</v>
      </c>
    </row>
    <row r="1852" customFormat="false" ht="14.25" hidden="false" customHeight="true" outlineLevel="0" collapsed="false">
      <c r="A1852" s="26" t="n">
        <v>32478</v>
      </c>
      <c r="B1852" s="1" t="n">
        <v>1988</v>
      </c>
      <c r="C1852" s="1" t="n">
        <v>12</v>
      </c>
      <c r="D1852" s="1" t="s">
        <v>53</v>
      </c>
      <c r="E1852" s="1" t="s">
        <v>14</v>
      </c>
      <c r="F1852" s="1" t="n">
        <v>410.15</v>
      </c>
      <c r="G1852" s="1" t="n">
        <f aca="false">IF(E1852=E1851,F1852/F1851-1,"")</f>
        <v>-0.0264657014004274</v>
      </c>
    </row>
    <row r="1853" customFormat="false" ht="14.25" hidden="false" customHeight="true" outlineLevel="0" collapsed="false">
      <c r="A1853" s="26" t="n">
        <v>32509</v>
      </c>
      <c r="B1853" s="1" t="n">
        <v>1989</v>
      </c>
      <c r="C1853" s="1" t="n">
        <v>1</v>
      </c>
      <c r="D1853" s="1" t="s">
        <v>42</v>
      </c>
      <c r="E1853" s="1" t="s">
        <v>14</v>
      </c>
      <c r="F1853" s="1" t="n">
        <v>394.85</v>
      </c>
      <c r="G1853" s="1" t="n">
        <f aca="false">IF(E1853=E1852,F1853/F1852-1,"")</f>
        <v>-0.0373034255760086</v>
      </c>
    </row>
    <row r="1854" customFormat="false" ht="14.25" hidden="false" customHeight="true" outlineLevel="0" collapsed="false">
      <c r="A1854" s="26" t="n">
        <v>32540</v>
      </c>
      <c r="B1854" s="1" t="n">
        <v>1989</v>
      </c>
      <c r="C1854" s="1" t="n">
        <v>2</v>
      </c>
      <c r="D1854" s="1" t="s">
        <v>43</v>
      </c>
      <c r="E1854" s="1" t="s">
        <v>14</v>
      </c>
      <c r="F1854" s="1" t="n">
        <v>386.75</v>
      </c>
      <c r="G1854" s="1" t="n">
        <f aca="false">IF(E1854=E1853,F1854/F1853-1,"")</f>
        <v>-0.0205141192858048</v>
      </c>
    </row>
    <row r="1855" customFormat="false" ht="14.25" hidden="false" customHeight="true" outlineLevel="0" collapsed="false">
      <c r="A1855" s="26" t="n">
        <v>32568</v>
      </c>
      <c r="B1855" s="1" t="n">
        <v>1989</v>
      </c>
      <c r="C1855" s="1" t="n">
        <v>3</v>
      </c>
      <c r="D1855" s="1" t="s">
        <v>44</v>
      </c>
      <c r="E1855" s="1" t="s">
        <v>14</v>
      </c>
      <c r="F1855" s="1" t="n">
        <v>382.3</v>
      </c>
      <c r="G1855" s="1" t="n">
        <f aca="false">IF(E1855=E1854,F1855/F1854-1,"")</f>
        <v>-0.0115061409179056</v>
      </c>
    </row>
    <row r="1856" customFormat="false" ht="14.25" hidden="false" customHeight="true" outlineLevel="0" collapsed="false">
      <c r="A1856" s="26" t="n">
        <v>32599</v>
      </c>
      <c r="B1856" s="1" t="n">
        <v>1989</v>
      </c>
      <c r="C1856" s="1" t="n">
        <v>4</v>
      </c>
      <c r="D1856" s="1" t="s">
        <v>45</v>
      </c>
      <c r="E1856" s="1" t="s">
        <v>14</v>
      </c>
      <c r="F1856" s="1" t="n">
        <v>381.3</v>
      </c>
      <c r="G1856" s="1" t="n">
        <f aca="false">IF(E1856=E1855,F1856/F1855-1,"")</f>
        <v>-0.00261574679571019</v>
      </c>
    </row>
    <row r="1857" customFormat="false" ht="14.25" hidden="false" customHeight="true" outlineLevel="0" collapsed="false">
      <c r="A1857" s="26" t="n">
        <v>32629</v>
      </c>
      <c r="B1857" s="1" t="n">
        <v>1989</v>
      </c>
      <c r="C1857" s="1" t="n">
        <v>5</v>
      </c>
      <c r="D1857" s="1" t="s">
        <v>46</v>
      </c>
      <c r="E1857" s="1" t="s">
        <v>14</v>
      </c>
      <c r="F1857" s="1" t="n">
        <v>363.5</v>
      </c>
      <c r="G1857" s="1" t="n">
        <f aca="false">IF(E1857=E1856,F1857/F1856-1,"")</f>
        <v>-0.0466824023078941</v>
      </c>
    </row>
    <row r="1858" customFormat="false" ht="14.25" hidden="false" customHeight="true" outlineLevel="0" collapsed="false">
      <c r="A1858" s="26" t="n">
        <v>32660</v>
      </c>
      <c r="B1858" s="1" t="n">
        <v>1989</v>
      </c>
      <c r="C1858" s="1" t="n">
        <v>6</v>
      </c>
      <c r="D1858" s="1" t="s">
        <v>47</v>
      </c>
      <c r="E1858" s="1" t="s">
        <v>14</v>
      </c>
      <c r="F1858" s="1" t="n">
        <v>371.15</v>
      </c>
      <c r="G1858" s="1" t="n">
        <f aca="false">IF(E1858=E1857,F1858/F1857-1,"")</f>
        <v>0.0210453920220082</v>
      </c>
    </row>
    <row r="1859" customFormat="false" ht="14.25" hidden="false" customHeight="true" outlineLevel="0" collapsed="false">
      <c r="A1859" s="26" t="n">
        <v>32690</v>
      </c>
      <c r="B1859" s="1" t="n">
        <v>1989</v>
      </c>
      <c r="C1859" s="1" t="n">
        <v>7</v>
      </c>
      <c r="D1859" s="1" t="s">
        <v>48</v>
      </c>
      <c r="E1859" s="1" t="s">
        <v>14</v>
      </c>
      <c r="F1859" s="1" t="n">
        <v>369.1</v>
      </c>
      <c r="G1859" s="1" t="n">
        <f aca="false">IF(E1859=E1858,F1859/F1858-1,"")</f>
        <v>-0.00552337329920505</v>
      </c>
    </row>
    <row r="1860" customFormat="false" ht="14.25" hidden="false" customHeight="true" outlineLevel="0" collapsed="false">
      <c r="A1860" s="26" t="n">
        <v>32721</v>
      </c>
      <c r="B1860" s="1" t="n">
        <v>1989</v>
      </c>
      <c r="C1860" s="1" t="n">
        <v>8</v>
      </c>
      <c r="D1860" s="1" t="s">
        <v>49</v>
      </c>
      <c r="E1860" s="1" t="s">
        <v>14</v>
      </c>
      <c r="F1860" s="1" t="n">
        <v>359.6</v>
      </c>
      <c r="G1860" s="1" t="n">
        <f aca="false">IF(E1860=E1859,F1860/F1859-1,"")</f>
        <v>-0.0257382823083175</v>
      </c>
    </row>
    <row r="1861" customFormat="false" ht="14.25" hidden="false" customHeight="true" outlineLevel="0" collapsed="false">
      <c r="A1861" s="26" t="n">
        <v>32752</v>
      </c>
      <c r="B1861" s="1" t="n">
        <v>1989</v>
      </c>
      <c r="C1861" s="1" t="n">
        <v>9</v>
      </c>
      <c r="D1861" s="1" t="s">
        <v>50</v>
      </c>
      <c r="E1861" s="1" t="s">
        <v>14</v>
      </c>
      <c r="F1861" s="1" t="n">
        <v>369</v>
      </c>
      <c r="G1861" s="1" t="n">
        <f aca="false">IF(E1861=E1860,F1861/F1860-1,"")</f>
        <v>0.0261401557285872</v>
      </c>
    </row>
    <row r="1862" customFormat="false" ht="14.25" hidden="false" customHeight="true" outlineLevel="0" collapsed="false">
      <c r="A1862" s="26" t="n">
        <v>32782</v>
      </c>
      <c r="B1862" s="1" t="n">
        <v>1989</v>
      </c>
      <c r="C1862" s="1" t="n">
        <v>10</v>
      </c>
      <c r="D1862" s="1" t="s">
        <v>51</v>
      </c>
      <c r="E1862" s="1" t="s">
        <v>14</v>
      </c>
      <c r="F1862" s="1" t="n">
        <v>376.05</v>
      </c>
      <c r="G1862" s="1" t="n">
        <f aca="false">IF(E1862=E1861,F1862/F1861-1,"")</f>
        <v>0.0191056910569105</v>
      </c>
    </row>
    <row r="1863" customFormat="false" ht="14.25" hidden="false" customHeight="true" outlineLevel="0" collapsed="false">
      <c r="A1863" s="26" t="n">
        <v>32813</v>
      </c>
      <c r="B1863" s="1" t="n">
        <v>1989</v>
      </c>
      <c r="C1863" s="1" t="n">
        <v>11</v>
      </c>
      <c r="D1863" s="1" t="s">
        <v>52</v>
      </c>
      <c r="E1863" s="1" t="s">
        <v>14</v>
      </c>
      <c r="F1863" s="1" t="n">
        <v>406.8</v>
      </c>
      <c r="G1863" s="1" t="n">
        <f aca="false">IF(E1863=E1862,F1863/F1862-1,"")</f>
        <v>0.0817710410849621</v>
      </c>
    </row>
    <row r="1864" customFormat="false" ht="14.25" hidden="false" customHeight="true" outlineLevel="0" collapsed="false">
      <c r="A1864" s="26" t="n">
        <v>32843</v>
      </c>
      <c r="B1864" s="1" t="n">
        <v>1989</v>
      </c>
      <c r="C1864" s="1" t="n">
        <v>12</v>
      </c>
      <c r="D1864" s="1" t="s">
        <v>53</v>
      </c>
      <c r="E1864" s="1" t="s">
        <v>14</v>
      </c>
      <c r="F1864" s="1" t="n">
        <v>401</v>
      </c>
      <c r="G1864" s="1" t="n">
        <f aca="false">IF(E1864=E1863,F1864/F1863-1,"")</f>
        <v>-0.0142576204523107</v>
      </c>
    </row>
    <row r="1865" customFormat="false" ht="14.25" hidden="false" customHeight="true" outlineLevel="0" collapsed="false">
      <c r="A1865" s="26" t="n">
        <v>32874</v>
      </c>
      <c r="B1865" s="1" t="n">
        <v>1990</v>
      </c>
      <c r="C1865" s="1" t="n">
        <v>1</v>
      </c>
      <c r="D1865" s="1" t="s">
        <v>42</v>
      </c>
      <c r="E1865" s="1" t="s">
        <v>14</v>
      </c>
      <c r="F1865" s="1" t="n">
        <v>417.55</v>
      </c>
      <c r="G1865" s="1" t="n">
        <f aca="false">IF(E1865=E1864,F1865/F1864-1,"")</f>
        <v>0.0412718204488778</v>
      </c>
    </row>
    <row r="1866" customFormat="false" ht="14.25" hidden="false" customHeight="true" outlineLevel="0" collapsed="false">
      <c r="A1866" s="26" t="n">
        <v>32905</v>
      </c>
      <c r="B1866" s="1" t="n">
        <v>1990</v>
      </c>
      <c r="C1866" s="1" t="n">
        <v>2</v>
      </c>
      <c r="D1866" s="1" t="s">
        <v>43</v>
      </c>
      <c r="E1866" s="1" t="s">
        <v>14</v>
      </c>
      <c r="F1866" s="1" t="n">
        <v>409.1</v>
      </c>
      <c r="G1866" s="1" t="n">
        <f aca="false">IF(E1866=E1865,F1866/F1865-1,"")</f>
        <v>-0.0202370973536103</v>
      </c>
    </row>
    <row r="1867" customFormat="false" ht="14.25" hidden="false" customHeight="true" outlineLevel="0" collapsed="false">
      <c r="A1867" s="26" t="n">
        <v>32933</v>
      </c>
      <c r="B1867" s="1" t="n">
        <v>1990</v>
      </c>
      <c r="C1867" s="1" t="n">
        <v>3</v>
      </c>
      <c r="D1867" s="1" t="s">
        <v>44</v>
      </c>
      <c r="E1867" s="1" t="s">
        <v>14</v>
      </c>
      <c r="F1867" s="1" t="n">
        <v>372.2</v>
      </c>
      <c r="G1867" s="1" t="n">
        <f aca="false">IF(E1867=E1866,F1867/F1866-1,"")</f>
        <v>-0.0901979956000979</v>
      </c>
    </row>
    <row r="1868" customFormat="false" ht="14.25" hidden="false" customHeight="true" outlineLevel="0" collapsed="false">
      <c r="A1868" s="26" t="n">
        <v>32964</v>
      </c>
      <c r="B1868" s="1" t="n">
        <v>1990</v>
      </c>
      <c r="C1868" s="1" t="n">
        <v>4</v>
      </c>
      <c r="D1868" s="1" t="s">
        <v>45</v>
      </c>
      <c r="E1868" s="1" t="s">
        <v>14</v>
      </c>
      <c r="F1868" s="1" t="n">
        <v>371.55</v>
      </c>
      <c r="G1868" s="1" t="n">
        <f aca="false">IF(E1868=E1867,F1868/F1867-1,"")</f>
        <v>-0.00174637291778612</v>
      </c>
    </row>
    <row r="1869" customFormat="false" ht="14.25" hidden="false" customHeight="true" outlineLevel="0" collapsed="false">
      <c r="A1869" s="26" t="n">
        <v>32994</v>
      </c>
      <c r="B1869" s="1" t="n">
        <v>1990</v>
      </c>
      <c r="C1869" s="1" t="n">
        <v>5</v>
      </c>
      <c r="D1869" s="1" t="s">
        <v>46</v>
      </c>
      <c r="E1869" s="1" t="s">
        <v>14</v>
      </c>
      <c r="F1869" s="1" t="n">
        <v>363.7</v>
      </c>
      <c r="G1869" s="1" t="n">
        <f aca="false">IF(E1869=E1868,F1869/F1868-1,"")</f>
        <v>-0.0211277082492263</v>
      </c>
    </row>
    <row r="1870" customFormat="false" ht="14.25" hidden="false" customHeight="true" outlineLevel="0" collapsed="false">
      <c r="A1870" s="26" t="n">
        <v>33025</v>
      </c>
      <c r="B1870" s="1" t="n">
        <v>1990</v>
      </c>
      <c r="C1870" s="1" t="n">
        <v>6</v>
      </c>
      <c r="D1870" s="1" t="s">
        <v>47</v>
      </c>
      <c r="E1870" s="1" t="s">
        <v>14</v>
      </c>
      <c r="F1870" s="1" t="n">
        <v>352.4</v>
      </c>
      <c r="G1870" s="1" t="n">
        <f aca="false">IF(E1870=E1869,F1870/F1869-1,"")</f>
        <v>-0.0310695628265054</v>
      </c>
    </row>
    <row r="1871" customFormat="false" ht="14.25" hidden="false" customHeight="true" outlineLevel="0" collapsed="false">
      <c r="A1871" s="26" t="n">
        <v>33055</v>
      </c>
      <c r="B1871" s="1" t="n">
        <v>1990</v>
      </c>
      <c r="C1871" s="1" t="n">
        <v>7</v>
      </c>
      <c r="D1871" s="1" t="s">
        <v>48</v>
      </c>
      <c r="E1871" s="1" t="s">
        <v>14</v>
      </c>
      <c r="F1871" s="1" t="n">
        <v>371.1</v>
      </c>
      <c r="G1871" s="1" t="n">
        <f aca="false">IF(E1871=E1870,F1871/F1870-1,"")</f>
        <v>0.0530646992054484</v>
      </c>
    </row>
    <row r="1872" customFormat="false" ht="14.25" hidden="false" customHeight="true" outlineLevel="0" collapsed="false">
      <c r="A1872" s="26" t="n">
        <v>33086</v>
      </c>
      <c r="B1872" s="1" t="n">
        <v>1990</v>
      </c>
      <c r="C1872" s="1" t="n">
        <v>8</v>
      </c>
      <c r="D1872" s="1" t="s">
        <v>49</v>
      </c>
      <c r="E1872" s="1" t="s">
        <v>14</v>
      </c>
      <c r="F1872" s="1" t="n">
        <v>388.1</v>
      </c>
      <c r="G1872" s="1" t="n">
        <f aca="false">IF(E1872=E1871,F1872/F1871-1,"")</f>
        <v>0.0458097547830774</v>
      </c>
    </row>
    <row r="1873" customFormat="false" ht="14.25" hidden="false" customHeight="true" outlineLevel="0" collapsed="false">
      <c r="A1873" s="26" t="n">
        <v>33117</v>
      </c>
      <c r="B1873" s="1" t="n">
        <v>1990</v>
      </c>
      <c r="C1873" s="1" t="n">
        <v>9</v>
      </c>
      <c r="D1873" s="1" t="s">
        <v>50</v>
      </c>
      <c r="E1873" s="1" t="s">
        <v>14</v>
      </c>
      <c r="F1873" s="1" t="n">
        <v>406.1</v>
      </c>
      <c r="G1873" s="1" t="n">
        <f aca="false">IF(E1873=E1872,F1873/F1872-1,"")</f>
        <v>0.046379799020871</v>
      </c>
    </row>
    <row r="1874" customFormat="false" ht="14.25" hidden="false" customHeight="true" outlineLevel="0" collapsed="false">
      <c r="A1874" s="26" t="n">
        <v>33147</v>
      </c>
      <c r="B1874" s="1" t="n">
        <v>1990</v>
      </c>
      <c r="C1874" s="1" t="n">
        <v>10</v>
      </c>
      <c r="D1874" s="1" t="s">
        <v>51</v>
      </c>
      <c r="E1874" s="1" t="s">
        <v>14</v>
      </c>
      <c r="F1874" s="1" t="n">
        <v>379.25</v>
      </c>
      <c r="G1874" s="1" t="n">
        <f aca="false">IF(E1874=E1873,F1874/F1873-1,"")</f>
        <v>-0.0661167200196996</v>
      </c>
    </row>
    <row r="1875" customFormat="false" ht="14.25" hidden="false" customHeight="true" outlineLevel="0" collapsed="false">
      <c r="A1875" s="26" t="n">
        <v>33178</v>
      </c>
      <c r="B1875" s="1" t="n">
        <v>1990</v>
      </c>
      <c r="C1875" s="1" t="n">
        <v>11</v>
      </c>
      <c r="D1875" s="1" t="s">
        <v>52</v>
      </c>
      <c r="E1875" s="1" t="s">
        <v>14</v>
      </c>
      <c r="F1875" s="1" t="n">
        <v>384.8</v>
      </c>
      <c r="G1875" s="1" t="n">
        <f aca="false">IF(E1875=E1874,F1875/F1874-1,"")</f>
        <v>0.0146341463414634</v>
      </c>
    </row>
    <row r="1876" customFormat="false" ht="14.25" hidden="false" customHeight="true" outlineLevel="0" collapsed="false">
      <c r="A1876" s="26" t="n">
        <v>33208</v>
      </c>
      <c r="B1876" s="1" t="n">
        <v>1990</v>
      </c>
      <c r="C1876" s="1" t="n">
        <v>12</v>
      </c>
      <c r="D1876" s="1" t="s">
        <v>53</v>
      </c>
      <c r="E1876" s="1" t="s">
        <v>14</v>
      </c>
      <c r="F1876" s="1" t="n">
        <v>391</v>
      </c>
      <c r="G1876" s="1" t="n">
        <f aca="false">IF(E1876=E1875,F1876/F1875-1,"")</f>
        <v>0.0161122661122661</v>
      </c>
    </row>
    <row r="1877" customFormat="false" ht="14.25" hidden="false" customHeight="true" outlineLevel="0" collapsed="false">
      <c r="A1877" s="26" t="n">
        <v>33239</v>
      </c>
      <c r="B1877" s="1" t="n">
        <v>1991</v>
      </c>
      <c r="C1877" s="1" t="n">
        <v>1</v>
      </c>
      <c r="D1877" s="1" t="s">
        <v>42</v>
      </c>
      <c r="E1877" s="1" t="s">
        <v>14</v>
      </c>
      <c r="F1877" s="1" t="n">
        <v>369.6</v>
      </c>
      <c r="G1877" s="1" t="n">
        <f aca="false">IF(E1877=E1876,F1877/F1876-1,"")</f>
        <v>-0.0547314578005115</v>
      </c>
    </row>
    <row r="1878" customFormat="false" ht="14.25" hidden="false" customHeight="true" outlineLevel="0" collapsed="false">
      <c r="A1878" s="26" t="n">
        <v>33270</v>
      </c>
      <c r="B1878" s="1" t="n">
        <v>1991</v>
      </c>
      <c r="C1878" s="1" t="n">
        <v>2</v>
      </c>
      <c r="D1878" s="1" t="s">
        <v>43</v>
      </c>
      <c r="E1878" s="1" t="s">
        <v>14</v>
      </c>
      <c r="F1878" s="1" t="n">
        <v>363</v>
      </c>
      <c r="G1878" s="1" t="n">
        <f aca="false">IF(E1878=E1877,F1878/F1877-1,"")</f>
        <v>-0.0178571428571429</v>
      </c>
    </row>
    <row r="1879" customFormat="false" ht="14.25" hidden="false" customHeight="true" outlineLevel="0" collapsed="false">
      <c r="A1879" s="26" t="n">
        <v>33298</v>
      </c>
      <c r="B1879" s="1" t="n">
        <v>1991</v>
      </c>
      <c r="C1879" s="1" t="n">
        <v>3</v>
      </c>
      <c r="D1879" s="1" t="s">
        <v>44</v>
      </c>
      <c r="E1879" s="1" t="s">
        <v>14</v>
      </c>
      <c r="F1879" s="1" t="n">
        <v>354</v>
      </c>
      <c r="G1879" s="1" t="n">
        <f aca="false">IF(E1879=E1878,F1879/F1878-1,"")</f>
        <v>-0.0247933884297521</v>
      </c>
    </row>
    <row r="1880" customFormat="false" ht="14.25" hidden="false" customHeight="true" outlineLevel="0" collapsed="false">
      <c r="A1880" s="26" t="n">
        <v>33329</v>
      </c>
      <c r="B1880" s="1" t="n">
        <v>1991</v>
      </c>
      <c r="C1880" s="1" t="n">
        <v>4</v>
      </c>
      <c r="D1880" s="1" t="s">
        <v>45</v>
      </c>
      <c r="E1880" s="1" t="s">
        <v>14</v>
      </c>
      <c r="F1880" s="1" t="n">
        <v>353.45</v>
      </c>
      <c r="G1880" s="1" t="n">
        <f aca="false">IF(E1880=E1879,F1880/F1879-1,"")</f>
        <v>-0.00155367231638426</v>
      </c>
    </row>
    <row r="1881" customFormat="false" ht="14.25" hidden="false" customHeight="true" outlineLevel="0" collapsed="false">
      <c r="A1881" s="26" t="n">
        <v>33359</v>
      </c>
      <c r="B1881" s="1" t="n">
        <v>1991</v>
      </c>
      <c r="C1881" s="1" t="n">
        <v>5</v>
      </c>
      <c r="D1881" s="1" t="s">
        <v>46</v>
      </c>
      <c r="E1881" s="1" t="s">
        <v>14</v>
      </c>
      <c r="F1881" s="1" t="n">
        <v>361.55</v>
      </c>
      <c r="G1881" s="1" t="n">
        <f aca="false">IF(E1881=E1880,F1881/F1880-1,"")</f>
        <v>0.0229169613806763</v>
      </c>
    </row>
    <row r="1882" customFormat="false" ht="14.25" hidden="false" customHeight="true" outlineLevel="0" collapsed="false">
      <c r="A1882" s="26" t="n">
        <v>33390</v>
      </c>
      <c r="B1882" s="1" t="n">
        <v>1991</v>
      </c>
      <c r="C1882" s="1" t="n">
        <v>6</v>
      </c>
      <c r="D1882" s="1" t="s">
        <v>47</v>
      </c>
      <c r="E1882" s="1" t="s">
        <v>14</v>
      </c>
      <c r="F1882" s="1" t="n">
        <v>366.9</v>
      </c>
      <c r="G1882" s="1" t="n">
        <f aca="false">IF(E1882=E1881,F1882/F1881-1,"")</f>
        <v>0.014797400082976</v>
      </c>
    </row>
    <row r="1883" customFormat="false" ht="14.25" hidden="false" customHeight="true" outlineLevel="0" collapsed="false">
      <c r="A1883" s="26" t="n">
        <v>33420</v>
      </c>
      <c r="B1883" s="1" t="n">
        <v>1991</v>
      </c>
      <c r="C1883" s="1" t="n">
        <v>7</v>
      </c>
      <c r="D1883" s="1" t="s">
        <v>48</v>
      </c>
      <c r="E1883" s="1" t="s">
        <v>14</v>
      </c>
      <c r="F1883" s="1" t="n">
        <v>363.6</v>
      </c>
      <c r="G1883" s="1" t="n">
        <f aca="false">IF(E1883=E1882,F1883/F1882-1,"")</f>
        <v>-0.00899427636958283</v>
      </c>
    </row>
    <row r="1884" customFormat="false" ht="14.25" hidden="false" customHeight="true" outlineLevel="0" collapsed="false">
      <c r="A1884" s="26" t="n">
        <v>33451</v>
      </c>
      <c r="B1884" s="1" t="n">
        <v>1991</v>
      </c>
      <c r="C1884" s="1" t="n">
        <v>8</v>
      </c>
      <c r="D1884" s="1" t="s">
        <v>49</v>
      </c>
      <c r="E1884" s="1" t="s">
        <v>14</v>
      </c>
      <c r="F1884" s="1" t="n">
        <v>347</v>
      </c>
      <c r="G1884" s="1" t="n">
        <f aca="false">IF(E1884=E1883,F1884/F1883-1,"")</f>
        <v>-0.0456545654565457</v>
      </c>
    </row>
    <row r="1885" customFormat="false" ht="14.25" hidden="false" customHeight="true" outlineLevel="0" collapsed="false">
      <c r="A1885" s="26" t="n">
        <v>33482</v>
      </c>
      <c r="B1885" s="1" t="n">
        <v>1991</v>
      </c>
      <c r="C1885" s="1" t="n">
        <v>9</v>
      </c>
      <c r="D1885" s="1" t="s">
        <v>50</v>
      </c>
      <c r="E1885" s="1" t="s">
        <v>14</v>
      </c>
      <c r="F1885" s="1" t="n">
        <v>350.5</v>
      </c>
      <c r="G1885" s="1" t="n">
        <f aca="false">IF(E1885=E1884,F1885/F1884-1,"")</f>
        <v>0.0100864553314122</v>
      </c>
    </row>
    <row r="1886" customFormat="false" ht="14.25" hidden="false" customHeight="true" outlineLevel="0" collapsed="false">
      <c r="A1886" s="26" t="n">
        <v>33512</v>
      </c>
      <c r="B1886" s="1" t="n">
        <v>1991</v>
      </c>
      <c r="C1886" s="1" t="n">
        <v>10</v>
      </c>
      <c r="D1886" s="1" t="s">
        <v>51</v>
      </c>
      <c r="E1886" s="1" t="s">
        <v>14</v>
      </c>
      <c r="F1886" s="1" t="n">
        <v>357.4</v>
      </c>
      <c r="G1886" s="1" t="n">
        <f aca="false">IF(E1886=E1885,F1886/F1885-1,"")</f>
        <v>0.0196861626248217</v>
      </c>
    </row>
    <row r="1887" customFormat="false" ht="14.25" hidden="false" customHeight="true" outlineLevel="0" collapsed="false">
      <c r="A1887" s="26" t="n">
        <v>33543</v>
      </c>
      <c r="B1887" s="1" t="n">
        <v>1991</v>
      </c>
      <c r="C1887" s="1" t="n">
        <v>11</v>
      </c>
      <c r="D1887" s="1" t="s">
        <v>52</v>
      </c>
      <c r="E1887" s="1" t="s">
        <v>14</v>
      </c>
      <c r="F1887" s="1" t="n">
        <v>366.85</v>
      </c>
      <c r="G1887" s="1" t="n">
        <f aca="false">IF(E1887=E1886,F1887/F1886-1,"")</f>
        <v>0.026440962506995</v>
      </c>
    </row>
    <row r="1888" customFormat="false" ht="14.25" hidden="false" customHeight="true" outlineLevel="0" collapsed="false">
      <c r="A1888" s="26" t="n">
        <v>33573</v>
      </c>
      <c r="B1888" s="1" t="n">
        <v>1991</v>
      </c>
      <c r="C1888" s="1" t="n">
        <v>12</v>
      </c>
      <c r="D1888" s="1" t="s">
        <v>53</v>
      </c>
      <c r="E1888" s="1" t="s">
        <v>14</v>
      </c>
      <c r="F1888" s="1" t="n">
        <v>353.4</v>
      </c>
      <c r="G1888" s="1" t="n">
        <f aca="false">IF(E1888=E1887,F1888/F1887-1,"")</f>
        <v>-0.036663486438599</v>
      </c>
    </row>
    <row r="1889" customFormat="false" ht="14.25" hidden="false" customHeight="true" outlineLevel="0" collapsed="false">
      <c r="A1889" s="26" t="n">
        <v>33604</v>
      </c>
      <c r="B1889" s="1" t="n">
        <v>1992</v>
      </c>
      <c r="C1889" s="1" t="n">
        <v>1</v>
      </c>
      <c r="D1889" s="1" t="s">
        <v>42</v>
      </c>
      <c r="E1889" s="1" t="s">
        <v>14</v>
      </c>
      <c r="F1889" s="1" t="n">
        <v>354.15</v>
      </c>
      <c r="G1889" s="1" t="n">
        <f aca="false">IF(E1889=E1888,F1889/F1888-1,"")</f>
        <v>0.00212224108658754</v>
      </c>
    </row>
    <row r="1890" customFormat="false" ht="14.25" hidden="false" customHeight="true" outlineLevel="0" collapsed="false">
      <c r="A1890" s="26" t="n">
        <v>33635</v>
      </c>
      <c r="B1890" s="1" t="n">
        <v>1992</v>
      </c>
      <c r="C1890" s="1" t="n">
        <v>2</v>
      </c>
      <c r="D1890" s="1" t="s">
        <v>43</v>
      </c>
      <c r="E1890" s="1" t="s">
        <v>14</v>
      </c>
      <c r="F1890" s="1" t="n">
        <v>353.05</v>
      </c>
      <c r="G1890" s="1" t="n">
        <f aca="false">IF(E1890=E1889,F1890/F1889-1,"")</f>
        <v>-0.003106028518989</v>
      </c>
    </row>
    <row r="1891" customFormat="false" ht="14.25" hidden="false" customHeight="true" outlineLevel="0" collapsed="false">
      <c r="A1891" s="26" t="n">
        <v>33664</v>
      </c>
      <c r="B1891" s="1" t="n">
        <v>1992</v>
      </c>
      <c r="C1891" s="1" t="n">
        <v>3</v>
      </c>
      <c r="D1891" s="1" t="s">
        <v>44</v>
      </c>
      <c r="E1891" s="1" t="s">
        <v>14</v>
      </c>
      <c r="F1891" s="1" t="n">
        <v>341.5</v>
      </c>
      <c r="G1891" s="1" t="n">
        <f aca="false">IF(E1891=E1890,F1891/F1890-1,"")</f>
        <v>-0.0327149129018552</v>
      </c>
    </row>
    <row r="1892" customFormat="false" ht="14.25" hidden="false" customHeight="true" outlineLevel="0" collapsed="false">
      <c r="A1892" s="26" t="n">
        <v>33695</v>
      </c>
      <c r="B1892" s="1" t="n">
        <v>1992</v>
      </c>
      <c r="C1892" s="1" t="n">
        <v>4</v>
      </c>
      <c r="D1892" s="1" t="s">
        <v>45</v>
      </c>
      <c r="E1892" s="1" t="s">
        <v>14</v>
      </c>
      <c r="F1892" s="1" t="n">
        <v>336.25</v>
      </c>
      <c r="G1892" s="1" t="n">
        <f aca="false">IF(E1892=E1891,F1892/F1891-1,"")</f>
        <v>-0.0153733528550513</v>
      </c>
    </row>
    <row r="1893" customFormat="false" ht="14.25" hidden="false" customHeight="true" outlineLevel="0" collapsed="false">
      <c r="A1893" s="26" t="n">
        <v>33725</v>
      </c>
      <c r="B1893" s="1" t="n">
        <v>1992</v>
      </c>
      <c r="C1893" s="1" t="n">
        <v>5</v>
      </c>
      <c r="D1893" s="1" t="s">
        <v>46</v>
      </c>
      <c r="E1893" s="1" t="s">
        <v>14</v>
      </c>
      <c r="F1893" s="1" t="n">
        <v>337.55</v>
      </c>
      <c r="G1893" s="1" t="n">
        <f aca="false">IF(E1893=E1892,F1893/F1892-1,"")</f>
        <v>0.00386617100371756</v>
      </c>
    </row>
    <row r="1894" customFormat="false" ht="14.25" hidden="false" customHeight="true" outlineLevel="0" collapsed="false">
      <c r="A1894" s="26" t="n">
        <v>33756</v>
      </c>
      <c r="B1894" s="1" t="n">
        <v>1992</v>
      </c>
      <c r="C1894" s="1" t="n">
        <v>6</v>
      </c>
      <c r="D1894" s="1" t="s">
        <v>47</v>
      </c>
      <c r="E1894" s="1" t="s">
        <v>14</v>
      </c>
      <c r="F1894" s="1" t="n">
        <v>343.4</v>
      </c>
      <c r="G1894" s="1" t="n">
        <f aca="false">IF(E1894=E1893,F1894/F1893-1,"")</f>
        <v>0.0173307658124722</v>
      </c>
    </row>
    <row r="1895" customFormat="false" ht="14.25" hidden="false" customHeight="true" outlineLevel="0" collapsed="false">
      <c r="A1895" s="26" t="n">
        <v>33786</v>
      </c>
      <c r="B1895" s="1" t="n">
        <v>1992</v>
      </c>
      <c r="C1895" s="1" t="n">
        <v>7</v>
      </c>
      <c r="D1895" s="1" t="s">
        <v>48</v>
      </c>
      <c r="E1895" s="1" t="s">
        <v>14</v>
      </c>
      <c r="F1895" s="1" t="n">
        <v>357.95</v>
      </c>
      <c r="G1895" s="1" t="n">
        <f aca="false">IF(E1895=E1894,F1895/F1894-1,"")</f>
        <v>0.0423704135119394</v>
      </c>
    </row>
    <row r="1896" customFormat="false" ht="14.25" hidden="false" customHeight="true" outlineLevel="0" collapsed="false">
      <c r="A1896" s="26" t="n">
        <v>33817</v>
      </c>
      <c r="B1896" s="1" t="n">
        <v>1992</v>
      </c>
      <c r="C1896" s="1" t="n">
        <v>8</v>
      </c>
      <c r="D1896" s="1" t="s">
        <v>49</v>
      </c>
      <c r="E1896" s="1" t="s">
        <v>14</v>
      </c>
      <c r="F1896" s="1" t="n">
        <v>340.5</v>
      </c>
      <c r="G1896" s="1" t="n">
        <f aca="false">IF(E1896=E1895,F1896/F1895-1,"")</f>
        <v>-0.0487498253946082</v>
      </c>
    </row>
    <row r="1897" customFormat="false" ht="14.25" hidden="false" customHeight="true" outlineLevel="0" collapsed="false">
      <c r="A1897" s="26" t="n">
        <v>33848</v>
      </c>
      <c r="B1897" s="1" t="n">
        <v>1992</v>
      </c>
      <c r="C1897" s="1" t="n">
        <v>9</v>
      </c>
      <c r="D1897" s="1" t="s">
        <v>50</v>
      </c>
      <c r="E1897" s="1" t="s">
        <v>14</v>
      </c>
      <c r="F1897" s="1" t="n">
        <v>349</v>
      </c>
      <c r="G1897" s="1" t="n">
        <f aca="false">IF(E1897=E1896,F1897/F1896-1,"")</f>
        <v>0.0249632892804699</v>
      </c>
    </row>
    <row r="1898" customFormat="false" ht="14.25" hidden="false" customHeight="true" outlineLevel="0" collapsed="false">
      <c r="A1898" s="26" t="n">
        <v>33878</v>
      </c>
      <c r="B1898" s="1" t="n">
        <v>1992</v>
      </c>
      <c r="C1898" s="1" t="n">
        <v>10</v>
      </c>
      <c r="D1898" s="1" t="s">
        <v>51</v>
      </c>
      <c r="E1898" s="1" t="s">
        <v>14</v>
      </c>
      <c r="F1898" s="1" t="n">
        <v>338.8</v>
      </c>
      <c r="G1898" s="1" t="n">
        <f aca="false">IF(E1898=E1897,F1898/F1897-1,"")</f>
        <v>-0.0292263610315185</v>
      </c>
    </row>
    <row r="1899" customFormat="false" ht="14.25" hidden="false" customHeight="true" outlineLevel="0" collapsed="false">
      <c r="A1899" s="26" t="n">
        <v>33909</v>
      </c>
      <c r="B1899" s="1" t="n">
        <v>1992</v>
      </c>
      <c r="C1899" s="1" t="n">
        <v>11</v>
      </c>
      <c r="D1899" s="1" t="s">
        <v>52</v>
      </c>
      <c r="E1899" s="1" t="s">
        <v>14</v>
      </c>
      <c r="F1899" s="1" t="n">
        <v>333.7</v>
      </c>
      <c r="G1899" s="1" t="n">
        <f aca="false">IF(E1899=E1898,F1899/F1898-1,"")</f>
        <v>-0.0150531286894924</v>
      </c>
    </row>
    <row r="1900" customFormat="false" ht="14.25" hidden="false" customHeight="true" outlineLevel="0" collapsed="false">
      <c r="A1900" s="26" t="n">
        <v>33939</v>
      </c>
      <c r="B1900" s="1" t="n">
        <v>1992</v>
      </c>
      <c r="C1900" s="1" t="n">
        <v>12</v>
      </c>
      <c r="D1900" s="1" t="s">
        <v>53</v>
      </c>
      <c r="E1900" s="1" t="s">
        <v>14</v>
      </c>
      <c r="F1900" s="1" t="n">
        <v>332.9</v>
      </c>
      <c r="G1900" s="1" t="n">
        <f aca="false">IF(E1900=E1899,F1900/F1899-1,"")</f>
        <v>-0.00239736290080916</v>
      </c>
    </row>
    <row r="1901" customFormat="false" ht="14.25" hidden="false" customHeight="true" outlineLevel="0" collapsed="false">
      <c r="A1901" s="26" t="n">
        <v>33970</v>
      </c>
      <c r="B1901" s="1" t="n">
        <v>1993</v>
      </c>
      <c r="C1901" s="1" t="n">
        <v>1</v>
      </c>
      <c r="D1901" s="1" t="s">
        <v>42</v>
      </c>
      <c r="E1901" s="1" t="s">
        <v>14</v>
      </c>
      <c r="F1901" s="1" t="n">
        <v>330.75</v>
      </c>
      <c r="G1901" s="1" t="n">
        <f aca="false">IF(E1901=E1900,F1901/F1900-1,"")</f>
        <v>-0.006458395914689</v>
      </c>
    </row>
    <row r="1902" customFormat="false" ht="14.25" hidden="false" customHeight="true" outlineLevel="0" collapsed="false">
      <c r="A1902" s="26" t="n">
        <v>34001</v>
      </c>
      <c r="B1902" s="1" t="n">
        <v>1993</v>
      </c>
      <c r="C1902" s="1" t="n">
        <v>2</v>
      </c>
      <c r="D1902" s="1" t="s">
        <v>43</v>
      </c>
      <c r="E1902" s="1" t="s">
        <v>14</v>
      </c>
      <c r="F1902" s="1" t="n">
        <v>328.75</v>
      </c>
      <c r="G1902" s="1" t="n">
        <f aca="false">IF(E1902=E1901,F1902/F1901-1,"")</f>
        <v>-0.00604686318972036</v>
      </c>
    </row>
    <row r="1903" customFormat="false" ht="14.25" hidden="false" customHeight="true" outlineLevel="0" collapsed="false">
      <c r="A1903" s="26" t="n">
        <v>34029</v>
      </c>
      <c r="B1903" s="1" t="n">
        <v>1993</v>
      </c>
      <c r="C1903" s="1" t="n">
        <v>3</v>
      </c>
      <c r="D1903" s="1" t="s">
        <v>44</v>
      </c>
      <c r="E1903" s="1" t="s">
        <v>14</v>
      </c>
      <c r="F1903" s="1" t="n">
        <v>336.9</v>
      </c>
      <c r="G1903" s="1" t="n">
        <f aca="false">IF(E1903=E1902,F1903/F1902-1,"")</f>
        <v>0.0247908745247147</v>
      </c>
    </row>
    <row r="1904" customFormat="false" ht="14.25" hidden="false" customHeight="true" outlineLevel="0" collapsed="false">
      <c r="A1904" s="26" t="n">
        <v>34060</v>
      </c>
      <c r="B1904" s="1" t="n">
        <v>1993</v>
      </c>
      <c r="C1904" s="1" t="n">
        <v>4</v>
      </c>
      <c r="D1904" s="1" t="s">
        <v>45</v>
      </c>
      <c r="E1904" s="1" t="s">
        <v>14</v>
      </c>
      <c r="F1904" s="1" t="n">
        <v>353.45</v>
      </c>
      <c r="G1904" s="1" t="n">
        <f aca="false">IF(E1904=E1903,F1904/F1903-1,"")</f>
        <v>0.0491243692490353</v>
      </c>
    </row>
    <row r="1905" customFormat="false" ht="14.25" hidden="false" customHeight="true" outlineLevel="0" collapsed="false">
      <c r="A1905" s="26" t="n">
        <v>34090</v>
      </c>
      <c r="B1905" s="1" t="n">
        <v>1993</v>
      </c>
      <c r="C1905" s="1" t="n">
        <v>5</v>
      </c>
      <c r="D1905" s="1" t="s">
        <v>46</v>
      </c>
      <c r="E1905" s="1" t="s">
        <v>14</v>
      </c>
      <c r="F1905" s="1" t="n">
        <v>381</v>
      </c>
      <c r="G1905" s="1" t="n">
        <f aca="false">IF(E1905=E1904,F1905/F1904-1,"")</f>
        <v>0.0779459612392135</v>
      </c>
    </row>
    <row r="1906" customFormat="false" ht="14.25" hidden="false" customHeight="true" outlineLevel="0" collapsed="false">
      <c r="A1906" s="26" t="n">
        <v>34121</v>
      </c>
      <c r="B1906" s="1" t="n">
        <v>1993</v>
      </c>
      <c r="C1906" s="1" t="n">
        <v>6</v>
      </c>
      <c r="D1906" s="1" t="s">
        <v>47</v>
      </c>
      <c r="E1906" s="1" t="s">
        <v>14</v>
      </c>
      <c r="F1906" s="1" t="n">
        <v>379</v>
      </c>
      <c r="G1906" s="1" t="n">
        <f aca="false">IF(E1906=E1905,F1906/F1905-1,"")</f>
        <v>-0.00524934383202103</v>
      </c>
    </row>
    <row r="1907" customFormat="false" ht="14.25" hidden="false" customHeight="true" outlineLevel="0" collapsed="false">
      <c r="A1907" s="26" t="n">
        <v>34151</v>
      </c>
      <c r="B1907" s="1" t="n">
        <v>1993</v>
      </c>
      <c r="C1907" s="1" t="n">
        <v>7</v>
      </c>
      <c r="D1907" s="1" t="s">
        <v>48</v>
      </c>
      <c r="E1907" s="1" t="s">
        <v>14</v>
      </c>
      <c r="F1907" s="1" t="n">
        <v>403.7</v>
      </c>
      <c r="G1907" s="1" t="n">
        <f aca="false">IF(E1907=E1906,F1907/F1906-1,"")</f>
        <v>0.0651715039577836</v>
      </c>
    </row>
    <row r="1908" customFormat="false" ht="14.25" hidden="false" customHeight="true" outlineLevel="0" collapsed="false">
      <c r="A1908" s="26" t="n">
        <v>34182</v>
      </c>
      <c r="B1908" s="1" t="n">
        <v>1993</v>
      </c>
      <c r="C1908" s="1" t="n">
        <v>8</v>
      </c>
      <c r="D1908" s="1" t="s">
        <v>49</v>
      </c>
      <c r="E1908" s="1" t="s">
        <v>14</v>
      </c>
      <c r="F1908" s="1" t="n">
        <v>370.6</v>
      </c>
      <c r="G1908" s="1" t="n">
        <f aca="false">IF(E1908=E1907,F1908/F1907-1,"")</f>
        <v>-0.0819915779043844</v>
      </c>
    </row>
    <row r="1909" customFormat="false" ht="14.25" hidden="false" customHeight="true" outlineLevel="0" collapsed="false">
      <c r="A1909" s="26" t="n">
        <v>34213</v>
      </c>
      <c r="B1909" s="1" t="n">
        <v>1993</v>
      </c>
      <c r="C1909" s="1" t="n">
        <v>9</v>
      </c>
      <c r="D1909" s="1" t="s">
        <v>50</v>
      </c>
      <c r="E1909" s="1" t="s">
        <v>14</v>
      </c>
      <c r="F1909" s="1" t="n">
        <v>352.65</v>
      </c>
      <c r="G1909" s="1" t="n">
        <f aca="false">IF(E1909=E1908,F1909/F1908-1,"")</f>
        <v>-0.0484349703184027</v>
      </c>
    </row>
    <row r="1910" customFormat="false" ht="14.25" hidden="false" customHeight="true" outlineLevel="0" collapsed="false">
      <c r="A1910" s="26" t="n">
        <v>34243</v>
      </c>
      <c r="B1910" s="1" t="n">
        <v>1993</v>
      </c>
      <c r="C1910" s="1" t="n">
        <v>10</v>
      </c>
      <c r="D1910" s="1" t="s">
        <v>51</v>
      </c>
      <c r="E1910" s="1" t="s">
        <v>14</v>
      </c>
      <c r="F1910" s="1" t="n">
        <v>369.1</v>
      </c>
      <c r="G1910" s="1" t="n">
        <f aca="false">IF(E1910=E1909,F1910/F1909-1,"")</f>
        <v>0.0466468169573233</v>
      </c>
    </row>
    <row r="1911" customFormat="false" ht="14.25" hidden="false" customHeight="true" outlineLevel="0" collapsed="false">
      <c r="A1911" s="26" t="n">
        <v>34274</v>
      </c>
      <c r="B1911" s="1" t="n">
        <v>1993</v>
      </c>
      <c r="C1911" s="1" t="n">
        <v>11</v>
      </c>
      <c r="D1911" s="1" t="s">
        <v>52</v>
      </c>
      <c r="E1911" s="1" t="s">
        <v>14</v>
      </c>
      <c r="F1911" s="1" t="n">
        <v>370.8</v>
      </c>
      <c r="G1911" s="1" t="n">
        <f aca="false">IF(E1911=E1910,F1911/F1910-1,"")</f>
        <v>0.00460579788675153</v>
      </c>
    </row>
    <row r="1912" customFormat="false" ht="14.25" hidden="false" customHeight="true" outlineLevel="0" collapsed="false">
      <c r="A1912" s="26" t="n">
        <v>34304</v>
      </c>
      <c r="B1912" s="1" t="n">
        <v>1993</v>
      </c>
      <c r="C1912" s="1" t="n">
        <v>12</v>
      </c>
      <c r="D1912" s="1" t="s">
        <v>53</v>
      </c>
      <c r="E1912" s="1" t="s">
        <v>14</v>
      </c>
      <c r="F1912" s="1" t="n">
        <v>390.65</v>
      </c>
      <c r="G1912" s="1" t="n">
        <f aca="false">IF(E1912=E1911,F1912/F1911-1,"")</f>
        <v>0.0535329018338726</v>
      </c>
    </row>
    <row r="1913" customFormat="false" ht="14.25" hidden="false" customHeight="true" outlineLevel="0" collapsed="false">
      <c r="A1913" s="26" t="n">
        <v>34335</v>
      </c>
      <c r="B1913" s="1" t="n">
        <v>1994</v>
      </c>
      <c r="C1913" s="1" t="n">
        <v>1</v>
      </c>
      <c r="D1913" s="1" t="s">
        <v>42</v>
      </c>
      <c r="E1913" s="1" t="s">
        <v>14</v>
      </c>
      <c r="F1913" s="1" t="n">
        <v>378.2</v>
      </c>
      <c r="G1913" s="1" t="n">
        <f aca="false">IF(E1913=E1912,F1913/F1912-1,"")</f>
        <v>-0.0318699603225393</v>
      </c>
    </row>
    <row r="1914" customFormat="false" ht="14.25" hidden="false" customHeight="true" outlineLevel="0" collapsed="false">
      <c r="A1914" s="26" t="n">
        <v>34366</v>
      </c>
      <c r="B1914" s="1" t="n">
        <v>1994</v>
      </c>
      <c r="C1914" s="1" t="n">
        <v>2</v>
      </c>
      <c r="D1914" s="1" t="s">
        <v>43</v>
      </c>
      <c r="E1914" s="1" t="s">
        <v>14</v>
      </c>
      <c r="F1914" s="1" t="n">
        <v>380.75</v>
      </c>
      <c r="G1914" s="1" t="n">
        <f aca="false">IF(E1914=E1913,F1914/F1913-1,"")</f>
        <v>0.00674246430460079</v>
      </c>
    </row>
    <row r="1915" customFormat="false" ht="14.25" hidden="false" customHeight="true" outlineLevel="0" collapsed="false">
      <c r="A1915" s="26" t="n">
        <v>34394</v>
      </c>
      <c r="B1915" s="1" t="n">
        <v>1994</v>
      </c>
      <c r="C1915" s="1" t="n">
        <v>3</v>
      </c>
      <c r="D1915" s="1" t="s">
        <v>44</v>
      </c>
      <c r="E1915" s="1" t="s">
        <v>14</v>
      </c>
      <c r="F1915" s="1" t="n">
        <v>389.7</v>
      </c>
      <c r="G1915" s="1" t="n">
        <f aca="false">IF(E1915=E1914,F1915/F1914-1,"")</f>
        <v>0.023506237688772</v>
      </c>
    </row>
    <row r="1916" customFormat="false" ht="14.25" hidden="false" customHeight="true" outlineLevel="0" collapsed="false">
      <c r="A1916" s="26" t="n">
        <v>34425</v>
      </c>
      <c r="B1916" s="1" t="n">
        <v>1994</v>
      </c>
      <c r="C1916" s="1" t="n">
        <v>4</v>
      </c>
      <c r="D1916" s="1" t="s">
        <v>45</v>
      </c>
      <c r="E1916" s="1" t="s">
        <v>14</v>
      </c>
      <c r="F1916" s="1" t="n">
        <v>376.45</v>
      </c>
      <c r="G1916" s="1" t="n">
        <f aca="false">IF(E1916=E1915,F1916/F1915-1,"")</f>
        <v>-0.0340005132152939</v>
      </c>
    </row>
    <row r="1917" customFormat="false" ht="14.25" hidden="false" customHeight="true" outlineLevel="0" collapsed="false">
      <c r="A1917" s="26" t="n">
        <v>34455</v>
      </c>
      <c r="B1917" s="1" t="n">
        <v>1994</v>
      </c>
      <c r="C1917" s="1" t="n">
        <v>5</v>
      </c>
      <c r="D1917" s="1" t="s">
        <v>46</v>
      </c>
      <c r="E1917" s="1" t="s">
        <v>14</v>
      </c>
      <c r="F1917" s="1" t="n">
        <v>386.25</v>
      </c>
      <c r="G1917" s="1" t="n">
        <f aca="false">IF(E1917=E1916,F1917/F1916-1,"")</f>
        <v>0.0260326736618408</v>
      </c>
    </row>
    <row r="1918" customFormat="false" ht="14.25" hidden="false" customHeight="true" outlineLevel="0" collapsed="false">
      <c r="A1918" s="26" t="n">
        <v>34486</v>
      </c>
      <c r="B1918" s="1" t="n">
        <v>1994</v>
      </c>
      <c r="C1918" s="1" t="n">
        <v>6</v>
      </c>
      <c r="D1918" s="1" t="s">
        <v>47</v>
      </c>
      <c r="E1918" s="1" t="s">
        <v>14</v>
      </c>
      <c r="F1918" s="1" t="n">
        <v>385.4</v>
      </c>
      <c r="G1918" s="1" t="n">
        <f aca="false">IF(E1918=E1917,F1918/F1917-1,"")</f>
        <v>-0.002200647249191</v>
      </c>
    </row>
    <row r="1919" customFormat="false" ht="14.25" hidden="false" customHeight="true" outlineLevel="0" collapsed="false">
      <c r="A1919" s="26" t="n">
        <v>34516</v>
      </c>
      <c r="B1919" s="1" t="n">
        <v>1994</v>
      </c>
      <c r="C1919" s="1" t="n">
        <v>7</v>
      </c>
      <c r="D1919" s="1" t="s">
        <v>48</v>
      </c>
      <c r="E1919" s="1" t="s">
        <v>14</v>
      </c>
      <c r="F1919" s="1" t="n">
        <v>384.05</v>
      </c>
      <c r="G1919" s="1" t="n">
        <f aca="false">IF(E1919=E1918,F1919/F1918-1,"")</f>
        <v>-0.00350285417747787</v>
      </c>
    </row>
    <row r="1920" customFormat="false" ht="14.25" hidden="false" customHeight="true" outlineLevel="0" collapsed="false">
      <c r="A1920" s="26" t="n">
        <v>34547</v>
      </c>
      <c r="B1920" s="1" t="n">
        <v>1994</v>
      </c>
      <c r="C1920" s="1" t="n">
        <v>8</v>
      </c>
      <c r="D1920" s="1" t="s">
        <v>49</v>
      </c>
      <c r="E1920" s="1" t="s">
        <v>14</v>
      </c>
      <c r="F1920" s="1" t="n">
        <v>386.25</v>
      </c>
      <c r="G1920" s="1" t="n">
        <f aca="false">IF(E1920=E1919,F1920/F1919-1,"")</f>
        <v>0.00572842077854441</v>
      </c>
    </row>
    <row r="1921" customFormat="false" ht="14.25" hidden="false" customHeight="true" outlineLevel="0" collapsed="false">
      <c r="A1921" s="26" t="n">
        <v>34578</v>
      </c>
      <c r="B1921" s="1" t="n">
        <v>1994</v>
      </c>
      <c r="C1921" s="1" t="n">
        <v>9</v>
      </c>
      <c r="D1921" s="1" t="s">
        <v>50</v>
      </c>
      <c r="E1921" s="1" t="s">
        <v>14</v>
      </c>
      <c r="F1921" s="1" t="n">
        <v>395.35</v>
      </c>
      <c r="G1921" s="1" t="n">
        <f aca="false">IF(E1921=E1920,F1921/F1920-1,"")</f>
        <v>0.0235598705501618</v>
      </c>
    </row>
    <row r="1922" customFormat="false" ht="14.25" hidden="false" customHeight="true" outlineLevel="0" collapsed="false">
      <c r="A1922" s="26" t="n">
        <v>34608</v>
      </c>
      <c r="B1922" s="1" t="n">
        <v>1994</v>
      </c>
      <c r="C1922" s="1" t="n">
        <v>10</v>
      </c>
      <c r="D1922" s="1" t="s">
        <v>51</v>
      </c>
      <c r="E1922" s="1" t="s">
        <v>14</v>
      </c>
      <c r="F1922" s="1" t="n">
        <v>387.4</v>
      </c>
      <c r="G1922" s="1" t="n">
        <f aca="false">IF(E1922=E1921,F1922/F1921-1,"")</f>
        <v>-0.0201087643859872</v>
      </c>
    </row>
    <row r="1923" customFormat="false" ht="14.25" hidden="false" customHeight="true" outlineLevel="0" collapsed="false">
      <c r="A1923" s="26" t="n">
        <v>34639</v>
      </c>
      <c r="B1923" s="1" t="n">
        <v>1994</v>
      </c>
      <c r="C1923" s="1" t="n">
        <v>11</v>
      </c>
      <c r="D1923" s="1" t="s">
        <v>52</v>
      </c>
      <c r="E1923" s="1" t="s">
        <v>14</v>
      </c>
      <c r="F1923" s="1" t="n">
        <v>383.35</v>
      </c>
      <c r="G1923" s="1" t="n">
        <f aca="false">IF(E1923=E1922,F1923/F1922-1,"")</f>
        <v>-0.0104543107898811</v>
      </c>
    </row>
    <row r="1924" customFormat="false" ht="14.25" hidden="false" customHeight="true" outlineLevel="0" collapsed="false">
      <c r="A1924" s="26" t="n">
        <v>34669</v>
      </c>
      <c r="B1924" s="1" t="n">
        <v>1994</v>
      </c>
      <c r="C1924" s="1" t="n">
        <v>12</v>
      </c>
      <c r="D1924" s="1" t="s">
        <v>53</v>
      </c>
      <c r="E1924" s="1" t="s">
        <v>14</v>
      </c>
      <c r="F1924" s="1" t="n">
        <v>382.5</v>
      </c>
      <c r="G1924" s="1" t="n">
        <f aca="false">IF(E1924=E1923,F1924/F1923-1,"")</f>
        <v>-0.00221729490022182</v>
      </c>
    </row>
    <row r="1925" customFormat="false" ht="14.25" hidden="false" customHeight="true" outlineLevel="0" collapsed="false">
      <c r="A1925" s="26" t="n">
        <v>34700</v>
      </c>
      <c r="B1925" s="1" t="n">
        <v>1995</v>
      </c>
      <c r="C1925" s="1" t="n">
        <v>1</v>
      </c>
      <c r="D1925" s="1" t="s">
        <v>42</v>
      </c>
      <c r="E1925" s="1" t="s">
        <v>14</v>
      </c>
      <c r="F1925" s="1" t="n">
        <v>375.85</v>
      </c>
      <c r="G1925" s="1" t="n">
        <f aca="false">IF(E1925=E1924,F1925/F1924-1,"")</f>
        <v>-0.0173856209150326</v>
      </c>
    </row>
    <row r="1926" customFormat="false" ht="14.25" hidden="false" customHeight="true" outlineLevel="0" collapsed="false">
      <c r="A1926" s="26" t="n">
        <v>34731</v>
      </c>
      <c r="B1926" s="1" t="n">
        <v>1995</v>
      </c>
      <c r="C1926" s="1" t="n">
        <v>2</v>
      </c>
      <c r="D1926" s="1" t="s">
        <v>43</v>
      </c>
      <c r="E1926" s="1" t="s">
        <v>14</v>
      </c>
      <c r="F1926" s="1" t="n">
        <v>375.7</v>
      </c>
      <c r="G1926" s="1" t="n">
        <f aca="false">IF(E1926=E1925,F1926/F1925-1,"")</f>
        <v>-0.000399095383796788</v>
      </c>
    </row>
    <row r="1927" customFormat="false" ht="14.25" hidden="false" customHeight="true" outlineLevel="0" collapsed="false">
      <c r="A1927" s="26" t="n">
        <v>34759</v>
      </c>
      <c r="B1927" s="1" t="n">
        <v>1995</v>
      </c>
      <c r="C1927" s="1" t="n">
        <v>3</v>
      </c>
      <c r="D1927" s="1" t="s">
        <v>44</v>
      </c>
      <c r="E1927" s="1" t="s">
        <v>14</v>
      </c>
      <c r="F1927" s="1" t="n">
        <v>386.55</v>
      </c>
      <c r="G1927" s="1" t="n">
        <f aca="false">IF(E1927=E1926,F1927/F1926-1,"")</f>
        <v>0.0288794250731967</v>
      </c>
    </row>
    <row r="1928" customFormat="false" ht="14.25" hidden="false" customHeight="true" outlineLevel="0" collapsed="false">
      <c r="A1928" s="26" t="n">
        <v>34790</v>
      </c>
      <c r="B1928" s="1" t="n">
        <v>1995</v>
      </c>
      <c r="C1928" s="1" t="n">
        <v>4</v>
      </c>
      <c r="D1928" s="1" t="s">
        <v>45</v>
      </c>
      <c r="E1928" s="1" t="s">
        <v>14</v>
      </c>
      <c r="F1928" s="1" t="n">
        <v>389.5</v>
      </c>
      <c r="G1928" s="1" t="n">
        <f aca="false">IF(E1928=E1927,F1928/F1927-1,"")</f>
        <v>0.00763161298667692</v>
      </c>
    </row>
    <row r="1929" customFormat="false" ht="14.25" hidden="false" customHeight="true" outlineLevel="0" collapsed="false">
      <c r="A1929" s="26" t="n">
        <v>34820</v>
      </c>
      <c r="B1929" s="1" t="n">
        <v>1995</v>
      </c>
      <c r="C1929" s="1" t="n">
        <v>5</v>
      </c>
      <c r="D1929" s="1" t="s">
        <v>46</v>
      </c>
      <c r="E1929" s="1" t="s">
        <v>14</v>
      </c>
      <c r="F1929" s="1" t="n">
        <v>384.25</v>
      </c>
      <c r="G1929" s="1" t="n">
        <f aca="false">IF(E1929=E1928,F1929/F1928-1,"")</f>
        <v>-0.0134788189987163</v>
      </c>
    </row>
    <row r="1930" customFormat="false" ht="14.25" hidden="false" customHeight="true" outlineLevel="0" collapsed="false">
      <c r="A1930" s="26" t="n">
        <v>34851</v>
      </c>
      <c r="B1930" s="1" t="n">
        <v>1995</v>
      </c>
      <c r="C1930" s="1" t="n">
        <v>6</v>
      </c>
      <c r="D1930" s="1" t="s">
        <v>47</v>
      </c>
      <c r="E1930" s="1" t="s">
        <v>14</v>
      </c>
      <c r="F1930" s="1" t="n">
        <v>387.6</v>
      </c>
      <c r="G1930" s="1" t="n">
        <f aca="false">IF(E1930=E1929,F1930/F1929-1,"")</f>
        <v>0.0087182823682499</v>
      </c>
    </row>
    <row r="1931" customFormat="false" ht="14.25" hidden="false" customHeight="true" outlineLevel="0" collapsed="false">
      <c r="A1931" s="26" t="n">
        <v>34881</v>
      </c>
      <c r="B1931" s="1" t="n">
        <v>1995</v>
      </c>
      <c r="C1931" s="1" t="n">
        <v>7</v>
      </c>
      <c r="D1931" s="1" t="s">
        <v>48</v>
      </c>
      <c r="E1931" s="1" t="s">
        <v>14</v>
      </c>
      <c r="F1931" s="1" t="n">
        <v>383.35</v>
      </c>
      <c r="G1931" s="1" t="n">
        <f aca="false">IF(E1931=E1930,F1931/F1930-1,"")</f>
        <v>-0.0109649122807017</v>
      </c>
    </row>
    <row r="1932" customFormat="false" ht="14.25" hidden="false" customHeight="true" outlineLevel="0" collapsed="false">
      <c r="A1932" s="26" t="n">
        <v>34912</v>
      </c>
      <c r="B1932" s="1" t="n">
        <v>1995</v>
      </c>
      <c r="C1932" s="1" t="n">
        <v>8</v>
      </c>
      <c r="D1932" s="1" t="s">
        <v>49</v>
      </c>
      <c r="E1932" s="1" t="s">
        <v>14</v>
      </c>
      <c r="F1932" s="1" t="n">
        <v>381.65</v>
      </c>
      <c r="G1932" s="1" t="n">
        <f aca="false">IF(E1932=E1931,F1932/F1931-1,"")</f>
        <v>-0.00443458980044353</v>
      </c>
    </row>
    <row r="1933" customFormat="false" ht="14.25" hidden="false" customHeight="true" outlineLevel="0" collapsed="false">
      <c r="A1933" s="26" t="n">
        <v>34943</v>
      </c>
      <c r="B1933" s="1" t="n">
        <v>1995</v>
      </c>
      <c r="C1933" s="1" t="n">
        <v>9</v>
      </c>
      <c r="D1933" s="1" t="s">
        <v>50</v>
      </c>
      <c r="E1933" s="1" t="s">
        <v>14</v>
      </c>
      <c r="F1933" s="1" t="n">
        <v>383.75</v>
      </c>
      <c r="G1933" s="1" t="n">
        <f aca="false">IF(E1933=E1932,F1933/F1932-1,"")</f>
        <v>0.0055024236866239</v>
      </c>
    </row>
    <row r="1934" customFormat="false" ht="14.25" hidden="false" customHeight="true" outlineLevel="0" collapsed="false">
      <c r="A1934" s="26" t="n">
        <v>34973</v>
      </c>
      <c r="B1934" s="1" t="n">
        <v>1995</v>
      </c>
      <c r="C1934" s="1" t="n">
        <v>10</v>
      </c>
      <c r="D1934" s="1" t="s">
        <v>51</v>
      </c>
      <c r="E1934" s="1" t="s">
        <v>14</v>
      </c>
      <c r="F1934" s="1" t="n">
        <v>382.4</v>
      </c>
      <c r="G1934" s="1" t="n">
        <f aca="false">IF(E1934=E1933,F1934/F1933-1,"")</f>
        <v>-0.00351791530944634</v>
      </c>
    </row>
    <row r="1935" customFormat="false" ht="14.25" hidden="false" customHeight="true" outlineLevel="0" collapsed="false">
      <c r="A1935" s="26" t="n">
        <v>35004</v>
      </c>
      <c r="B1935" s="1" t="n">
        <v>1995</v>
      </c>
      <c r="C1935" s="1" t="n">
        <v>11</v>
      </c>
      <c r="D1935" s="1" t="s">
        <v>52</v>
      </c>
      <c r="E1935" s="1" t="s">
        <v>14</v>
      </c>
      <c r="F1935" s="1" t="n">
        <v>387.85</v>
      </c>
      <c r="G1935" s="1" t="n">
        <f aca="false">IF(E1935=E1934,F1935/F1934-1,"")</f>
        <v>0.0142520920502094</v>
      </c>
    </row>
    <row r="1936" customFormat="false" ht="14.25" hidden="false" customHeight="true" outlineLevel="0" collapsed="false">
      <c r="A1936" s="26" t="n">
        <v>35034</v>
      </c>
      <c r="B1936" s="1" t="n">
        <v>1995</v>
      </c>
      <c r="C1936" s="1" t="n">
        <v>12</v>
      </c>
      <c r="D1936" s="1" t="s">
        <v>53</v>
      </c>
      <c r="E1936" s="1" t="s">
        <v>14</v>
      </c>
      <c r="F1936" s="1" t="n">
        <v>386.7</v>
      </c>
      <c r="G1936" s="1" t="n">
        <f aca="false">IF(E1936=E1935,F1936/F1935-1,"")</f>
        <v>-0.00296506381332995</v>
      </c>
    </row>
    <row r="1937" customFormat="false" ht="14.25" hidden="false" customHeight="true" outlineLevel="0" collapsed="false">
      <c r="A1937" s="26" t="n">
        <v>35065</v>
      </c>
      <c r="B1937" s="1" t="n">
        <v>1996</v>
      </c>
      <c r="C1937" s="1" t="n">
        <v>1</v>
      </c>
      <c r="D1937" s="1" t="s">
        <v>42</v>
      </c>
      <c r="E1937" s="1" t="s">
        <v>14</v>
      </c>
      <c r="F1937" s="1" t="n">
        <v>403.2</v>
      </c>
      <c r="G1937" s="1" t="n">
        <f aca="false">IF(E1937=E1936,F1937/F1936-1,"")</f>
        <v>0.0426687354538402</v>
      </c>
    </row>
    <row r="1938" customFormat="false" ht="14.25" hidden="false" customHeight="true" outlineLevel="0" collapsed="false">
      <c r="A1938" s="26" t="n">
        <v>35096</v>
      </c>
      <c r="B1938" s="1" t="n">
        <v>1996</v>
      </c>
      <c r="C1938" s="1" t="n">
        <v>2</v>
      </c>
      <c r="D1938" s="1" t="s">
        <v>43</v>
      </c>
      <c r="E1938" s="1" t="s">
        <v>14</v>
      </c>
      <c r="F1938" s="1" t="n">
        <v>400.35</v>
      </c>
      <c r="G1938" s="1" t="n">
        <f aca="false">IF(E1938=E1937,F1938/F1937-1,"")</f>
        <v>-0.00706845238095233</v>
      </c>
    </row>
    <row r="1939" customFormat="false" ht="14.25" hidden="false" customHeight="true" outlineLevel="0" collapsed="false">
      <c r="A1939" s="26" t="n">
        <v>35125</v>
      </c>
      <c r="B1939" s="1" t="n">
        <v>1996</v>
      </c>
      <c r="C1939" s="1" t="n">
        <v>3</v>
      </c>
      <c r="D1939" s="1" t="s">
        <v>44</v>
      </c>
      <c r="E1939" s="1" t="s">
        <v>14</v>
      </c>
      <c r="F1939" s="1" t="n">
        <v>396.7</v>
      </c>
      <c r="G1939" s="1" t="n">
        <f aca="false">IF(E1939=E1938,F1939/F1938-1,"")</f>
        <v>-0.00911702260522052</v>
      </c>
    </row>
    <row r="1940" customFormat="false" ht="14.25" hidden="false" customHeight="true" outlineLevel="0" collapsed="false">
      <c r="A1940" s="26" t="n">
        <v>35156</v>
      </c>
      <c r="B1940" s="1" t="n">
        <v>1996</v>
      </c>
      <c r="C1940" s="1" t="n">
        <v>4</v>
      </c>
      <c r="D1940" s="1" t="s">
        <v>45</v>
      </c>
      <c r="E1940" s="1" t="s">
        <v>14</v>
      </c>
      <c r="F1940" s="1" t="n">
        <v>390.15</v>
      </c>
      <c r="G1940" s="1" t="n">
        <f aca="false">IF(E1940=E1939,F1940/F1939-1,"")</f>
        <v>-0.0165112175447442</v>
      </c>
    </row>
    <row r="1941" customFormat="false" ht="14.25" hidden="false" customHeight="true" outlineLevel="0" collapsed="false">
      <c r="A1941" s="26" t="n">
        <v>35186</v>
      </c>
      <c r="B1941" s="1" t="n">
        <v>1996</v>
      </c>
      <c r="C1941" s="1" t="n">
        <v>5</v>
      </c>
      <c r="D1941" s="1" t="s">
        <v>46</v>
      </c>
      <c r="E1941" s="1" t="s">
        <v>14</v>
      </c>
      <c r="F1941" s="1" t="n">
        <v>390.55</v>
      </c>
      <c r="G1941" s="1" t="n">
        <f aca="false">IF(E1941=E1940,F1941/F1940-1,"")</f>
        <v>0.00102524669998738</v>
      </c>
    </row>
    <row r="1942" customFormat="false" ht="14.25" hidden="false" customHeight="true" outlineLevel="0" collapsed="false">
      <c r="A1942" s="26" t="n">
        <v>35217</v>
      </c>
      <c r="B1942" s="1" t="n">
        <v>1996</v>
      </c>
      <c r="C1942" s="1" t="n">
        <v>6</v>
      </c>
      <c r="D1942" s="1" t="s">
        <v>47</v>
      </c>
      <c r="E1942" s="1" t="s">
        <v>14</v>
      </c>
      <c r="F1942" s="1" t="n">
        <v>381.3</v>
      </c>
      <c r="G1942" s="1" t="n">
        <f aca="false">IF(E1942=E1941,F1942/F1941-1,"")</f>
        <v>-0.0236845474331071</v>
      </c>
    </row>
    <row r="1943" customFormat="false" ht="14.25" hidden="false" customHeight="true" outlineLevel="0" collapsed="false">
      <c r="A1943" s="26" t="n">
        <v>35247</v>
      </c>
      <c r="B1943" s="1" t="n">
        <v>1996</v>
      </c>
      <c r="C1943" s="1" t="n">
        <v>7</v>
      </c>
      <c r="D1943" s="1" t="s">
        <v>48</v>
      </c>
      <c r="E1943" s="1" t="s">
        <v>14</v>
      </c>
      <c r="F1943" s="1" t="n">
        <v>385.5</v>
      </c>
      <c r="G1943" s="1" t="n">
        <f aca="false">IF(E1943=E1942,F1943/F1942-1,"")</f>
        <v>0.011014948859166</v>
      </c>
    </row>
    <row r="1944" customFormat="false" ht="14.25" hidden="false" customHeight="true" outlineLevel="0" collapsed="false">
      <c r="A1944" s="26" t="n">
        <v>35278</v>
      </c>
      <c r="B1944" s="1" t="n">
        <v>1996</v>
      </c>
      <c r="C1944" s="1" t="n">
        <v>8</v>
      </c>
      <c r="D1944" s="1" t="s">
        <v>49</v>
      </c>
      <c r="E1944" s="1" t="s">
        <v>14</v>
      </c>
      <c r="F1944" s="1" t="n">
        <v>387.25</v>
      </c>
      <c r="G1944" s="1" t="n">
        <f aca="false">IF(E1944=E1943,F1944/F1943-1,"")</f>
        <v>0.00453955901426717</v>
      </c>
    </row>
    <row r="1945" customFormat="false" ht="14.25" hidden="false" customHeight="true" outlineLevel="0" collapsed="false">
      <c r="A1945" s="26" t="n">
        <v>35309</v>
      </c>
      <c r="B1945" s="1" t="n">
        <v>1996</v>
      </c>
      <c r="C1945" s="1" t="n">
        <v>9</v>
      </c>
      <c r="D1945" s="1" t="s">
        <v>50</v>
      </c>
      <c r="E1945" s="1" t="s">
        <v>14</v>
      </c>
      <c r="F1945" s="1" t="n">
        <v>379.3</v>
      </c>
      <c r="G1945" s="1" t="n">
        <f aca="false">IF(E1945=E1944,F1945/F1944-1,"")</f>
        <v>-0.0205293737895416</v>
      </c>
    </row>
    <row r="1946" customFormat="false" ht="14.25" hidden="false" customHeight="true" outlineLevel="0" collapsed="false">
      <c r="A1946" s="26" t="n">
        <v>35339</v>
      </c>
      <c r="B1946" s="1" t="n">
        <v>1996</v>
      </c>
      <c r="C1946" s="1" t="n">
        <v>10</v>
      </c>
      <c r="D1946" s="1" t="s">
        <v>51</v>
      </c>
      <c r="E1946" s="1" t="s">
        <v>14</v>
      </c>
      <c r="F1946" s="1" t="n">
        <v>379.3</v>
      </c>
      <c r="G1946" s="1" t="n">
        <f aca="false">IF(E1946=E1945,F1946/F1945-1,"")</f>
        <v>0</v>
      </c>
    </row>
    <row r="1947" customFormat="false" ht="14.25" hidden="false" customHeight="true" outlineLevel="0" collapsed="false">
      <c r="A1947" s="26" t="n">
        <v>35370</v>
      </c>
      <c r="B1947" s="1" t="n">
        <v>1996</v>
      </c>
      <c r="C1947" s="1" t="n">
        <v>11</v>
      </c>
      <c r="D1947" s="1" t="s">
        <v>52</v>
      </c>
      <c r="E1947" s="1" t="s">
        <v>14</v>
      </c>
      <c r="F1947" s="1" t="n">
        <v>371.9</v>
      </c>
      <c r="G1947" s="1" t="n">
        <f aca="false">IF(E1947=E1946,F1947/F1946-1,"")</f>
        <v>-0.019509622989718</v>
      </c>
    </row>
    <row r="1948" customFormat="false" ht="14.25" hidden="false" customHeight="true" outlineLevel="0" collapsed="false">
      <c r="A1948" s="26" t="n">
        <v>35400</v>
      </c>
      <c r="B1948" s="1" t="n">
        <v>1996</v>
      </c>
      <c r="C1948" s="1" t="n">
        <v>12</v>
      </c>
      <c r="D1948" s="1" t="s">
        <v>53</v>
      </c>
      <c r="E1948" s="1" t="s">
        <v>14</v>
      </c>
      <c r="F1948" s="1" t="n">
        <v>369.55</v>
      </c>
      <c r="G1948" s="1" t="n">
        <f aca="false">IF(E1948=E1947,F1948/F1947-1,"")</f>
        <v>-0.00631890293089532</v>
      </c>
    </row>
    <row r="1949" customFormat="false" ht="14.25" hidden="false" customHeight="true" outlineLevel="0" collapsed="false">
      <c r="A1949" s="26" t="n">
        <v>35431</v>
      </c>
      <c r="B1949" s="1" t="n">
        <v>1997</v>
      </c>
      <c r="C1949" s="1" t="n">
        <v>1</v>
      </c>
      <c r="D1949" s="1" t="s">
        <v>42</v>
      </c>
      <c r="E1949" s="1" t="s">
        <v>14</v>
      </c>
      <c r="F1949" s="1" t="n">
        <v>345</v>
      </c>
      <c r="G1949" s="1" t="n">
        <f aca="false">IF(E1949=E1948,F1949/F1948-1,"")</f>
        <v>-0.0664321472060615</v>
      </c>
    </row>
    <row r="1950" customFormat="false" ht="14.25" hidden="false" customHeight="true" outlineLevel="0" collapsed="false">
      <c r="A1950" s="26" t="n">
        <v>35462</v>
      </c>
      <c r="B1950" s="1" t="n">
        <v>1997</v>
      </c>
      <c r="C1950" s="1" t="n">
        <v>2</v>
      </c>
      <c r="D1950" s="1" t="s">
        <v>43</v>
      </c>
      <c r="E1950" s="1" t="s">
        <v>14</v>
      </c>
      <c r="F1950" s="1" t="n">
        <v>360.6</v>
      </c>
      <c r="G1950" s="1" t="n">
        <f aca="false">IF(E1950=E1949,F1950/F1949-1,"")</f>
        <v>0.0452173913043479</v>
      </c>
    </row>
    <row r="1951" customFormat="false" ht="14.25" hidden="false" customHeight="true" outlineLevel="0" collapsed="false">
      <c r="A1951" s="26" t="n">
        <v>35490</v>
      </c>
      <c r="B1951" s="1" t="n">
        <v>1997</v>
      </c>
      <c r="C1951" s="1" t="n">
        <v>3</v>
      </c>
      <c r="D1951" s="1" t="s">
        <v>44</v>
      </c>
      <c r="E1951" s="1" t="s">
        <v>14</v>
      </c>
      <c r="F1951" s="1" t="n">
        <v>349.5</v>
      </c>
      <c r="G1951" s="1" t="n">
        <f aca="false">IF(E1951=E1950,F1951/F1950-1,"")</f>
        <v>-0.0307820299500833</v>
      </c>
    </row>
    <row r="1952" customFormat="false" ht="14.25" hidden="false" customHeight="true" outlineLevel="0" collapsed="false">
      <c r="A1952" s="26" t="n">
        <v>35521</v>
      </c>
      <c r="B1952" s="1" t="n">
        <v>1997</v>
      </c>
      <c r="C1952" s="1" t="n">
        <v>4</v>
      </c>
      <c r="D1952" s="1" t="s">
        <v>45</v>
      </c>
      <c r="E1952" s="1" t="s">
        <v>14</v>
      </c>
      <c r="F1952" s="1" t="n">
        <v>340.45</v>
      </c>
      <c r="G1952" s="1" t="n">
        <f aca="false">IF(E1952=E1951,F1952/F1951-1,"")</f>
        <v>-0.0258941344778255</v>
      </c>
    </row>
    <row r="1953" customFormat="false" ht="14.25" hidden="false" customHeight="true" outlineLevel="0" collapsed="false">
      <c r="A1953" s="26" t="n">
        <v>35551</v>
      </c>
      <c r="B1953" s="1" t="n">
        <v>1997</v>
      </c>
      <c r="C1953" s="1" t="n">
        <v>5</v>
      </c>
      <c r="D1953" s="1" t="s">
        <v>46</v>
      </c>
      <c r="E1953" s="1" t="s">
        <v>14</v>
      </c>
      <c r="F1953" s="1" t="n">
        <v>345.75</v>
      </c>
      <c r="G1953" s="1" t="n">
        <f aca="false">IF(E1953=E1952,F1953/F1952-1,"")</f>
        <v>0.0155676310765165</v>
      </c>
    </row>
    <row r="1954" customFormat="false" ht="14.25" hidden="false" customHeight="true" outlineLevel="0" collapsed="false">
      <c r="A1954" s="26" t="n">
        <v>35582</v>
      </c>
      <c r="B1954" s="1" t="n">
        <v>1997</v>
      </c>
      <c r="C1954" s="1" t="n">
        <v>6</v>
      </c>
      <c r="D1954" s="1" t="s">
        <v>47</v>
      </c>
      <c r="E1954" s="1" t="s">
        <v>14</v>
      </c>
      <c r="F1954" s="1" t="n">
        <v>334.05</v>
      </c>
      <c r="G1954" s="1" t="n">
        <f aca="false">IF(E1954=E1953,F1954/F1953-1,"")</f>
        <v>-0.0338394793926247</v>
      </c>
    </row>
    <row r="1955" customFormat="false" ht="14.25" hidden="false" customHeight="true" outlineLevel="0" collapsed="false">
      <c r="A1955" s="26" t="n">
        <v>35612</v>
      </c>
      <c r="B1955" s="1" t="n">
        <v>1997</v>
      </c>
      <c r="C1955" s="1" t="n">
        <v>7</v>
      </c>
      <c r="D1955" s="1" t="s">
        <v>48</v>
      </c>
      <c r="E1955" s="1" t="s">
        <v>14</v>
      </c>
      <c r="F1955" s="1" t="n">
        <v>326</v>
      </c>
      <c r="G1955" s="1" t="n">
        <f aca="false">IF(E1955=E1954,F1955/F1954-1,"")</f>
        <v>-0.0240981888938782</v>
      </c>
    </row>
    <row r="1956" customFormat="false" ht="14.25" hidden="false" customHeight="true" outlineLevel="0" collapsed="false">
      <c r="A1956" s="26" t="n">
        <v>35643</v>
      </c>
      <c r="B1956" s="1" t="n">
        <v>1997</v>
      </c>
      <c r="C1956" s="1" t="n">
        <v>8</v>
      </c>
      <c r="D1956" s="1" t="s">
        <v>49</v>
      </c>
      <c r="E1956" s="1" t="s">
        <v>14</v>
      </c>
      <c r="F1956" s="1" t="n">
        <v>325.4</v>
      </c>
      <c r="G1956" s="1" t="n">
        <f aca="false">IF(E1956=E1955,F1956/F1955-1,"")</f>
        <v>-0.00184049079754611</v>
      </c>
    </row>
    <row r="1957" customFormat="false" ht="14.25" hidden="false" customHeight="true" outlineLevel="0" collapsed="false">
      <c r="A1957" s="26" t="n">
        <v>35674</v>
      </c>
      <c r="B1957" s="1" t="n">
        <v>1997</v>
      </c>
      <c r="C1957" s="1" t="n">
        <v>9</v>
      </c>
      <c r="D1957" s="1" t="s">
        <v>50</v>
      </c>
      <c r="E1957" s="1" t="s">
        <v>14</v>
      </c>
      <c r="F1957" s="1" t="n">
        <v>328.75</v>
      </c>
      <c r="G1957" s="1" t="n">
        <f aca="false">IF(E1957=E1956,F1957/F1956-1,"")</f>
        <v>0.0102950215119852</v>
      </c>
    </row>
    <row r="1958" customFormat="false" ht="14.25" hidden="false" customHeight="true" outlineLevel="0" collapsed="false">
      <c r="A1958" s="26" t="n">
        <v>35704</v>
      </c>
      <c r="B1958" s="1" t="n">
        <v>1997</v>
      </c>
      <c r="C1958" s="1" t="n">
        <v>10</v>
      </c>
      <c r="D1958" s="1" t="s">
        <v>51</v>
      </c>
      <c r="E1958" s="1" t="s">
        <v>14</v>
      </c>
      <c r="F1958" s="1" t="n">
        <v>310.4</v>
      </c>
      <c r="G1958" s="1" t="n">
        <f aca="false">IF(E1958=E1957,F1958/F1957-1,"")</f>
        <v>-0.0558174904942966</v>
      </c>
    </row>
    <row r="1959" customFormat="false" ht="14.25" hidden="false" customHeight="true" outlineLevel="0" collapsed="false">
      <c r="A1959" s="26" t="n">
        <v>35735</v>
      </c>
      <c r="B1959" s="1" t="n">
        <v>1997</v>
      </c>
      <c r="C1959" s="1" t="n">
        <v>11</v>
      </c>
      <c r="D1959" s="1" t="s">
        <v>52</v>
      </c>
      <c r="E1959" s="1" t="s">
        <v>14</v>
      </c>
      <c r="F1959" s="1" t="n">
        <v>296.9</v>
      </c>
      <c r="G1959" s="1" t="n">
        <f aca="false">IF(E1959=E1958,F1959/F1958-1,"")</f>
        <v>-0.0434922680412371</v>
      </c>
    </row>
    <row r="1960" customFormat="false" ht="14.25" hidden="false" customHeight="true" outlineLevel="0" collapsed="false">
      <c r="A1960" s="26" t="n">
        <v>35765</v>
      </c>
      <c r="B1960" s="1" t="n">
        <v>1997</v>
      </c>
      <c r="C1960" s="1" t="n">
        <v>12</v>
      </c>
      <c r="D1960" s="1" t="s">
        <v>53</v>
      </c>
      <c r="E1960" s="1" t="s">
        <v>14</v>
      </c>
      <c r="F1960" s="1" t="n">
        <v>289.2</v>
      </c>
      <c r="G1960" s="1" t="n">
        <f aca="false">IF(E1960=E1959,F1960/F1959-1,"")</f>
        <v>-0.0259346581340518</v>
      </c>
    </row>
    <row r="1961" customFormat="false" ht="14.25" hidden="false" customHeight="true" outlineLevel="0" collapsed="false">
      <c r="A1961" s="26" t="n">
        <v>35796</v>
      </c>
      <c r="B1961" s="1" t="n">
        <v>1998</v>
      </c>
      <c r="C1961" s="1" t="n">
        <v>1</v>
      </c>
      <c r="D1961" s="1" t="s">
        <v>42</v>
      </c>
      <c r="E1961" s="1" t="s">
        <v>14</v>
      </c>
      <c r="F1961" s="1" t="n">
        <v>301.8</v>
      </c>
      <c r="G1961" s="1" t="n">
        <f aca="false">IF(E1961=E1960,F1961/F1960-1,"")</f>
        <v>0.0435684647302905</v>
      </c>
    </row>
    <row r="1962" customFormat="false" ht="14.25" hidden="false" customHeight="true" outlineLevel="0" collapsed="false">
      <c r="A1962" s="26" t="n">
        <v>35827</v>
      </c>
      <c r="B1962" s="1" t="n">
        <v>1998</v>
      </c>
      <c r="C1962" s="1" t="n">
        <v>2</v>
      </c>
      <c r="D1962" s="1" t="s">
        <v>43</v>
      </c>
      <c r="E1962" s="1" t="s">
        <v>14</v>
      </c>
      <c r="F1962" s="1" t="n">
        <v>296.55</v>
      </c>
      <c r="G1962" s="1" t="n">
        <f aca="false">IF(E1962=E1961,F1962/F1961-1,"")</f>
        <v>-0.0173956262425448</v>
      </c>
    </row>
    <row r="1963" customFormat="false" ht="14.25" hidden="false" customHeight="true" outlineLevel="0" collapsed="false">
      <c r="A1963" s="26" t="n">
        <v>35855</v>
      </c>
      <c r="B1963" s="1" t="n">
        <v>1998</v>
      </c>
      <c r="C1963" s="1" t="n">
        <v>3</v>
      </c>
      <c r="D1963" s="1" t="s">
        <v>44</v>
      </c>
      <c r="E1963" s="1" t="s">
        <v>14</v>
      </c>
      <c r="F1963" s="1" t="n">
        <v>299.9</v>
      </c>
      <c r="G1963" s="1" t="n">
        <f aca="false">IF(E1963=E1962,F1963/F1962-1,"")</f>
        <v>0.0112965773056819</v>
      </c>
    </row>
    <row r="1964" customFormat="false" ht="14.25" hidden="false" customHeight="true" outlineLevel="0" collapsed="false">
      <c r="A1964" s="26" t="n">
        <v>35886</v>
      </c>
      <c r="B1964" s="1" t="n">
        <v>1998</v>
      </c>
      <c r="C1964" s="1" t="n">
        <v>4</v>
      </c>
      <c r="D1964" s="1" t="s">
        <v>45</v>
      </c>
      <c r="E1964" s="1" t="s">
        <v>14</v>
      </c>
      <c r="F1964" s="1" t="n">
        <v>310.7</v>
      </c>
      <c r="G1964" s="1" t="n">
        <f aca="false">IF(E1964=E1963,F1964/F1963-1,"")</f>
        <v>0.0360120040013339</v>
      </c>
    </row>
    <row r="1965" customFormat="false" ht="14.25" hidden="false" customHeight="true" outlineLevel="0" collapsed="false">
      <c r="A1965" s="26" t="n">
        <v>35916</v>
      </c>
      <c r="B1965" s="1" t="n">
        <v>1998</v>
      </c>
      <c r="C1965" s="1" t="n">
        <v>5</v>
      </c>
      <c r="D1965" s="1" t="s">
        <v>46</v>
      </c>
      <c r="E1965" s="1" t="s">
        <v>14</v>
      </c>
      <c r="F1965" s="1" t="n">
        <v>292.4</v>
      </c>
      <c r="G1965" s="1" t="n">
        <f aca="false">IF(E1965=E1964,F1965/F1964-1,"")</f>
        <v>-0.0588992597360799</v>
      </c>
    </row>
    <row r="1966" customFormat="false" ht="14.25" hidden="false" customHeight="true" outlineLevel="0" collapsed="false">
      <c r="A1966" s="26" t="n">
        <v>35947</v>
      </c>
      <c r="B1966" s="1" t="n">
        <v>1998</v>
      </c>
      <c r="C1966" s="1" t="n">
        <v>6</v>
      </c>
      <c r="D1966" s="1" t="s">
        <v>47</v>
      </c>
      <c r="E1966" s="1" t="s">
        <v>14</v>
      </c>
      <c r="F1966" s="1" t="n">
        <v>295.75</v>
      </c>
      <c r="G1966" s="1" t="n">
        <f aca="false">IF(E1966=E1965,F1966/F1965-1,"")</f>
        <v>0.0114569083447333</v>
      </c>
    </row>
    <row r="1967" customFormat="false" ht="14.25" hidden="false" customHeight="true" outlineLevel="0" collapsed="false">
      <c r="A1967" s="26" t="n">
        <v>35977</v>
      </c>
      <c r="B1967" s="1" t="n">
        <v>1998</v>
      </c>
      <c r="C1967" s="1" t="n">
        <v>7</v>
      </c>
      <c r="D1967" s="1" t="s">
        <v>48</v>
      </c>
      <c r="E1967" s="1" t="s">
        <v>14</v>
      </c>
      <c r="F1967" s="1" t="n">
        <v>289.4</v>
      </c>
      <c r="G1967" s="1" t="n">
        <f aca="false">IF(E1967=E1966,F1967/F1966-1,"")</f>
        <v>-0.0214708368554524</v>
      </c>
    </row>
    <row r="1968" customFormat="false" ht="14.25" hidden="false" customHeight="true" outlineLevel="0" collapsed="false">
      <c r="A1968" s="26" t="n">
        <v>36008</v>
      </c>
      <c r="B1968" s="1" t="n">
        <v>1998</v>
      </c>
      <c r="C1968" s="1" t="n">
        <v>8</v>
      </c>
      <c r="D1968" s="1" t="s">
        <v>49</v>
      </c>
      <c r="E1968" s="1" t="s">
        <v>14</v>
      </c>
      <c r="F1968" s="1" t="n">
        <v>273.4</v>
      </c>
      <c r="G1968" s="1" t="n">
        <f aca="false">IF(E1968=E1967,F1968/F1967-1,"")</f>
        <v>-0.055286800276434</v>
      </c>
    </row>
    <row r="1969" customFormat="false" ht="14.25" hidden="false" customHeight="true" outlineLevel="0" collapsed="false">
      <c r="A1969" s="26" t="n">
        <v>36039</v>
      </c>
      <c r="B1969" s="1" t="n">
        <v>1998</v>
      </c>
      <c r="C1969" s="1" t="n">
        <v>9</v>
      </c>
      <c r="D1969" s="1" t="s">
        <v>50</v>
      </c>
      <c r="E1969" s="1" t="s">
        <v>14</v>
      </c>
      <c r="F1969" s="1" t="n">
        <v>294.1</v>
      </c>
      <c r="G1969" s="1" t="n">
        <f aca="false">IF(E1969=E1968,F1969/F1968-1,"")</f>
        <v>0.0757132406730068</v>
      </c>
    </row>
    <row r="1970" customFormat="false" ht="14.25" hidden="false" customHeight="true" outlineLevel="0" collapsed="false">
      <c r="A1970" s="26" t="n">
        <v>36069</v>
      </c>
      <c r="B1970" s="1" t="n">
        <v>1998</v>
      </c>
      <c r="C1970" s="1" t="n">
        <v>10</v>
      </c>
      <c r="D1970" s="1" t="s">
        <v>51</v>
      </c>
      <c r="E1970" s="1" t="s">
        <v>14</v>
      </c>
      <c r="F1970" s="1" t="n">
        <v>293.1</v>
      </c>
      <c r="G1970" s="1" t="n">
        <f aca="false">IF(E1970=E1969,F1970/F1969-1,"")</f>
        <v>-0.00340020401224073</v>
      </c>
    </row>
    <row r="1971" customFormat="false" ht="14.25" hidden="false" customHeight="true" outlineLevel="0" collapsed="false">
      <c r="A1971" s="26" t="n">
        <v>36100</v>
      </c>
      <c r="B1971" s="1" t="n">
        <v>1998</v>
      </c>
      <c r="C1971" s="1" t="n">
        <v>11</v>
      </c>
      <c r="D1971" s="1" t="s">
        <v>52</v>
      </c>
      <c r="E1971" s="1" t="s">
        <v>14</v>
      </c>
      <c r="F1971" s="1" t="n">
        <v>295.75</v>
      </c>
      <c r="G1971" s="1" t="n">
        <f aca="false">IF(E1971=E1970,F1971/F1970-1,"")</f>
        <v>0.00904128283862149</v>
      </c>
    </row>
    <row r="1972" customFormat="false" ht="14.25" hidden="false" customHeight="true" outlineLevel="0" collapsed="false">
      <c r="A1972" s="26" t="n">
        <v>36130</v>
      </c>
      <c r="B1972" s="1" t="n">
        <v>1998</v>
      </c>
      <c r="C1972" s="1" t="n">
        <v>12</v>
      </c>
      <c r="D1972" s="1" t="s">
        <v>53</v>
      </c>
      <c r="E1972" s="1" t="s">
        <v>14</v>
      </c>
      <c r="F1972" s="1" t="n">
        <v>287.45</v>
      </c>
      <c r="G1972" s="1" t="n">
        <f aca="false">IF(E1972=E1971,F1972/F1971-1,"")</f>
        <v>-0.0280642434488588</v>
      </c>
    </row>
    <row r="1973" customFormat="false" ht="14.25" hidden="false" customHeight="true" outlineLevel="0" collapsed="false">
      <c r="A1973" s="26" t="n">
        <v>36161</v>
      </c>
      <c r="B1973" s="1" t="n">
        <v>1999</v>
      </c>
      <c r="C1973" s="1" t="n">
        <v>1</v>
      </c>
      <c r="D1973" s="1" t="s">
        <v>42</v>
      </c>
      <c r="E1973" s="1" t="s">
        <v>14</v>
      </c>
      <c r="F1973" s="1" t="n">
        <v>285.65</v>
      </c>
      <c r="G1973" s="1" t="n">
        <f aca="false">IF(E1973=E1972,F1973/F1972-1,"")</f>
        <v>-0.00626195860149592</v>
      </c>
    </row>
    <row r="1974" customFormat="false" ht="14.25" hidden="false" customHeight="true" outlineLevel="0" collapsed="false">
      <c r="A1974" s="26" t="n">
        <v>36192</v>
      </c>
      <c r="B1974" s="1" t="n">
        <v>1999</v>
      </c>
      <c r="C1974" s="1" t="n">
        <v>2</v>
      </c>
      <c r="D1974" s="1" t="s">
        <v>43</v>
      </c>
      <c r="E1974" s="1" t="s">
        <v>14</v>
      </c>
      <c r="F1974" s="1" t="n">
        <v>286.8</v>
      </c>
      <c r="G1974" s="1" t="n">
        <f aca="false">IF(E1974=E1973,F1974/F1973-1,"")</f>
        <v>0.00402590582881168</v>
      </c>
    </row>
    <row r="1975" customFormat="false" ht="14.25" hidden="false" customHeight="true" outlineLevel="0" collapsed="false">
      <c r="A1975" s="26" t="n">
        <v>36220</v>
      </c>
      <c r="B1975" s="1" t="n">
        <v>1999</v>
      </c>
      <c r="C1975" s="1" t="n">
        <v>3</v>
      </c>
      <c r="D1975" s="1" t="s">
        <v>44</v>
      </c>
      <c r="E1975" s="1" t="s">
        <v>14</v>
      </c>
      <c r="F1975" s="1" t="n">
        <v>279.8</v>
      </c>
      <c r="G1975" s="1" t="n">
        <f aca="false">IF(E1975=E1974,F1975/F1974-1,"")</f>
        <v>-0.0244072524407253</v>
      </c>
    </row>
    <row r="1976" customFormat="false" ht="14.25" hidden="false" customHeight="true" outlineLevel="0" collapsed="false">
      <c r="A1976" s="26" t="n">
        <v>36251</v>
      </c>
      <c r="B1976" s="1" t="n">
        <v>1999</v>
      </c>
      <c r="C1976" s="1" t="n">
        <v>4</v>
      </c>
      <c r="D1976" s="1" t="s">
        <v>45</v>
      </c>
      <c r="E1976" s="1" t="s">
        <v>14</v>
      </c>
      <c r="F1976" s="1" t="n">
        <v>285.85</v>
      </c>
      <c r="G1976" s="1" t="n">
        <f aca="false">IF(E1976=E1975,F1976/F1975-1,"")</f>
        <v>0.0216225875625447</v>
      </c>
    </row>
    <row r="1977" customFormat="false" ht="14.25" hidden="false" customHeight="true" outlineLevel="0" collapsed="false">
      <c r="A1977" s="26" t="n">
        <v>36281</v>
      </c>
      <c r="B1977" s="1" t="n">
        <v>1999</v>
      </c>
      <c r="C1977" s="1" t="n">
        <v>5</v>
      </c>
      <c r="D1977" s="1" t="s">
        <v>46</v>
      </c>
      <c r="E1977" s="1" t="s">
        <v>14</v>
      </c>
      <c r="F1977" s="1" t="n">
        <v>271.05</v>
      </c>
      <c r="G1977" s="1" t="n">
        <f aca="false">IF(E1977=E1976,F1977/F1976-1,"")</f>
        <v>-0.0517754066818261</v>
      </c>
    </row>
    <row r="1978" customFormat="false" ht="14.25" hidden="false" customHeight="true" outlineLevel="0" collapsed="false">
      <c r="A1978" s="26" t="n">
        <v>36312</v>
      </c>
      <c r="B1978" s="1" t="n">
        <v>1999</v>
      </c>
      <c r="C1978" s="1" t="n">
        <v>6</v>
      </c>
      <c r="D1978" s="1" t="s">
        <v>47</v>
      </c>
      <c r="E1978" s="1" t="s">
        <v>14</v>
      </c>
      <c r="F1978" s="1" t="n">
        <v>261.2</v>
      </c>
      <c r="G1978" s="1" t="n">
        <f aca="false">IF(E1978=E1977,F1978/F1977-1,"")</f>
        <v>-0.036340158642317</v>
      </c>
    </row>
    <row r="1979" customFormat="false" ht="14.25" hidden="false" customHeight="true" outlineLevel="0" collapsed="false">
      <c r="A1979" s="26" t="n">
        <v>36342</v>
      </c>
      <c r="B1979" s="1" t="n">
        <v>1999</v>
      </c>
      <c r="C1979" s="1" t="n">
        <v>7</v>
      </c>
      <c r="D1979" s="1" t="s">
        <v>48</v>
      </c>
      <c r="E1979" s="1" t="s">
        <v>14</v>
      </c>
      <c r="F1979" s="1" t="n">
        <v>256.75</v>
      </c>
      <c r="G1979" s="1" t="n">
        <f aca="false">IF(E1979=E1978,F1979/F1978-1,"")</f>
        <v>-0.0170367534456355</v>
      </c>
    </row>
    <row r="1980" customFormat="false" ht="14.25" hidden="false" customHeight="true" outlineLevel="0" collapsed="false">
      <c r="A1980" s="26" t="n">
        <v>36373</v>
      </c>
      <c r="B1980" s="1" t="n">
        <v>1999</v>
      </c>
      <c r="C1980" s="1" t="n">
        <v>8</v>
      </c>
      <c r="D1980" s="1" t="s">
        <v>49</v>
      </c>
      <c r="E1980" s="1" t="s">
        <v>14</v>
      </c>
      <c r="F1980" s="1" t="n">
        <v>254.6</v>
      </c>
      <c r="G1980" s="1" t="n">
        <f aca="false">IF(E1980=E1979,F1980/F1979-1,"")</f>
        <v>-0.00837390457643628</v>
      </c>
    </row>
    <row r="1981" customFormat="false" ht="14.25" hidden="false" customHeight="true" outlineLevel="0" collapsed="false">
      <c r="A1981" s="26" t="n">
        <v>36404</v>
      </c>
      <c r="B1981" s="1" t="n">
        <v>1999</v>
      </c>
      <c r="C1981" s="1" t="n">
        <v>9</v>
      </c>
      <c r="D1981" s="1" t="s">
        <v>50</v>
      </c>
      <c r="E1981" s="1" t="s">
        <v>14</v>
      </c>
      <c r="F1981" s="1" t="n">
        <v>303.75</v>
      </c>
      <c r="G1981" s="1" t="n">
        <f aca="false">IF(E1981=E1980,F1981/F1980-1,"")</f>
        <v>0.193047918303221</v>
      </c>
    </row>
    <row r="1982" customFormat="false" ht="14.25" hidden="false" customHeight="true" outlineLevel="0" collapsed="false">
      <c r="A1982" s="26" t="n">
        <v>36434</v>
      </c>
      <c r="B1982" s="1" t="n">
        <v>1999</v>
      </c>
      <c r="C1982" s="1" t="n">
        <v>10</v>
      </c>
      <c r="D1982" s="1" t="s">
        <v>51</v>
      </c>
      <c r="E1982" s="1" t="s">
        <v>14</v>
      </c>
      <c r="F1982" s="1" t="n">
        <v>298.85</v>
      </c>
      <c r="G1982" s="1" t="n">
        <f aca="false">IF(E1982=E1981,F1982/F1981-1,"")</f>
        <v>-0.0161316872427982</v>
      </c>
    </row>
    <row r="1983" customFormat="false" ht="14.25" hidden="false" customHeight="true" outlineLevel="0" collapsed="false">
      <c r="A1983" s="26" t="n">
        <v>36465</v>
      </c>
      <c r="B1983" s="1" t="n">
        <v>1999</v>
      </c>
      <c r="C1983" s="1" t="n">
        <v>11</v>
      </c>
      <c r="D1983" s="1" t="s">
        <v>52</v>
      </c>
      <c r="E1983" s="1" t="s">
        <v>14</v>
      </c>
      <c r="F1983" s="1" t="n">
        <v>292</v>
      </c>
      <c r="G1983" s="1" t="n">
        <f aca="false">IF(E1983=E1982,F1983/F1982-1,"")</f>
        <v>-0.0229211979253807</v>
      </c>
    </row>
    <row r="1984" customFormat="false" ht="14.25" hidden="false" customHeight="true" outlineLevel="0" collapsed="false">
      <c r="A1984" s="26" t="n">
        <v>36495</v>
      </c>
      <c r="B1984" s="1" t="n">
        <v>1999</v>
      </c>
      <c r="C1984" s="1" t="n">
        <v>12</v>
      </c>
      <c r="D1984" s="1" t="s">
        <v>53</v>
      </c>
      <c r="E1984" s="1" t="s">
        <v>14</v>
      </c>
      <c r="F1984" s="1" t="n">
        <v>290.85</v>
      </c>
      <c r="G1984" s="1" t="n">
        <f aca="false">IF(E1984=E1983,F1984/F1983-1,"")</f>
        <v>-0.00393835616438354</v>
      </c>
    </row>
    <row r="1985" customFormat="false" ht="14.25" hidden="false" customHeight="true" outlineLevel="0" collapsed="false">
      <c r="A1985" s="26" t="n">
        <v>36526</v>
      </c>
      <c r="B1985" s="1" t="n">
        <v>2000</v>
      </c>
      <c r="C1985" s="1" t="n">
        <v>1</v>
      </c>
      <c r="D1985" s="1" t="s">
        <v>42</v>
      </c>
      <c r="E1985" s="1" t="s">
        <v>14</v>
      </c>
      <c r="F1985" s="1" t="n">
        <v>283.05</v>
      </c>
      <c r="G1985" s="1" t="n">
        <f aca="false">IF(E1985=E1984,F1985/F1984-1,"")</f>
        <v>-0.0268179473955648</v>
      </c>
    </row>
    <row r="1986" customFormat="false" ht="14.25" hidden="false" customHeight="true" outlineLevel="0" collapsed="false">
      <c r="A1986" s="26" t="n">
        <v>36557</v>
      </c>
      <c r="B1986" s="1" t="n">
        <v>2000</v>
      </c>
      <c r="C1986" s="1" t="n">
        <v>2</v>
      </c>
      <c r="D1986" s="1" t="s">
        <v>43</v>
      </c>
      <c r="E1986" s="1" t="s">
        <v>14</v>
      </c>
      <c r="F1986" s="1" t="n">
        <v>294</v>
      </c>
      <c r="G1986" s="1" t="n">
        <f aca="false">IF(E1986=E1985,F1986/F1985-1,"")</f>
        <v>0.0386857445680975</v>
      </c>
    </row>
    <row r="1987" customFormat="false" ht="14.25" hidden="false" customHeight="true" outlineLevel="0" collapsed="false">
      <c r="A1987" s="26" t="n">
        <v>36586</v>
      </c>
      <c r="B1987" s="1" t="n">
        <v>2000</v>
      </c>
      <c r="C1987" s="1" t="n">
        <v>3</v>
      </c>
      <c r="D1987" s="1" t="s">
        <v>44</v>
      </c>
      <c r="E1987" s="1" t="s">
        <v>14</v>
      </c>
      <c r="F1987" s="1" t="n">
        <v>275.9</v>
      </c>
      <c r="G1987" s="1" t="n">
        <f aca="false">IF(E1987=E1986,F1987/F1986-1,"")</f>
        <v>-0.0615646258503402</v>
      </c>
    </row>
    <row r="1988" customFormat="false" ht="14.25" hidden="false" customHeight="true" outlineLevel="0" collapsed="false">
      <c r="A1988" s="26" t="n">
        <v>36617</v>
      </c>
      <c r="B1988" s="1" t="n">
        <v>2000</v>
      </c>
      <c r="C1988" s="1" t="n">
        <v>4</v>
      </c>
      <c r="D1988" s="1" t="s">
        <v>45</v>
      </c>
      <c r="E1988" s="1" t="s">
        <v>14</v>
      </c>
      <c r="F1988" s="1" t="n">
        <v>275.85</v>
      </c>
      <c r="G1988" s="1" t="n">
        <f aca="false">IF(E1988=E1987,F1988/F1987-1,"")</f>
        <v>-0.000181225081551162</v>
      </c>
    </row>
    <row r="1989" customFormat="false" ht="14.25" hidden="false" customHeight="true" outlineLevel="0" collapsed="false">
      <c r="A1989" s="26" t="n">
        <v>36647</v>
      </c>
      <c r="B1989" s="1" t="n">
        <v>2000</v>
      </c>
      <c r="C1989" s="1" t="n">
        <v>5</v>
      </c>
      <c r="D1989" s="1" t="s">
        <v>46</v>
      </c>
      <c r="E1989" s="1" t="s">
        <v>14</v>
      </c>
      <c r="F1989" s="1" t="n">
        <v>272.25</v>
      </c>
      <c r="G1989" s="1" t="n">
        <f aca="false">IF(E1989=E1988,F1989/F1988-1,"")</f>
        <v>-0.0130505709624796</v>
      </c>
    </row>
    <row r="1990" customFormat="false" ht="14.25" hidden="false" customHeight="true" outlineLevel="0" collapsed="false">
      <c r="A1990" s="26" t="n">
        <v>36678</v>
      </c>
      <c r="B1990" s="1" t="n">
        <v>2000</v>
      </c>
      <c r="C1990" s="1" t="n">
        <v>6</v>
      </c>
      <c r="D1990" s="1" t="s">
        <v>47</v>
      </c>
      <c r="E1990" s="1" t="s">
        <v>14</v>
      </c>
      <c r="F1990" s="1" t="n">
        <v>289.15</v>
      </c>
      <c r="G1990" s="1" t="n">
        <f aca="false">IF(E1990=E1989,F1990/F1989-1,"")</f>
        <v>0.0620752984389348</v>
      </c>
    </row>
    <row r="1991" customFormat="false" ht="14.25" hidden="false" customHeight="true" outlineLevel="0" collapsed="false">
      <c r="A1991" s="26" t="n">
        <v>36708</v>
      </c>
      <c r="B1991" s="1" t="n">
        <v>2000</v>
      </c>
      <c r="C1991" s="1" t="n">
        <v>7</v>
      </c>
      <c r="D1991" s="1" t="s">
        <v>48</v>
      </c>
      <c r="E1991" s="1" t="s">
        <v>14</v>
      </c>
      <c r="F1991" s="1" t="n">
        <v>277.4</v>
      </c>
      <c r="G1991" s="1" t="n">
        <f aca="false">IF(E1991=E1990,F1991/F1990-1,"")</f>
        <v>-0.0406363479163064</v>
      </c>
    </row>
    <row r="1992" customFormat="false" ht="14.25" hidden="false" customHeight="true" outlineLevel="0" collapsed="false">
      <c r="A1992" s="26" t="n">
        <v>36739</v>
      </c>
      <c r="B1992" s="1" t="n">
        <v>2000</v>
      </c>
      <c r="C1992" s="1" t="n">
        <v>8</v>
      </c>
      <c r="D1992" s="1" t="s">
        <v>49</v>
      </c>
      <c r="E1992" s="1" t="s">
        <v>14</v>
      </c>
      <c r="F1992" s="1" t="n">
        <v>274.95</v>
      </c>
      <c r="G1992" s="1" t="n">
        <f aca="false">IF(E1992=E1991,F1992/F1991-1,"")</f>
        <v>-0.00883201153568847</v>
      </c>
    </row>
    <row r="1993" customFormat="false" ht="14.25" hidden="false" customHeight="true" outlineLevel="0" collapsed="false">
      <c r="A1993" s="26" t="n">
        <v>36770</v>
      </c>
      <c r="B1993" s="1" t="n">
        <v>2000</v>
      </c>
      <c r="C1993" s="1" t="n">
        <v>9</v>
      </c>
      <c r="D1993" s="1" t="s">
        <v>50</v>
      </c>
      <c r="E1993" s="1" t="s">
        <v>14</v>
      </c>
      <c r="F1993" s="1" t="n">
        <v>274.1</v>
      </c>
      <c r="G1993" s="1" t="n">
        <f aca="false">IF(E1993=E1992,F1993/F1992-1,"")</f>
        <v>-0.00309147117657749</v>
      </c>
    </row>
    <row r="1994" customFormat="false" ht="14.25" hidden="false" customHeight="true" outlineLevel="0" collapsed="false">
      <c r="A1994" s="26" t="n">
        <v>36800</v>
      </c>
      <c r="B1994" s="1" t="n">
        <v>2000</v>
      </c>
      <c r="C1994" s="1" t="n">
        <v>10</v>
      </c>
      <c r="D1994" s="1" t="s">
        <v>51</v>
      </c>
      <c r="E1994" s="1" t="s">
        <v>14</v>
      </c>
      <c r="F1994" s="1" t="n">
        <v>263.8</v>
      </c>
      <c r="G1994" s="1" t="n">
        <f aca="false">IF(E1994=E1993,F1994/F1993-1,"")</f>
        <v>-0.0375775264502007</v>
      </c>
    </row>
    <row r="1995" customFormat="false" ht="14.25" hidden="false" customHeight="true" outlineLevel="0" collapsed="false">
      <c r="A1995" s="26" t="n">
        <v>36831</v>
      </c>
      <c r="B1995" s="1" t="n">
        <v>2000</v>
      </c>
      <c r="C1995" s="1" t="n">
        <v>11</v>
      </c>
      <c r="D1995" s="1" t="s">
        <v>52</v>
      </c>
      <c r="E1995" s="1" t="s">
        <v>14</v>
      </c>
      <c r="F1995" s="1" t="n">
        <v>267</v>
      </c>
      <c r="G1995" s="1" t="n">
        <f aca="false">IF(E1995=E1994,F1995/F1994-1,"")</f>
        <v>0.0121304018195603</v>
      </c>
    </row>
    <row r="1996" customFormat="false" ht="14.25" hidden="false" customHeight="true" outlineLevel="0" collapsed="false">
      <c r="A1996" s="26" t="n">
        <v>36861</v>
      </c>
      <c r="B1996" s="1" t="n">
        <v>2000</v>
      </c>
      <c r="C1996" s="1" t="n">
        <v>12</v>
      </c>
      <c r="D1996" s="1" t="s">
        <v>53</v>
      </c>
      <c r="E1996" s="1" t="s">
        <v>14</v>
      </c>
      <c r="F1996" s="1" t="n">
        <v>272.65</v>
      </c>
      <c r="G1996" s="1" t="n">
        <f aca="false">IF(E1996=E1995,F1996/F1995-1,"")</f>
        <v>0.0211610486891385</v>
      </c>
    </row>
    <row r="1997" customFormat="false" ht="14.25" hidden="false" customHeight="true" outlineLevel="0" collapsed="false">
      <c r="A1997" s="26" t="n">
        <v>36892</v>
      </c>
      <c r="B1997" s="1" t="n">
        <v>2001</v>
      </c>
      <c r="C1997" s="1" t="n">
        <v>1</v>
      </c>
      <c r="D1997" s="1" t="s">
        <v>42</v>
      </c>
      <c r="E1997" s="1" t="s">
        <v>14</v>
      </c>
      <c r="F1997" s="1" t="n">
        <v>266.2</v>
      </c>
      <c r="G1997" s="1" t="n">
        <f aca="false">IF(E1997=E1996,F1997/F1996-1,"")</f>
        <v>-0.0236567027324408</v>
      </c>
    </row>
    <row r="1998" customFormat="false" ht="14.25" hidden="false" customHeight="true" outlineLevel="0" collapsed="false">
      <c r="A1998" s="26" t="n">
        <v>36923</v>
      </c>
      <c r="B1998" s="1" t="n">
        <v>2001</v>
      </c>
      <c r="C1998" s="1" t="n">
        <v>2</v>
      </c>
      <c r="D1998" s="1" t="s">
        <v>43</v>
      </c>
      <c r="E1998" s="1" t="s">
        <v>14</v>
      </c>
      <c r="F1998" s="1" t="n">
        <v>265</v>
      </c>
      <c r="G1998" s="1" t="n">
        <f aca="false">IF(E1998=E1997,F1998/F1997-1,"")</f>
        <v>-0.00450788880540942</v>
      </c>
    </row>
    <row r="1999" customFormat="false" ht="14.25" hidden="false" customHeight="true" outlineLevel="0" collapsed="false">
      <c r="A1999" s="26" t="n">
        <v>36951</v>
      </c>
      <c r="B1999" s="1" t="n">
        <v>2001</v>
      </c>
      <c r="C1999" s="1" t="n">
        <v>3</v>
      </c>
      <c r="D1999" s="1" t="s">
        <v>44</v>
      </c>
      <c r="E1999" s="1" t="s">
        <v>14</v>
      </c>
      <c r="F1999" s="1" t="n">
        <v>259.05</v>
      </c>
      <c r="G1999" s="1" t="n">
        <f aca="false">IF(E1999=E1998,F1999/F1998-1,"")</f>
        <v>-0.0224528301886792</v>
      </c>
    </row>
    <row r="2000" customFormat="false" ht="14.25" hidden="false" customHeight="true" outlineLevel="0" collapsed="false">
      <c r="A2000" s="26" t="n">
        <v>36982</v>
      </c>
      <c r="B2000" s="1" t="n">
        <v>2001</v>
      </c>
      <c r="C2000" s="1" t="n">
        <v>4</v>
      </c>
      <c r="D2000" s="1" t="s">
        <v>45</v>
      </c>
      <c r="E2000" s="1" t="s">
        <v>14</v>
      </c>
      <c r="F2000" s="1" t="n">
        <v>263.45</v>
      </c>
      <c r="G2000" s="1" t="n">
        <f aca="false">IF(E2000=E1999,F2000/F1999-1,"")</f>
        <v>0.0169851380042463</v>
      </c>
    </row>
    <row r="2001" customFormat="false" ht="14.25" hidden="false" customHeight="true" outlineLevel="0" collapsed="false">
      <c r="A2001" s="26" t="n">
        <v>37012</v>
      </c>
      <c r="B2001" s="1" t="n">
        <v>2001</v>
      </c>
      <c r="C2001" s="1" t="n">
        <v>5</v>
      </c>
      <c r="D2001" s="1" t="s">
        <v>46</v>
      </c>
      <c r="E2001" s="1" t="s">
        <v>14</v>
      </c>
      <c r="F2001" s="1" t="n">
        <v>266.1</v>
      </c>
      <c r="G2001" s="1" t="n">
        <f aca="false">IF(E2001=E2000,F2001/F2000-1,"")</f>
        <v>0.0100588346934904</v>
      </c>
    </row>
    <row r="2002" customFormat="false" ht="14.25" hidden="false" customHeight="true" outlineLevel="0" collapsed="false">
      <c r="A2002" s="26" t="n">
        <v>37043</v>
      </c>
      <c r="B2002" s="1" t="n">
        <v>2001</v>
      </c>
      <c r="C2002" s="1" t="n">
        <v>6</v>
      </c>
      <c r="D2002" s="1" t="s">
        <v>47</v>
      </c>
      <c r="E2002" s="1" t="s">
        <v>14</v>
      </c>
      <c r="F2002" s="1" t="n">
        <v>269.9</v>
      </c>
      <c r="G2002" s="1" t="n">
        <f aca="false">IF(E2002=E2001,F2002/F2001-1,"")</f>
        <v>0.0142803457346861</v>
      </c>
    </row>
    <row r="2003" customFormat="false" ht="14.25" hidden="false" customHeight="true" outlineLevel="0" collapsed="false">
      <c r="A2003" s="26" t="n">
        <v>37073</v>
      </c>
      <c r="B2003" s="1" t="n">
        <v>2001</v>
      </c>
      <c r="C2003" s="1" t="n">
        <v>7</v>
      </c>
      <c r="D2003" s="1" t="s">
        <v>48</v>
      </c>
      <c r="E2003" s="1" t="s">
        <v>14</v>
      </c>
      <c r="F2003" s="1" t="n">
        <v>265.55</v>
      </c>
      <c r="G2003" s="1" t="n">
        <f aca="false">IF(E2003=E2002,F2003/F2002-1,"")</f>
        <v>-0.016117080400148</v>
      </c>
    </row>
    <row r="2004" customFormat="false" ht="14.25" hidden="false" customHeight="true" outlineLevel="0" collapsed="false">
      <c r="A2004" s="26" t="n">
        <v>37104</v>
      </c>
      <c r="B2004" s="1" t="n">
        <v>2001</v>
      </c>
      <c r="C2004" s="1" t="n">
        <v>8</v>
      </c>
      <c r="D2004" s="1" t="s">
        <v>49</v>
      </c>
      <c r="E2004" s="1" t="s">
        <v>14</v>
      </c>
      <c r="F2004" s="1" t="n">
        <v>275.35</v>
      </c>
      <c r="G2004" s="1" t="n">
        <f aca="false">IF(E2004=E2003,F2004/F2003-1,"")</f>
        <v>0.0369045377518358</v>
      </c>
    </row>
    <row r="2005" customFormat="false" ht="14.25" hidden="false" customHeight="true" outlineLevel="0" collapsed="false">
      <c r="A2005" s="26" t="n">
        <v>37135</v>
      </c>
      <c r="B2005" s="1" t="n">
        <v>2001</v>
      </c>
      <c r="C2005" s="1" t="n">
        <v>9</v>
      </c>
      <c r="D2005" s="1" t="s">
        <v>50</v>
      </c>
      <c r="E2005" s="1" t="s">
        <v>14</v>
      </c>
      <c r="F2005" s="1" t="n">
        <v>290.85</v>
      </c>
      <c r="G2005" s="1" t="n">
        <f aca="false">IF(E2005=E2004,F2005/F2004-1,"")</f>
        <v>0.0562919920101688</v>
      </c>
    </row>
    <row r="2006" customFormat="false" ht="14.25" hidden="false" customHeight="true" outlineLevel="0" collapsed="false">
      <c r="A2006" s="26" t="n">
        <v>37165</v>
      </c>
      <c r="B2006" s="1" t="n">
        <v>2001</v>
      </c>
      <c r="C2006" s="1" t="n">
        <v>10</v>
      </c>
      <c r="D2006" s="1" t="s">
        <v>51</v>
      </c>
      <c r="E2006" s="1" t="s">
        <v>14</v>
      </c>
      <c r="F2006" s="1" t="n">
        <v>280.95</v>
      </c>
      <c r="G2006" s="1" t="n">
        <f aca="false">IF(E2006=E2005,F2006/F2005-1,"")</f>
        <v>-0.0340381640020631</v>
      </c>
    </row>
    <row r="2007" customFormat="false" ht="14.25" hidden="false" customHeight="true" outlineLevel="0" collapsed="false">
      <c r="A2007" s="26" t="n">
        <v>37196</v>
      </c>
      <c r="B2007" s="1" t="n">
        <v>2001</v>
      </c>
      <c r="C2007" s="1" t="n">
        <v>11</v>
      </c>
      <c r="D2007" s="1" t="s">
        <v>52</v>
      </c>
      <c r="E2007" s="1" t="s">
        <v>14</v>
      </c>
      <c r="F2007" s="1" t="n">
        <v>274.7</v>
      </c>
      <c r="G2007" s="1" t="n">
        <f aca="false">IF(E2007=E2006,F2007/F2006-1,"")</f>
        <v>-0.0222459512368749</v>
      </c>
    </row>
    <row r="2008" customFormat="false" ht="14.25" hidden="false" customHeight="true" outlineLevel="0" collapsed="false">
      <c r="A2008" s="26" t="n">
        <v>37226</v>
      </c>
      <c r="B2008" s="1" t="n">
        <v>2001</v>
      </c>
      <c r="C2008" s="1" t="n">
        <v>12</v>
      </c>
      <c r="D2008" s="1" t="s">
        <v>53</v>
      </c>
      <c r="E2008" s="1" t="s">
        <v>14</v>
      </c>
      <c r="F2008" s="1" t="n">
        <v>276.5</v>
      </c>
      <c r="G2008" s="1" t="n">
        <f aca="false">IF(E2008=E2007,F2008/F2007-1,"")</f>
        <v>0.00655260283946135</v>
      </c>
    </row>
    <row r="2009" customFormat="false" ht="14.25" hidden="false" customHeight="true" outlineLevel="0" collapsed="false">
      <c r="A2009" s="26" t="n">
        <v>37257</v>
      </c>
      <c r="B2009" s="1" t="n">
        <v>2002</v>
      </c>
      <c r="C2009" s="1" t="n">
        <v>1</v>
      </c>
      <c r="D2009" s="1" t="s">
        <v>42</v>
      </c>
      <c r="E2009" s="1" t="s">
        <v>14</v>
      </c>
      <c r="F2009" s="1" t="n">
        <v>281.5</v>
      </c>
      <c r="G2009" s="1" t="n">
        <f aca="false">IF(E2009=E2008,F2009/F2008-1,"")</f>
        <v>0.0180831826401446</v>
      </c>
    </row>
    <row r="2010" customFormat="false" ht="14.25" hidden="false" customHeight="true" outlineLevel="0" collapsed="false">
      <c r="A2010" s="26" t="n">
        <v>37288</v>
      </c>
      <c r="B2010" s="1" t="n">
        <v>2002</v>
      </c>
      <c r="C2010" s="1" t="n">
        <v>2</v>
      </c>
      <c r="D2010" s="1" t="s">
        <v>43</v>
      </c>
      <c r="E2010" s="1" t="s">
        <v>14</v>
      </c>
      <c r="F2010" s="1" t="n">
        <v>296.55</v>
      </c>
      <c r="G2010" s="1" t="n">
        <f aca="false">IF(E2010=E2009,F2010/F2009-1,"")</f>
        <v>0.0534635879218472</v>
      </c>
    </row>
    <row r="2011" customFormat="false" ht="14.25" hidden="false" customHeight="true" outlineLevel="0" collapsed="false">
      <c r="A2011" s="26" t="n">
        <v>37316</v>
      </c>
      <c r="B2011" s="1" t="n">
        <v>2002</v>
      </c>
      <c r="C2011" s="1" t="n">
        <v>3</v>
      </c>
      <c r="D2011" s="1" t="s">
        <v>44</v>
      </c>
      <c r="E2011" s="1" t="s">
        <v>14</v>
      </c>
      <c r="F2011" s="1" t="n">
        <v>303</v>
      </c>
      <c r="G2011" s="1" t="n">
        <f aca="false">IF(E2011=E2010,F2011/F2010-1,"")</f>
        <v>0.0217501264542235</v>
      </c>
    </row>
    <row r="2012" customFormat="false" ht="14.25" hidden="false" customHeight="true" outlineLevel="0" collapsed="false">
      <c r="A2012" s="26" t="n">
        <v>37347</v>
      </c>
      <c r="B2012" s="1" t="n">
        <v>2002</v>
      </c>
      <c r="C2012" s="1" t="n">
        <v>4</v>
      </c>
      <c r="D2012" s="1" t="s">
        <v>45</v>
      </c>
      <c r="E2012" s="1" t="s">
        <v>14</v>
      </c>
      <c r="F2012" s="1" t="n">
        <v>309.35</v>
      </c>
      <c r="G2012" s="1" t="n">
        <f aca="false">IF(E2012=E2011,F2012/F2011-1,"")</f>
        <v>0.0209570957095711</v>
      </c>
    </row>
    <row r="2013" customFormat="false" ht="14.25" hidden="false" customHeight="true" outlineLevel="0" collapsed="false">
      <c r="A2013" s="26" t="n">
        <v>37377</v>
      </c>
      <c r="B2013" s="1" t="n">
        <v>2002</v>
      </c>
      <c r="C2013" s="1" t="n">
        <v>5</v>
      </c>
      <c r="D2013" s="1" t="s">
        <v>46</v>
      </c>
      <c r="E2013" s="1" t="s">
        <v>14</v>
      </c>
      <c r="F2013" s="1" t="n">
        <v>327.25</v>
      </c>
      <c r="G2013" s="1" t="n">
        <f aca="false">IF(E2013=E2012,F2013/F2012-1,"")</f>
        <v>0.0578632616777113</v>
      </c>
    </row>
    <row r="2014" customFormat="false" ht="14.25" hidden="false" customHeight="true" outlineLevel="0" collapsed="false">
      <c r="A2014" s="26" t="n">
        <v>37408</v>
      </c>
      <c r="B2014" s="1" t="n">
        <v>2002</v>
      </c>
      <c r="C2014" s="1" t="n">
        <v>6</v>
      </c>
      <c r="D2014" s="1" t="s">
        <v>47</v>
      </c>
      <c r="E2014" s="1" t="s">
        <v>14</v>
      </c>
      <c r="F2014" s="1" t="n">
        <v>319.05</v>
      </c>
      <c r="G2014" s="1" t="n">
        <f aca="false">IF(E2014=E2013,F2014/F2013-1,"")</f>
        <v>-0.0250572956455309</v>
      </c>
    </row>
    <row r="2015" customFormat="false" ht="14.25" hidden="false" customHeight="true" outlineLevel="0" collapsed="false">
      <c r="A2015" s="26" t="n">
        <v>37438</v>
      </c>
      <c r="B2015" s="1" t="n">
        <v>2002</v>
      </c>
      <c r="C2015" s="1" t="n">
        <v>7</v>
      </c>
      <c r="D2015" s="1" t="s">
        <v>48</v>
      </c>
      <c r="E2015" s="1" t="s">
        <v>14</v>
      </c>
      <c r="F2015" s="1" t="n">
        <v>305.5</v>
      </c>
      <c r="G2015" s="1" t="n">
        <f aca="false">IF(E2015=E2014,F2015/F2014-1,"")</f>
        <v>-0.0424698323146843</v>
      </c>
    </row>
    <row r="2016" customFormat="false" ht="14.25" hidden="false" customHeight="true" outlineLevel="0" collapsed="false">
      <c r="A2016" s="26" t="n">
        <v>37469</v>
      </c>
      <c r="B2016" s="1" t="n">
        <v>2002</v>
      </c>
      <c r="C2016" s="1" t="n">
        <v>8</v>
      </c>
      <c r="D2016" s="1" t="s">
        <v>49</v>
      </c>
      <c r="E2016" s="1" t="s">
        <v>14</v>
      </c>
      <c r="F2016" s="1" t="n">
        <v>312.4</v>
      </c>
      <c r="G2016" s="1" t="n">
        <f aca="false">IF(E2016=E2015,F2016/F2015-1,"")</f>
        <v>0.0225859247135842</v>
      </c>
    </row>
    <row r="2017" customFormat="false" ht="14.25" hidden="false" customHeight="true" outlineLevel="0" collapsed="false">
      <c r="A2017" s="26" t="n">
        <v>37500</v>
      </c>
      <c r="B2017" s="1" t="n">
        <v>2002</v>
      </c>
      <c r="C2017" s="1" t="n">
        <v>9</v>
      </c>
      <c r="D2017" s="1" t="s">
        <v>50</v>
      </c>
      <c r="E2017" s="1" t="s">
        <v>14</v>
      </c>
      <c r="F2017" s="1" t="n">
        <v>322.4</v>
      </c>
      <c r="G2017" s="1" t="n">
        <f aca="false">IF(E2017=E2016,F2017/F2016-1,"")</f>
        <v>0.0320102432778489</v>
      </c>
    </row>
    <row r="2018" customFormat="false" ht="14.25" hidden="false" customHeight="true" outlineLevel="0" collapsed="false">
      <c r="A2018" s="26" t="n">
        <v>37530</v>
      </c>
      <c r="B2018" s="1" t="n">
        <v>2002</v>
      </c>
      <c r="C2018" s="1" t="n">
        <v>10</v>
      </c>
      <c r="D2018" s="1" t="s">
        <v>51</v>
      </c>
      <c r="E2018" s="1" t="s">
        <v>14</v>
      </c>
      <c r="F2018" s="1" t="n">
        <v>316.35</v>
      </c>
      <c r="G2018" s="1" t="n">
        <f aca="false">IF(E2018=E2017,F2018/F2017-1,"")</f>
        <v>-0.0187655086848634</v>
      </c>
    </row>
    <row r="2019" customFormat="false" ht="14.25" hidden="false" customHeight="true" outlineLevel="0" collapsed="false">
      <c r="A2019" s="26" t="n">
        <v>37561</v>
      </c>
      <c r="B2019" s="1" t="n">
        <v>2002</v>
      </c>
      <c r="C2019" s="1" t="n">
        <v>11</v>
      </c>
      <c r="D2019" s="1" t="s">
        <v>52</v>
      </c>
      <c r="E2019" s="1" t="s">
        <v>14</v>
      </c>
      <c r="F2019" s="1" t="n">
        <v>318.25</v>
      </c>
      <c r="G2019" s="1" t="n">
        <f aca="false">IF(E2019=E2018,F2019/F2018-1,"")</f>
        <v>0.00600600600600587</v>
      </c>
    </row>
    <row r="2020" customFormat="false" ht="14.25" hidden="false" customHeight="true" outlineLevel="0" collapsed="false">
      <c r="A2020" s="26" t="n">
        <v>37591</v>
      </c>
      <c r="B2020" s="1" t="n">
        <v>2002</v>
      </c>
      <c r="C2020" s="1" t="n">
        <v>12</v>
      </c>
      <c r="D2020" s="1" t="s">
        <v>53</v>
      </c>
      <c r="E2020" s="1" t="s">
        <v>14</v>
      </c>
      <c r="F2020" s="1" t="n">
        <v>342.75</v>
      </c>
      <c r="G2020" s="1" t="n">
        <f aca="false">IF(E2020=E2019,F2020/F2019-1,"")</f>
        <v>0.0769835035349569</v>
      </c>
    </row>
    <row r="2021" customFormat="false" ht="14.25" hidden="false" customHeight="true" outlineLevel="0" collapsed="false">
      <c r="A2021" s="26" t="n">
        <v>37622</v>
      </c>
      <c r="B2021" s="1" t="n">
        <v>2003</v>
      </c>
      <c r="C2021" s="1" t="n">
        <v>1</v>
      </c>
      <c r="D2021" s="1" t="s">
        <v>42</v>
      </c>
      <c r="E2021" s="1" t="s">
        <v>14</v>
      </c>
      <c r="F2021" s="1" t="n">
        <v>370.35</v>
      </c>
      <c r="G2021" s="1" t="n">
        <f aca="false">IF(E2021=E2020,F2021/F2020-1,"")</f>
        <v>0.0805251641137856</v>
      </c>
    </row>
    <row r="2022" customFormat="false" ht="14.25" hidden="false" customHeight="true" outlineLevel="0" collapsed="false">
      <c r="A2022" s="26" t="n">
        <v>37653</v>
      </c>
      <c r="B2022" s="1" t="n">
        <v>2003</v>
      </c>
      <c r="C2022" s="1" t="n">
        <v>2</v>
      </c>
      <c r="D2022" s="1" t="s">
        <v>43</v>
      </c>
      <c r="E2022" s="1" t="s">
        <v>14</v>
      </c>
      <c r="F2022" s="1" t="n">
        <v>347.65</v>
      </c>
      <c r="G2022" s="1" t="n">
        <f aca="false">IF(E2022=E2021,F2022/F2021-1,"")</f>
        <v>-0.0612933711354126</v>
      </c>
    </row>
    <row r="2023" customFormat="false" ht="14.25" hidden="false" customHeight="true" outlineLevel="0" collapsed="false">
      <c r="A2023" s="26" t="n">
        <v>37681</v>
      </c>
      <c r="B2023" s="1" t="n">
        <v>2003</v>
      </c>
      <c r="C2023" s="1" t="n">
        <v>3</v>
      </c>
      <c r="D2023" s="1" t="s">
        <v>44</v>
      </c>
      <c r="E2023" s="1" t="s">
        <v>14</v>
      </c>
      <c r="F2023" s="1" t="n">
        <v>335.35</v>
      </c>
      <c r="G2023" s="1" t="n">
        <f aca="false">IF(E2023=E2022,F2023/F2022-1,"")</f>
        <v>-0.0353804113332373</v>
      </c>
    </row>
    <row r="2024" customFormat="false" ht="14.25" hidden="false" customHeight="true" outlineLevel="0" collapsed="false">
      <c r="A2024" s="26" t="n">
        <v>37712</v>
      </c>
      <c r="B2024" s="1" t="n">
        <v>2003</v>
      </c>
      <c r="C2024" s="1" t="n">
        <v>4</v>
      </c>
      <c r="D2024" s="1" t="s">
        <v>45</v>
      </c>
      <c r="E2024" s="1" t="s">
        <v>14</v>
      </c>
      <c r="F2024" s="1" t="n">
        <v>336</v>
      </c>
      <c r="G2024" s="1" t="n">
        <f aca="false">IF(E2024=E2023,F2024/F2023-1,"")</f>
        <v>0.00193827344565367</v>
      </c>
    </row>
    <row r="2025" customFormat="false" ht="14.25" hidden="false" customHeight="true" outlineLevel="0" collapsed="false">
      <c r="A2025" s="26" t="n">
        <v>37742</v>
      </c>
      <c r="B2025" s="1" t="n">
        <v>2003</v>
      </c>
      <c r="C2025" s="1" t="n">
        <v>5</v>
      </c>
      <c r="D2025" s="1" t="s">
        <v>46</v>
      </c>
      <c r="E2025" s="1" t="s">
        <v>14</v>
      </c>
      <c r="F2025" s="1" t="n">
        <v>365.8</v>
      </c>
      <c r="G2025" s="1" t="n">
        <f aca="false">IF(E2025=E2024,F2025/F2024-1,"")</f>
        <v>0.0886904761904763</v>
      </c>
    </row>
    <row r="2026" customFormat="false" ht="14.25" hidden="false" customHeight="true" outlineLevel="0" collapsed="false">
      <c r="A2026" s="26" t="n">
        <v>37773</v>
      </c>
      <c r="B2026" s="1" t="n">
        <v>2003</v>
      </c>
      <c r="C2026" s="1" t="n">
        <v>6</v>
      </c>
      <c r="D2026" s="1" t="s">
        <v>47</v>
      </c>
      <c r="E2026" s="1" t="s">
        <v>14</v>
      </c>
      <c r="F2026" s="1" t="n">
        <v>345.15</v>
      </c>
      <c r="G2026" s="1" t="n">
        <f aca="false">IF(E2026=E2025,F2026/F2025-1,"")</f>
        <v>-0.0564516129032259</v>
      </c>
    </row>
    <row r="2027" customFormat="false" ht="14.25" hidden="false" customHeight="true" outlineLevel="0" collapsed="false">
      <c r="A2027" s="26" t="n">
        <v>37803</v>
      </c>
      <c r="B2027" s="1" t="n">
        <v>2003</v>
      </c>
      <c r="C2027" s="1" t="n">
        <v>7</v>
      </c>
      <c r="D2027" s="1" t="s">
        <v>48</v>
      </c>
      <c r="E2027" s="1" t="s">
        <v>14</v>
      </c>
      <c r="F2027" s="1" t="n">
        <v>355.75</v>
      </c>
      <c r="G2027" s="1" t="n">
        <f aca="false">IF(E2027=E2026,F2027/F2026-1,"")</f>
        <v>0.0307112849485731</v>
      </c>
    </row>
    <row r="2028" customFormat="false" ht="14.25" hidden="false" customHeight="true" outlineLevel="0" collapsed="false">
      <c r="A2028" s="26" t="n">
        <v>37834</v>
      </c>
      <c r="B2028" s="1" t="n">
        <v>2003</v>
      </c>
      <c r="C2028" s="1" t="n">
        <v>8</v>
      </c>
      <c r="D2028" s="1" t="s">
        <v>49</v>
      </c>
      <c r="E2028" s="1" t="s">
        <v>14</v>
      </c>
      <c r="F2028" s="1" t="n">
        <v>371</v>
      </c>
      <c r="G2028" s="1" t="n">
        <f aca="false">IF(E2028=E2027,F2028/F2027-1,"")</f>
        <v>0.0428671820098383</v>
      </c>
    </row>
    <row r="2029" customFormat="false" ht="14.25" hidden="false" customHeight="true" outlineLevel="0" collapsed="false">
      <c r="A2029" s="26" t="n">
        <v>37865</v>
      </c>
      <c r="B2029" s="1" t="n">
        <v>2003</v>
      </c>
      <c r="C2029" s="1" t="n">
        <v>9</v>
      </c>
      <c r="D2029" s="1" t="s">
        <v>50</v>
      </c>
      <c r="E2029" s="1" t="s">
        <v>14</v>
      </c>
      <c r="F2029" s="1" t="n">
        <v>384.5</v>
      </c>
      <c r="G2029" s="1" t="n">
        <f aca="false">IF(E2029=E2028,F2029/F2028-1,"")</f>
        <v>0.036388140161725</v>
      </c>
    </row>
    <row r="2030" customFormat="false" ht="14.25" hidden="false" customHeight="true" outlineLevel="0" collapsed="false">
      <c r="A2030" s="26" t="n">
        <v>37895</v>
      </c>
      <c r="B2030" s="1" t="n">
        <v>2003</v>
      </c>
      <c r="C2030" s="1" t="n">
        <v>10</v>
      </c>
      <c r="D2030" s="1" t="s">
        <v>51</v>
      </c>
      <c r="E2030" s="1" t="s">
        <v>14</v>
      </c>
      <c r="F2030" s="1" t="n">
        <v>384.6</v>
      </c>
      <c r="G2030" s="1" t="n">
        <f aca="false">IF(E2030=E2029,F2030/F2029-1,"")</f>
        <v>0.000260078023406996</v>
      </c>
    </row>
    <row r="2031" customFormat="false" ht="14.25" hidden="false" customHeight="true" outlineLevel="0" collapsed="false">
      <c r="A2031" s="26" t="n">
        <v>37926</v>
      </c>
      <c r="B2031" s="1" t="n">
        <v>2003</v>
      </c>
      <c r="C2031" s="1" t="n">
        <v>11</v>
      </c>
      <c r="D2031" s="1" t="s">
        <v>52</v>
      </c>
      <c r="E2031" s="1" t="s">
        <v>14</v>
      </c>
      <c r="F2031" s="1" t="n">
        <v>398.1</v>
      </c>
      <c r="G2031" s="1" t="n">
        <f aca="false">IF(E2031=E2030,F2031/F2030-1,"")</f>
        <v>0.0351014040561624</v>
      </c>
    </row>
    <row r="2032" customFormat="false" ht="14.25" hidden="false" customHeight="true" outlineLevel="0" collapsed="false">
      <c r="A2032" s="26" t="n">
        <v>37956</v>
      </c>
      <c r="B2032" s="1" t="n">
        <v>2003</v>
      </c>
      <c r="C2032" s="1" t="n">
        <v>12</v>
      </c>
      <c r="D2032" s="1" t="s">
        <v>53</v>
      </c>
      <c r="E2032" s="1" t="s">
        <v>14</v>
      </c>
      <c r="F2032" s="1" t="n">
        <v>417.25</v>
      </c>
      <c r="G2032" s="1" t="n">
        <f aca="false">IF(E2032=E2031,F2032/F2031-1,"")</f>
        <v>0.0481034915850289</v>
      </c>
    </row>
    <row r="2033" customFormat="false" ht="14.25" hidden="false" customHeight="true" outlineLevel="0" collapsed="false">
      <c r="A2033" s="26" t="n">
        <v>37987</v>
      </c>
      <c r="B2033" s="1" t="n">
        <v>2004</v>
      </c>
      <c r="C2033" s="1" t="n">
        <v>1</v>
      </c>
      <c r="D2033" s="1" t="s">
        <v>42</v>
      </c>
      <c r="E2033" s="1" t="s">
        <v>14</v>
      </c>
      <c r="F2033" s="1" t="n">
        <v>401.3</v>
      </c>
      <c r="G2033" s="1" t="n">
        <f aca="false">IF(E2033=E2032,F2033/F2032-1,"")</f>
        <v>-0.0382264829239065</v>
      </c>
    </row>
    <row r="2034" customFormat="false" ht="14.25" hidden="false" customHeight="true" outlineLevel="0" collapsed="false">
      <c r="A2034" s="26" t="n">
        <v>38018</v>
      </c>
      <c r="B2034" s="1" t="n">
        <v>2004</v>
      </c>
      <c r="C2034" s="1" t="n">
        <v>2</v>
      </c>
      <c r="D2034" s="1" t="s">
        <v>43</v>
      </c>
      <c r="E2034" s="1" t="s">
        <v>14</v>
      </c>
      <c r="F2034" s="1" t="n">
        <v>392.25</v>
      </c>
      <c r="G2034" s="1" t="n">
        <f aca="false">IF(E2034=E2033,F2034/F2033-1,"")</f>
        <v>-0.0225517069524047</v>
      </c>
    </row>
    <row r="2035" customFormat="false" ht="14.25" hidden="false" customHeight="true" outlineLevel="0" collapsed="false">
      <c r="A2035" s="26" t="n">
        <v>38047</v>
      </c>
      <c r="B2035" s="1" t="n">
        <v>2004</v>
      </c>
      <c r="C2035" s="1" t="n">
        <v>3</v>
      </c>
      <c r="D2035" s="1" t="s">
        <v>44</v>
      </c>
      <c r="E2035" s="1" t="s">
        <v>14</v>
      </c>
      <c r="F2035" s="1" t="n">
        <v>423</v>
      </c>
      <c r="G2035" s="1" t="n">
        <f aca="false">IF(E2035=E2034,F2035/F2034-1,"")</f>
        <v>0.0783938814531549</v>
      </c>
    </row>
    <row r="2036" customFormat="false" ht="14.25" hidden="false" customHeight="true" outlineLevel="0" collapsed="false">
      <c r="A2036" s="26" t="n">
        <v>38078</v>
      </c>
      <c r="B2036" s="1" t="n">
        <v>2004</v>
      </c>
      <c r="C2036" s="1" t="n">
        <v>4</v>
      </c>
      <c r="D2036" s="1" t="s">
        <v>45</v>
      </c>
      <c r="E2036" s="1" t="s">
        <v>14</v>
      </c>
      <c r="F2036" s="1" t="n">
        <v>387.3</v>
      </c>
      <c r="G2036" s="1" t="n">
        <f aca="false">IF(E2036=E2035,F2036/F2035-1,"")</f>
        <v>-0.0843971631205673</v>
      </c>
    </row>
    <row r="2037" customFormat="false" ht="14.25" hidden="false" customHeight="true" outlineLevel="0" collapsed="false">
      <c r="A2037" s="26" t="n">
        <v>38108</v>
      </c>
      <c r="B2037" s="1" t="n">
        <v>2004</v>
      </c>
      <c r="C2037" s="1" t="n">
        <v>5</v>
      </c>
      <c r="D2037" s="1" t="s">
        <v>46</v>
      </c>
      <c r="E2037" s="1" t="s">
        <v>14</v>
      </c>
      <c r="F2037" s="1" t="n">
        <v>393.85</v>
      </c>
      <c r="G2037" s="1" t="n">
        <f aca="false">IF(E2037=E2036,F2037/F2036-1,"")</f>
        <v>0.0169119545571907</v>
      </c>
    </row>
    <row r="2038" customFormat="false" ht="14.25" hidden="false" customHeight="true" outlineLevel="0" collapsed="false">
      <c r="A2038" s="26" t="n">
        <v>38139</v>
      </c>
      <c r="B2038" s="1" t="n">
        <v>2004</v>
      </c>
      <c r="C2038" s="1" t="n">
        <v>6</v>
      </c>
      <c r="D2038" s="1" t="s">
        <v>47</v>
      </c>
      <c r="E2038" s="1" t="s">
        <v>14</v>
      </c>
      <c r="F2038" s="1" t="n">
        <v>393.75</v>
      </c>
      <c r="G2038" s="1" t="n">
        <f aca="false">IF(E2038=E2037,F2038/F2037-1,"")</f>
        <v>-0.000253903770471076</v>
      </c>
    </row>
    <row r="2039" customFormat="false" ht="14.25" hidden="false" customHeight="true" outlineLevel="0" collapsed="false">
      <c r="A2039" s="26" t="n">
        <v>38169</v>
      </c>
      <c r="B2039" s="1" t="n">
        <v>2004</v>
      </c>
      <c r="C2039" s="1" t="n">
        <v>7</v>
      </c>
      <c r="D2039" s="1" t="s">
        <v>48</v>
      </c>
      <c r="E2039" s="1" t="s">
        <v>14</v>
      </c>
      <c r="F2039" s="1" t="n">
        <v>389.6</v>
      </c>
      <c r="G2039" s="1" t="n">
        <f aca="false">IF(E2039=E2038,F2039/F2038-1,"")</f>
        <v>-0.0105396825396825</v>
      </c>
    </row>
    <row r="2040" customFormat="false" ht="14.25" hidden="false" customHeight="true" outlineLevel="0" collapsed="false">
      <c r="A2040" s="26" t="n">
        <v>38200</v>
      </c>
      <c r="B2040" s="1" t="n">
        <v>2004</v>
      </c>
      <c r="C2040" s="1" t="n">
        <v>8</v>
      </c>
      <c r="D2040" s="1" t="s">
        <v>49</v>
      </c>
      <c r="E2040" s="1" t="s">
        <v>14</v>
      </c>
      <c r="F2040" s="1" t="n">
        <v>408.1</v>
      </c>
      <c r="G2040" s="1" t="n">
        <f aca="false">IF(E2040=E2039,F2040/F2039-1,"")</f>
        <v>0.0474845995893223</v>
      </c>
    </row>
    <row r="2041" customFormat="false" ht="14.25" hidden="false" customHeight="true" outlineLevel="0" collapsed="false">
      <c r="A2041" s="26" t="n">
        <v>38231</v>
      </c>
      <c r="B2041" s="1" t="n">
        <v>2004</v>
      </c>
      <c r="C2041" s="1" t="n">
        <v>9</v>
      </c>
      <c r="D2041" s="1" t="s">
        <v>50</v>
      </c>
      <c r="E2041" s="1" t="s">
        <v>14</v>
      </c>
      <c r="F2041" s="1" t="n">
        <v>412.35</v>
      </c>
      <c r="G2041" s="1" t="n">
        <f aca="false">IF(E2041=E2040,F2041/F2040-1,"")</f>
        <v>0.010414114187699</v>
      </c>
    </row>
    <row r="2042" customFormat="false" ht="14.25" hidden="false" customHeight="true" outlineLevel="0" collapsed="false">
      <c r="A2042" s="26" t="n">
        <v>38261</v>
      </c>
      <c r="B2042" s="1" t="n">
        <v>2004</v>
      </c>
      <c r="C2042" s="1" t="n">
        <v>10</v>
      </c>
      <c r="D2042" s="1" t="s">
        <v>51</v>
      </c>
      <c r="E2042" s="1" t="s">
        <v>14</v>
      </c>
      <c r="F2042" s="1" t="n">
        <v>426.2</v>
      </c>
      <c r="G2042" s="1" t="n">
        <f aca="false">IF(E2042=E2041,F2042/F2041-1,"")</f>
        <v>0.0335879713835334</v>
      </c>
    </row>
    <row r="2043" customFormat="false" ht="14.25" hidden="false" customHeight="true" outlineLevel="0" collapsed="false">
      <c r="A2043" s="26" t="n">
        <v>38292</v>
      </c>
      <c r="B2043" s="1" t="n">
        <v>2004</v>
      </c>
      <c r="C2043" s="1" t="n">
        <v>11</v>
      </c>
      <c r="D2043" s="1" t="s">
        <v>52</v>
      </c>
      <c r="E2043" s="1" t="s">
        <v>14</v>
      </c>
      <c r="F2043" s="1" t="n">
        <v>452</v>
      </c>
      <c r="G2043" s="1" t="n">
        <f aca="false">IF(E2043=E2042,F2043/F2042-1,"")</f>
        <v>0.0605349601126233</v>
      </c>
    </row>
    <row r="2044" customFormat="false" ht="14.25" hidden="false" customHeight="true" outlineLevel="0" collapsed="false">
      <c r="A2044" s="26" t="n">
        <v>38322</v>
      </c>
      <c r="B2044" s="1" t="n">
        <v>2004</v>
      </c>
      <c r="C2044" s="1" t="n">
        <v>12</v>
      </c>
      <c r="D2044" s="1" t="s">
        <v>53</v>
      </c>
      <c r="E2044" s="1" t="s">
        <v>14</v>
      </c>
      <c r="F2044" s="1" t="n">
        <v>438</v>
      </c>
      <c r="G2044" s="1" t="n">
        <f aca="false">IF(E2044=E2043,F2044/F2043-1,"")</f>
        <v>-0.0309734513274337</v>
      </c>
    </row>
    <row r="2045" customFormat="false" ht="14.25" hidden="false" customHeight="true" outlineLevel="0" collapsed="false">
      <c r="A2045" s="26" t="n">
        <v>38353</v>
      </c>
      <c r="B2045" s="1" t="n">
        <v>2005</v>
      </c>
      <c r="C2045" s="1" t="n">
        <v>1</v>
      </c>
      <c r="D2045" s="1" t="s">
        <v>42</v>
      </c>
      <c r="E2045" s="1" t="s">
        <v>14</v>
      </c>
      <c r="F2045" s="1" t="n">
        <v>423.8</v>
      </c>
      <c r="G2045" s="1" t="n">
        <f aca="false">IF(E2045=E2044,F2045/F2044-1,"")</f>
        <v>-0.0324200913242009</v>
      </c>
    </row>
    <row r="2046" customFormat="false" ht="14.25" hidden="false" customHeight="true" outlineLevel="0" collapsed="false">
      <c r="A2046" s="26" t="n">
        <v>38384</v>
      </c>
      <c r="B2046" s="1" t="n">
        <v>2005</v>
      </c>
      <c r="C2046" s="1" t="n">
        <v>2</v>
      </c>
      <c r="D2046" s="1" t="s">
        <v>43</v>
      </c>
      <c r="E2046" s="1" t="s">
        <v>14</v>
      </c>
      <c r="F2046" s="1" t="n">
        <v>436.55</v>
      </c>
      <c r="G2046" s="1" t="n">
        <f aca="false">IF(E2046=E2045,F2046/F2045-1,"")</f>
        <v>0.0300849457291175</v>
      </c>
    </row>
    <row r="2047" customFormat="false" ht="14.25" hidden="false" customHeight="true" outlineLevel="0" collapsed="false">
      <c r="A2047" s="26" t="n">
        <v>38412</v>
      </c>
      <c r="B2047" s="1" t="n">
        <v>2005</v>
      </c>
      <c r="C2047" s="1" t="n">
        <v>3</v>
      </c>
      <c r="D2047" s="1" t="s">
        <v>44</v>
      </c>
      <c r="E2047" s="1" t="s">
        <v>14</v>
      </c>
      <c r="F2047" s="1" t="n">
        <v>427.5</v>
      </c>
      <c r="G2047" s="1" t="n">
        <f aca="false">IF(E2047=E2046,F2047/F2046-1,"")</f>
        <v>-0.0207307295842401</v>
      </c>
    </row>
    <row r="2048" customFormat="false" ht="14.25" hidden="false" customHeight="true" outlineLevel="0" collapsed="false">
      <c r="A2048" s="26" t="n">
        <v>38443</v>
      </c>
      <c r="B2048" s="1" t="n">
        <v>2005</v>
      </c>
      <c r="C2048" s="1" t="n">
        <v>4</v>
      </c>
      <c r="D2048" s="1" t="s">
        <v>45</v>
      </c>
      <c r="E2048" s="1" t="s">
        <v>14</v>
      </c>
      <c r="F2048" s="1" t="n">
        <v>433.2</v>
      </c>
      <c r="G2048" s="1" t="n">
        <f aca="false">IF(E2048=E2047,F2048/F2047-1,"")</f>
        <v>0.0133333333333332</v>
      </c>
    </row>
    <row r="2049" customFormat="false" ht="14.25" hidden="false" customHeight="true" outlineLevel="0" collapsed="false">
      <c r="A2049" s="26" t="n">
        <v>38473</v>
      </c>
      <c r="B2049" s="1" t="n">
        <v>2005</v>
      </c>
      <c r="C2049" s="1" t="n">
        <v>5</v>
      </c>
      <c r="D2049" s="1" t="s">
        <v>46</v>
      </c>
      <c r="E2049" s="1" t="s">
        <v>14</v>
      </c>
      <c r="F2049" s="1" t="n">
        <v>416.9</v>
      </c>
      <c r="G2049" s="1" t="n">
        <f aca="false">IF(E2049=E2048,F2049/F2048-1,"")</f>
        <v>-0.0376269621421976</v>
      </c>
    </row>
    <row r="2050" customFormat="false" ht="14.25" hidden="false" customHeight="true" outlineLevel="0" collapsed="false">
      <c r="A2050" s="26" t="n">
        <v>38504</v>
      </c>
      <c r="B2050" s="1" t="n">
        <v>2005</v>
      </c>
      <c r="C2050" s="1" t="n">
        <v>6</v>
      </c>
      <c r="D2050" s="1" t="s">
        <v>47</v>
      </c>
      <c r="E2050" s="1" t="s">
        <v>14</v>
      </c>
      <c r="F2050" s="1" t="n">
        <v>436.8</v>
      </c>
      <c r="G2050" s="1" t="n">
        <f aca="false">IF(E2050=E2049,F2050/F2049-1,"")</f>
        <v>0.0477332693691535</v>
      </c>
    </row>
    <row r="2051" customFormat="false" ht="14.25" hidden="false" customHeight="true" outlineLevel="0" collapsed="false">
      <c r="A2051" s="26" t="n">
        <v>38534</v>
      </c>
      <c r="B2051" s="1" t="n">
        <v>2005</v>
      </c>
      <c r="C2051" s="1" t="n">
        <v>7</v>
      </c>
      <c r="D2051" s="1" t="s">
        <v>48</v>
      </c>
      <c r="E2051" s="1" t="s">
        <v>14</v>
      </c>
      <c r="F2051" s="1" t="n">
        <v>427.15</v>
      </c>
      <c r="G2051" s="1" t="n">
        <f aca="false">IF(E2051=E2050,F2051/F2050-1,"")</f>
        <v>-0.0220924908424909</v>
      </c>
    </row>
    <row r="2052" customFormat="false" ht="14.25" hidden="false" customHeight="true" outlineLevel="0" collapsed="false">
      <c r="A2052" s="26" t="n">
        <v>38565</v>
      </c>
      <c r="B2052" s="1" t="n">
        <v>2005</v>
      </c>
      <c r="C2052" s="1" t="n">
        <v>8</v>
      </c>
      <c r="D2052" s="1" t="s">
        <v>49</v>
      </c>
      <c r="E2052" s="1" t="s">
        <v>14</v>
      </c>
      <c r="F2052" s="1" t="n">
        <v>433</v>
      </c>
      <c r="G2052" s="1" t="n">
        <f aca="false">IF(E2052=E2051,F2052/F2051-1,"")</f>
        <v>0.013695423153459</v>
      </c>
    </row>
    <row r="2053" customFormat="false" ht="14.25" hidden="false" customHeight="true" outlineLevel="0" collapsed="false">
      <c r="A2053" s="26" t="n">
        <v>38596</v>
      </c>
      <c r="B2053" s="1" t="n">
        <v>2005</v>
      </c>
      <c r="C2053" s="1" t="n">
        <v>9</v>
      </c>
      <c r="D2053" s="1" t="s">
        <v>50</v>
      </c>
      <c r="E2053" s="1" t="s">
        <v>14</v>
      </c>
      <c r="F2053" s="1" t="n">
        <v>473.4</v>
      </c>
      <c r="G2053" s="1" t="n">
        <f aca="false">IF(E2053=E2052,F2053/F2052-1,"")</f>
        <v>0.0933025404157044</v>
      </c>
    </row>
    <row r="2054" customFormat="false" ht="14.25" hidden="false" customHeight="true" outlineLevel="0" collapsed="false">
      <c r="A2054" s="26" t="n">
        <v>38626</v>
      </c>
      <c r="B2054" s="1" t="n">
        <v>2005</v>
      </c>
      <c r="C2054" s="1" t="n">
        <v>10</v>
      </c>
      <c r="D2054" s="1" t="s">
        <v>51</v>
      </c>
      <c r="E2054" s="1" t="s">
        <v>14</v>
      </c>
      <c r="F2054" s="1" t="n">
        <v>472.65</v>
      </c>
      <c r="G2054" s="1" t="n">
        <f aca="false">IF(E2054=E2053,F2054/F2053-1,"")</f>
        <v>-0.00158428390367549</v>
      </c>
    </row>
    <row r="2055" customFormat="false" ht="14.25" hidden="false" customHeight="true" outlineLevel="0" collapsed="false">
      <c r="A2055" s="26" t="n">
        <v>38657</v>
      </c>
      <c r="B2055" s="1" t="n">
        <v>2005</v>
      </c>
      <c r="C2055" s="1" t="n">
        <v>11</v>
      </c>
      <c r="D2055" s="1" t="s">
        <v>52</v>
      </c>
      <c r="E2055" s="1" t="s">
        <v>14</v>
      </c>
      <c r="F2055" s="1" t="n">
        <v>493.8</v>
      </c>
      <c r="G2055" s="1" t="n">
        <f aca="false">IF(E2055=E2054,F2055/F2054-1,"")</f>
        <v>0.0447476991431293</v>
      </c>
    </row>
    <row r="2056" customFormat="false" ht="14.25" hidden="false" customHeight="true" outlineLevel="0" collapsed="false">
      <c r="A2056" s="26" t="n">
        <v>38687</v>
      </c>
      <c r="B2056" s="1" t="n">
        <v>2005</v>
      </c>
      <c r="C2056" s="1" t="n">
        <v>12</v>
      </c>
      <c r="D2056" s="1" t="s">
        <v>53</v>
      </c>
      <c r="E2056" s="1" t="s">
        <v>14</v>
      </c>
      <c r="F2056" s="1" t="n">
        <v>513</v>
      </c>
      <c r="G2056" s="1" t="n">
        <f aca="false">IF(E2056=E2055,F2056/F2055-1,"")</f>
        <v>0.0388821385176184</v>
      </c>
    </row>
    <row r="2057" customFormat="false" ht="14.25" hidden="false" customHeight="true" outlineLevel="0" collapsed="false">
      <c r="A2057" s="26" t="n">
        <v>38718</v>
      </c>
      <c r="B2057" s="1" t="n">
        <v>2006</v>
      </c>
      <c r="C2057" s="1" t="n">
        <v>1</v>
      </c>
      <c r="D2057" s="1" t="s">
        <v>42</v>
      </c>
      <c r="E2057" s="1" t="s">
        <v>14</v>
      </c>
      <c r="F2057" s="1" t="n">
        <v>569.8</v>
      </c>
      <c r="G2057" s="1" t="n">
        <f aca="false">IF(E2057=E2056,F2057/F2056-1,"")</f>
        <v>0.110721247563353</v>
      </c>
    </row>
    <row r="2058" customFormat="false" ht="14.25" hidden="false" customHeight="true" outlineLevel="0" collapsed="false">
      <c r="A2058" s="26" t="n">
        <v>38749</v>
      </c>
      <c r="B2058" s="1" t="n">
        <v>2006</v>
      </c>
      <c r="C2058" s="1" t="n">
        <v>2</v>
      </c>
      <c r="D2058" s="1" t="s">
        <v>43</v>
      </c>
      <c r="E2058" s="1" t="s">
        <v>14</v>
      </c>
      <c r="F2058" s="1" t="n">
        <v>556.5</v>
      </c>
      <c r="G2058" s="1" t="n">
        <f aca="false">IF(E2058=E2057,F2058/F2057-1,"")</f>
        <v>-0.0233415233415233</v>
      </c>
    </row>
    <row r="2059" customFormat="false" ht="14.25" hidden="false" customHeight="true" outlineLevel="0" collapsed="false">
      <c r="A2059" s="26" t="n">
        <v>38777</v>
      </c>
      <c r="B2059" s="1" t="n">
        <v>2006</v>
      </c>
      <c r="C2059" s="1" t="n">
        <v>3</v>
      </c>
      <c r="D2059" s="1" t="s">
        <v>44</v>
      </c>
      <c r="E2059" s="1" t="s">
        <v>14</v>
      </c>
      <c r="F2059" s="1" t="n">
        <v>584</v>
      </c>
      <c r="G2059" s="1" t="n">
        <f aca="false">IF(E2059=E2058,F2059/F2058-1,"")</f>
        <v>0.0494159928122193</v>
      </c>
    </row>
    <row r="2060" customFormat="false" ht="14.25" hidden="false" customHeight="true" outlineLevel="0" collapsed="false">
      <c r="A2060" s="26" t="n">
        <v>38808</v>
      </c>
      <c r="B2060" s="1" t="n">
        <v>2006</v>
      </c>
      <c r="C2060" s="1" t="n">
        <v>4</v>
      </c>
      <c r="D2060" s="1" t="s">
        <v>45</v>
      </c>
      <c r="E2060" s="1" t="s">
        <v>14</v>
      </c>
      <c r="F2060" s="1" t="n">
        <v>638.25</v>
      </c>
      <c r="G2060" s="1" t="n">
        <f aca="false">IF(E2060=E2059,F2060/F2059-1,"")</f>
        <v>0.0928938356164384</v>
      </c>
    </row>
    <row r="2061" customFormat="false" ht="14.25" hidden="false" customHeight="true" outlineLevel="0" collapsed="false">
      <c r="A2061" s="26" t="n">
        <v>38838</v>
      </c>
      <c r="B2061" s="1" t="n">
        <v>2006</v>
      </c>
      <c r="C2061" s="1" t="n">
        <v>5</v>
      </c>
      <c r="D2061" s="1" t="s">
        <v>46</v>
      </c>
      <c r="E2061" s="1" t="s">
        <v>14</v>
      </c>
      <c r="F2061" s="1" t="n">
        <v>654</v>
      </c>
      <c r="G2061" s="1" t="n">
        <f aca="false">IF(E2061=E2060,F2061/F2060-1,"")</f>
        <v>0.0246768507638073</v>
      </c>
    </row>
    <row r="2062" customFormat="false" ht="14.25" hidden="false" customHeight="true" outlineLevel="0" collapsed="false">
      <c r="A2062" s="26" t="n">
        <v>38869</v>
      </c>
      <c r="B2062" s="1" t="n">
        <v>2006</v>
      </c>
      <c r="C2062" s="1" t="n">
        <v>6</v>
      </c>
      <c r="D2062" s="1" t="s">
        <v>47</v>
      </c>
      <c r="E2062" s="1" t="s">
        <v>14</v>
      </c>
      <c r="F2062" s="1" t="n">
        <v>600.4</v>
      </c>
      <c r="G2062" s="1" t="n">
        <f aca="false">IF(E2062=E2061,F2062/F2061-1,"")</f>
        <v>-0.0819571865443426</v>
      </c>
    </row>
    <row r="2063" customFormat="false" ht="14.25" hidden="false" customHeight="true" outlineLevel="0" collapsed="false">
      <c r="A2063" s="26" t="n">
        <v>38899</v>
      </c>
      <c r="B2063" s="1" t="n">
        <v>2006</v>
      </c>
      <c r="C2063" s="1" t="n">
        <v>7</v>
      </c>
      <c r="D2063" s="1" t="s">
        <v>48</v>
      </c>
      <c r="E2063" s="1" t="s">
        <v>14</v>
      </c>
      <c r="F2063" s="1" t="n">
        <v>637</v>
      </c>
      <c r="G2063" s="1" t="n">
        <f aca="false">IF(E2063=E2062,F2063/F2062-1,"")</f>
        <v>0.0609593604263825</v>
      </c>
    </row>
    <row r="2064" customFormat="false" ht="14.25" hidden="false" customHeight="true" outlineLevel="0" collapsed="false">
      <c r="A2064" s="26" t="n">
        <v>38930</v>
      </c>
      <c r="B2064" s="1" t="n">
        <v>2006</v>
      </c>
      <c r="C2064" s="1" t="n">
        <v>8</v>
      </c>
      <c r="D2064" s="1" t="s">
        <v>49</v>
      </c>
      <c r="E2064" s="1" t="s">
        <v>14</v>
      </c>
      <c r="F2064" s="1" t="n">
        <v>621.75</v>
      </c>
      <c r="G2064" s="1" t="n">
        <f aca="false">IF(E2064=E2063,F2064/F2063-1,"")</f>
        <v>-0.0239403453689168</v>
      </c>
    </row>
    <row r="2065" customFormat="false" ht="14.25" hidden="false" customHeight="true" outlineLevel="0" collapsed="false">
      <c r="A2065" s="26" t="n">
        <v>38961</v>
      </c>
      <c r="B2065" s="1" t="n">
        <v>2006</v>
      </c>
      <c r="C2065" s="1" t="n">
        <v>9</v>
      </c>
      <c r="D2065" s="1" t="s">
        <v>50</v>
      </c>
      <c r="E2065" s="1" t="s">
        <v>14</v>
      </c>
      <c r="F2065" s="1" t="n">
        <v>601.75</v>
      </c>
      <c r="G2065" s="1" t="n">
        <f aca="false">IF(E2065=E2064,F2065/F2064-1,"")</f>
        <v>-0.0321672698029755</v>
      </c>
    </row>
    <row r="2066" customFormat="false" ht="14.25" hidden="false" customHeight="true" outlineLevel="0" collapsed="false">
      <c r="A2066" s="26" t="n">
        <v>38991</v>
      </c>
      <c r="B2066" s="1" t="n">
        <v>2006</v>
      </c>
      <c r="C2066" s="1" t="n">
        <v>10</v>
      </c>
      <c r="D2066" s="1" t="s">
        <v>51</v>
      </c>
      <c r="E2066" s="1" t="s">
        <v>14</v>
      </c>
      <c r="F2066" s="1" t="n">
        <v>600.9</v>
      </c>
      <c r="G2066" s="1" t="n">
        <f aca="false">IF(E2066=E2065,F2066/F2065-1,"")</f>
        <v>-0.00141254673867885</v>
      </c>
    </row>
    <row r="2067" customFormat="false" ht="14.25" hidden="false" customHeight="true" outlineLevel="0" collapsed="false">
      <c r="A2067" s="26" t="n">
        <v>39022</v>
      </c>
      <c r="B2067" s="1" t="n">
        <v>2006</v>
      </c>
      <c r="C2067" s="1" t="n">
        <v>11</v>
      </c>
      <c r="D2067" s="1" t="s">
        <v>52</v>
      </c>
      <c r="E2067" s="1" t="s">
        <v>14</v>
      </c>
      <c r="F2067" s="1" t="n">
        <v>638.4</v>
      </c>
      <c r="G2067" s="1" t="n">
        <f aca="false">IF(E2067=E2066,F2067/F2066-1,"")</f>
        <v>0.0624063904143783</v>
      </c>
    </row>
    <row r="2068" customFormat="false" ht="14.25" hidden="false" customHeight="true" outlineLevel="0" collapsed="false">
      <c r="A2068" s="26" t="n">
        <v>39052</v>
      </c>
      <c r="B2068" s="1" t="n">
        <v>2006</v>
      </c>
      <c r="C2068" s="1" t="n">
        <v>12</v>
      </c>
      <c r="D2068" s="1" t="s">
        <v>53</v>
      </c>
      <c r="E2068" s="1" t="s">
        <v>14</v>
      </c>
      <c r="F2068" s="1" t="n">
        <v>635.7</v>
      </c>
      <c r="G2068" s="1" t="n">
        <f aca="false">IF(E2068=E2067,F2068/F2067-1,"")</f>
        <v>-0.00422932330827053</v>
      </c>
    </row>
    <row r="2069" customFormat="false" ht="14.25" hidden="false" customHeight="true" outlineLevel="0" collapsed="false">
      <c r="A2069" s="26" t="n">
        <v>39083</v>
      </c>
      <c r="B2069" s="1" t="n">
        <v>2007</v>
      </c>
      <c r="C2069" s="1" t="n">
        <v>1</v>
      </c>
      <c r="D2069" s="1" t="s">
        <v>42</v>
      </c>
      <c r="E2069" s="1" t="s">
        <v>14</v>
      </c>
      <c r="F2069" s="1" t="n">
        <v>645.75</v>
      </c>
      <c r="G2069" s="1" t="n">
        <f aca="false">IF(E2069=E2068,F2069/F2068-1,"")</f>
        <v>0.015809344030203</v>
      </c>
    </row>
    <row r="2070" customFormat="false" ht="14.25" hidden="false" customHeight="true" outlineLevel="0" collapsed="false">
      <c r="A2070" s="26" t="n">
        <v>39114</v>
      </c>
      <c r="B2070" s="1" t="n">
        <v>2007</v>
      </c>
      <c r="C2070" s="1" t="n">
        <v>2</v>
      </c>
      <c r="D2070" s="1" t="s">
        <v>43</v>
      </c>
      <c r="E2070" s="1" t="s">
        <v>14</v>
      </c>
      <c r="F2070" s="1" t="n">
        <v>677</v>
      </c>
      <c r="G2070" s="1" t="n">
        <f aca="false">IF(E2070=E2069,F2070/F2069-1,"")</f>
        <v>0.0483933410762678</v>
      </c>
    </row>
    <row r="2071" customFormat="false" ht="14.25" hidden="false" customHeight="true" outlineLevel="0" collapsed="false">
      <c r="A2071" s="26" t="n">
        <v>39142</v>
      </c>
      <c r="B2071" s="1" t="n">
        <v>2007</v>
      </c>
      <c r="C2071" s="1" t="n">
        <v>3</v>
      </c>
      <c r="D2071" s="1" t="s">
        <v>44</v>
      </c>
      <c r="E2071" s="1" t="s">
        <v>14</v>
      </c>
      <c r="F2071" s="1" t="n">
        <v>663.5</v>
      </c>
      <c r="G2071" s="1" t="n">
        <f aca="false">IF(E2071=E2070,F2071/F2070-1,"")</f>
        <v>-0.0199409158050221</v>
      </c>
    </row>
    <row r="2072" customFormat="false" ht="14.25" hidden="false" customHeight="true" outlineLevel="0" collapsed="false">
      <c r="A2072" s="26" t="n">
        <v>39173</v>
      </c>
      <c r="B2072" s="1" t="n">
        <v>2007</v>
      </c>
      <c r="C2072" s="1" t="n">
        <v>4</v>
      </c>
      <c r="D2072" s="1" t="s">
        <v>45</v>
      </c>
      <c r="E2072" s="1" t="s">
        <v>14</v>
      </c>
      <c r="F2072" s="1" t="n">
        <v>678</v>
      </c>
      <c r="G2072" s="1" t="n">
        <f aca="false">IF(E2072=E2071,F2072/F2071-1,"")</f>
        <v>0.0218538055764883</v>
      </c>
    </row>
    <row r="2073" customFormat="false" ht="14.25" hidden="false" customHeight="true" outlineLevel="0" collapsed="false">
      <c r="A2073" s="26" t="n">
        <v>39203</v>
      </c>
      <c r="B2073" s="1" t="n">
        <v>2007</v>
      </c>
      <c r="C2073" s="1" t="n">
        <v>5</v>
      </c>
      <c r="D2073" s="1" t="s">
        <v>46</v>
      </c>
      <c r="E2073" s="1" t="s">
        <v>14</v>
      </c>
      <c r="F2073" s="1" t="n">
        <v>656.6</v>
      </c>
      <c r="G2073" s="1" t="n">
        <f aca="false">IF(E2073=E2072,F2073/F2072-1,"")</f>
        <v>-0.0315634218289085</v>
      </c>
    </row>
    <row r="2074" customFormat="false" ht="14.25" hidden="false" customHeight="true" outlineLevel="0" collapsed="false">
      <c r="A2074" s="26" t="n">
        <v>39234</v>
      </c>
      <c r="B2074" s="1" t="n">
        <v>2007</v>
      </c>
      <c r="C2074" s="1" t="n">
        <v>6</v>
      </c>
      <c r="D2074" s="1" t="s">
        <v>47</v>
      </c>
      <c r="E2074" s="1" t="s">
        <v>14</v>
      </c>
      <c r="F2074" s="1" t="n">
        <v>648.5</v>
      </c>
      <c r="G2074" s="1" t="n">
        <f aca="false">IF(E2074=E2073,F2074/F2073-1,"")</f>
        <v>-0.0123362777947</v>
      </c>
    </row>
    <row r="2075" customFormat="false" ht="14.25" hidden="false" customHeight="true" outlineLevel="0" collapsed="false">
      <c r="A2075" s="26" t="n">
        <v>39264</v>
      </c>
      <c r="B2075" s="1" t="n">
        <v>2007</v>
      </c>
      <c r="C2075" s="1" t="n">
        <v>7</v>
      </c>
      <c r="D2075" s="1" t="s">
        <v>48</v>
      </c>
      <c r="E2075" s="1" t="s">
        <v>14</v>
      </c>
      <c r="F2075" s="1" t="n">
        <v>666.75</v>
      </c>
      <c r="G2075" s="1" t="n">
        <f aca="false">IF(E2075=E2074,F2075/F2074-1,"")</f>
        <v>0.028141865844256</v>
      </c>
    </row>
    <row r="2076" customFormat="false" ht="14.25" hidden="false" customHeight="true" outlineLevel="0" collapsed="false">
      <c r="A2076" s="26" t="n">
        <v>39295</v>
      </c>
      <c r="B2076" s="1" t="n">
        <v>2007</v>
      </c>
      <c r="C2076" s="1" t="n">
        <v>8</v>
      </c>
      <c r="D2076" s="1" t="s">
        <v>49</v>
      </c>
      <c r="E2076" s="1" t="s">
        <v>14</v>
      </c>
      <c r="F2076" s="1" t="n">
        <v>668</v>
      </c>
      <c r="G2076" s="1" t="n">
        <f aca="false">IF(E2076=E2075,F2076/F2075-1,"")</f>
        <v>0.00187476565429323</v>
      </c>
    </row>
    <row r="2077" customFormat="false" ht="14.25" hidden="false" customHeight="true" outlineLevel="0" collapsed="false">
      <c r="A2077" s="26" t="n">
        <v>39326</v>
      </c>
      <c r="B2077" s="1" t="n">
        <v>2007</v>
      </c>
      <c r="C2077" s="1" t="n">
        <v>9</v>
      </c>
      <c r="D2077" s="1" t="s">
        <v>50</v>
      </c>
      <c r="E2077" s="1" t="s">
        <v>14</v>
      </c>
      <c r="F2077" s="1" t="n">
        <v>737.75</v>
      </c>
      <c r="G2077" s="1" t="n">
        <f aca="false">IF(E2077=E2076,F2077/F2076-1,"")</f>
        <v>0.104416167664671</v>
      </c>
    </row>
    <row r="2078" customFormat="false" ht="14.25" hidden="false" customHeight="true" outlineLevel="0" collapsed="false">
      <c r="A2078" s="26" t="n">
        <v>39356</v>
      </c>
      <c r="B2078" s="1" t="n">
        <v>2007</v>
      </c>
      <c r="C2078" s="1" t="n">
        <v>10</v>
      </c>
      <c r="D2078" s="1" t="s">
        <v>51</v>
      </c>
      <c r="E2078" s="1" t="s">
        <v>14</v>
      </c>
      <c r="F2078" s="1" t="n">
        <v>783</v>
      </c>
      <c r="G2078" s="1" t="n">
        <f aca="false">IF(E2078=E2077,F2078/F2077-1,"")</f>
        <v>0.0613351406302949</v>
      </c>
    </row>
    <row r="2079" customFormat="false" ht="14.25" hidden="false" customHeight="true" outlineLevel="0" collapsed="false">
      <c r="A2079" s="26" t="n">
        <v>39387</v>
      </c>
      <c r="B2079" s="1" t="n">
        <v>2007</v>
      </c>
      <c r="C2079" s="1" t="n">
        <v>11</v>
      </c>
      <c r="D2079" s="1" t="s">
        <v>52</v>
      </c>
      <c r="E2079" s="1" t="s">
        <v>14</v>
      </c>
      <c r="F2079" s="1" t="n">
        <v>794.75</v>
      </c>
      <c r="G2079" s="1" t="n">
        <f aca="false">IF(E2079=E2078,F2079/F2078-1,"")</f>
        <v>0.015006385696041</v>
      </c>
    </row>
    <row r="2080" customFormat="false" ht="14.25" hidden="false" customHeight="true" outlineLevel="0" collapsed="false">
      <c r="A2080" s="26" t="n">
        <v>39417</v>
      </c>
      <c r="B2080" s="1" t="n">
        <v>2007</v>
      </c>
      <c r="C2080" s="1" t="n">
        <v>12</v>
      </c>
      <c r="D2080" s="1" t="s">
        <v>53</v>
      </c>
      <c r="E2080" s="1" t="s">
        <v>14</v>
      </c>
      <c r="F2080" s="1" t="n">
        <v>836.5</v>
      </c>
      <c r="G2080" s="1" t="n">
        <f aca="false">IF(E2080=E2079,F2080/F2079-1,"")</f>
        <v>0.0525322428436614</v>
      </c>
    </row>
    <row r="2081" customFormat="false" ht="14.25" hidden="false" customHeight="true" outlineLevel="0" collapsed="false">
      <c r="A2081" s="26" t="n">
        <v>39448</v>
      </c>
      <c r="B2081" s="1" t="n">
        <v>2008</v>
      </c>
      <c r="C2081" s="1" t="n">
        <v>1</v>
      </c>
      <c r="D2081" s="1" t="s">
        <v>42</v>
      </c>
      <c r="E2081" s="1" t="s">
        <v>14</v>
      </c>
      <c r="F2081" s="1" t="n">
        <v>923.75</v>
      </c>
      <c r="G2081" s="1" t="n">
        <f aca="false">IF(E2081=E2080,F2081/F2080-1,"")</f>
        <v>0.10430364614465</v>
      </c>
    </row>
    <row r="2082" customFormat="false" ht="14.25" hidden="false" customHeight="true" outlineLevel="0" collapsed="false">
      <c r="A2082" s="26" t="n">
        <v>39479</v>
      </c>
      <c r="B2082" s="1" t="n">
        <v>2008</v>
      </c>
      <c r="C2082" s="1" t="n">
        <v>2</v>
      </c>
      <c r="D2082" s="1" t="s">
        <v>43</v>
      </c>
      <c r="E2082" s="1" t="s">
        <v>14</v>
      </c>
      <c r="F2082" s="1" t="n">
        <v>969</v>
      </c>
      <c r="G2082" s="1" t="n">
        <f aca="false">IF(E2082=E2081,F2082/F2081-1,"")</f>
        <v>0.0489851150202978</v>
      </c>
    </row>
    <row r="2083" customFormat="false" ht="14.25" hidden="false" customHeight="true" outlineLevel="0" collapsed="false">
      <c r="A2083" s="26" t="n">
        <v>39508</v>
      </c>
      <c r="B2083" s="1" t="n">
        <v>2008</v>
      </c>
      <c r="C2083" s="1" t="n">
        <v>3</v>
      </c>
      <c r="D2083" s="1" t="s">
        <v>44</v>
      </c>
      <c r="E2083" s="1" t="s">
        <v>14</v>
      </c>
      <c r="F2083" s="1" t="n">
        <v>937.25</v>
      </c>
      <c r="G2083" s="1" t="n">
        <f aca="false">IF(E2083=E2082,F2083/F2082-1,"")</f>
        <v>-0.032765737874097</v>
      </c>
    </row>
    <row r="2084" customFormat="false" ht="14.25" hidden="false" customHeight="true" outlineLevel="0" collapsed="false">
      <c r="A2084" s="26" t="n">
        <v>39539</v>
      </c>
      <c r="B2084" s="1" t="n">
        <v>2008</v>
      </c>
      <c r="C2084" s="1" t="n">
        <v>4</v>
      </c>
      <c r="D2084" s="1" t="s">
        <v>45</v>
      </c>
      <c r="E2084" s="1" t="s">
        <v>14</v>
      </c>
      <c r="F2084" s="1" t="n">
        <v>867.75</v>
      </c>
      <c r="G2084" s="1" t="n">
        <f aca="false">IF(E2084=E2083,F2084/F2083-1,"")</f>
        <v>-0.0741531074953321</v>
      </c>
    </row>
    <row r="2085" customFormat="false" ht="14.25" hidden="false" customHeight="true" outlineLevel="0" collapsed="false">
      <c r="A2085" s="26" t="n">
        <v>39569</v>
      </c>
      <c r="B2085" s="1" t="n">
        <v>2008</v>
      </c>
      <c r="C2085" s="1" t="n">
        <v>5</v>
      </c>
      <c r="D2085" s="1" t="s">
        <v>46</v>
      </c>
      <c r="E2085" s="1" t="s">
        <v>14</v>
      </c>
      <c r="F2085" s="1" t="n">
        <v>879.5</v>
      </c>
      <c r="G2085" s="1" t="n">
        <f aca="false">IF(E2085=E2084,F2085/F2084-1,"")</f>
        <v>0.0135407663497551</v>
      </c>
    </row>
    <row r="2086" customFormat="false" ht="14.25" hidden="false" customHeight="true" outlineLevel="0" collapsed="false">
      <c r="A2086" s="26" t="n">
        <v>39600</v>
      </c>
      <c r="B2086" s="1" t="n">
        <v>2008</v>
      </c>
      <c r="C2086" s="1" t="n">
        <v>6</v>
      </c>
      <c r="D2086" s="1" t="s">
        <v>47</v>
      </c>
      <c r="E2086" s="1" t="s">
        <v>14</v>
      </c>
      <c r="F2086" s="1" t="n">
        <v>932.75</v>
      </c>
      <c r="G2086" s="1" t="n">
        <f aca="false">IF(E2086=E2085,F2086/F2085-1,"")</f>
        <v>0.0605457646389995</v>
      </c>
    </row>
    <row r="2087" customFormat="false" ht="14.25" hidden="false" customHeight="true" outlineLevel="0" collapsed="false">
      <c r="A2087" s="26" t="n">
        <v>39630</v>
      </c>
      <c r="B2087" s="1" t="n">
        <v>2008</v>
      </c>
      <c r="C2087" s="1" t="n">
        <v>7</v>
      </c>
      <c r="D2087" s="1" t="s">
        <v>48</v>
      </c>
      <c r="E2087" s="1" t="s">
        <v>14</v>
      </c>
      <c r="F2087" s="1" t="n">
        <v>912</v>
      </c>
      <c r="G2087" s="1" t="n">
        <f aca="false">IF(E2087=E2086,F2087/F2086-1,"")</f>
        <v>-0.0222460466362905</v>
      </c>
    </row>
    <row r="2088" customFormat="false" ht="14.25" hidden="false" customHeight="true" outlineLevel="0" collapsed="false">
      <c r="A2088" s="26" t="n">
        <v>39661</v>
      </c>
      <c r="B2088" s="1" t="n">
        <v>2008</v>
      </c>
      <c r="C2088" s="1" t="n">
        <v>8</v>
      </c>
      <c r="D2088" s="1" t="s">
        <v>49</v>
      </c>
      <c r="E2088" s="1" t="s">
        <v>14</v>
      </c>
      <c r="F2088" s="1" t="n">
        <v>836.5</v>
      </c>
      <c r="G2088" s="1" t="n">
        <f aca="false">IF(E2088=E2087,F2088/F2087-1,"")</f>
        <v>-0.0827850877192983</v>
      </c>
    </row>
    <row r="2089" customFormat="false" ht="14.25" hidden="false" customHeight="true" outlineLevel="0" collapsed="false">
      <c r="A2089" s="26" t="n">
        <v>39692</v>
      </c>
      <c r="B2089" s="1" t="n">
        <v>2008</v>
      </c>
      <c r="C2089" s="1" t="n">
        <v>9</v>
      </c>
      <c r="D2089" s="1" t="s">
        <v>50</v>
      </c>
      <c r="E2089" s="1" t="s">
        <v>14</v>
      </c>
      <c r="F2089" s="1" t="n">
        <v>897</v>
      </c>
      <c r="G2089" s="1" t="n">
        <f aca="false">IF(E2089=E2088,F2089/F2088-1,"")</f>
        <v>0.0723251643753735</v>
      </c>
    </row>
    <row r="2090" customFormat="false" ht="14.25" hidden="false" customHeight="true" outlineLevel="0" collapsed="false">
      <c r="A2090" s="26" t="n">
        <v>39722</v>
      </c>
      <c r="B2090" s="1" t="n">
        <v>2008</v>
      </c>
      <c r="C2090" s="1" t="n">
        <v>10</v>
      </c>
      <c r="D2090" s="1" t="s">
        <v>51</v>
      </c>
      <c r="E2090" s="1" t="s">
        <v>14</v>
      </c>
      <c r="F2090" s="1" t="n">
        <v>728.5</v>
      </c>
      <c r="G2090" s="1" t="n">
        <f aca="false">IF(E2090=E2089,F2090/F2089-1,"")</f>
        <v>-0.187848383500557</v>
      </c>
    </row>
    <row r="2091" customFormat="false" ht="14.25" hidden="false" customHeight="true" outlineLevel="0" collapsed="false">
      <c r="A2091" s="26" t="n">
        <v>39753</v>
      </c>
      <c r="B2091" s="1" t="n">
        <v>2008</v>
      </c>
      <c r="C2091" s="1" t="n">
        <v>11</v>
      </c>
      <c r="D2091" s="1" t="s">
        <v>52</v>
      </c>
      <c r="E2091" s="1" t="s">
        <v>14</v>
      </c>
      <c r="F2091" s="1" t="n">
        <v>813.5</v>
      </c>
      <c r="G2091" s="1" t="n">
        <f aca="false">IF(E2091=E2090,F2091/F2090-1,"")</f>
        <v>0.116678105696637</v>
      </c>
    </row>
    <row r="2092" customFormat="false" ht="14.25" hidden="false" customHeight="true" outlineLevel="0" collapsed="false">
      <c r="A2092" s="26" t="n">
        <v>39783</v>
      </c>
      <c r="B2092" s="1" t="n">
        <v>2008</v>
      </c>
      <c r="C2092" s="1" t="n">
        <v>12</v>
      </c>
      <c r="D2092" s="1" t="s">
        <v>53</v>
      </c>
      <c r="E2092" s="1" t="s">
        <v>14</v>
      </c>
      <c r="F2092" s="1" t="n">
        <v>865</v>
      </c>
      <c r="G2092" s="1" t="n">
        <f aca="false">IF(E2092=E2091,F2092/F2091-1,"")</f>
        <v>0.0633066994468348</v>
      </c>
    </row>
    <row r="2093" customFormat="false" ht="14.25" hidden="false" customHeight="true" outlineLevel="0" collapsed="false">
      <c r="A2093" s="26" t="n">
        <v>39814</v>
      </c>
      <c r="B2093" s="1" t="n">
        <v>2009</v>
      </c>
      <c r="C2093" s="1" t="n">
        <v>1</v>
      </c>
      <c r="D2093" s="1" t="s">
        <v>42</v>
      </c>
      <c r="E2093" s="1" t="s">
        <v>14</v>
      </c>
      <c r="F2093" s="1" t="n">
        <v>918.5</v>
      </c>
      <c r="G2093" s="1" t="n">
        <f aca="false">IF(E2093=E2092,F2093/F2092-1,"")</f>
        <v>0.061849710982659</v>
      </c>
    </row>
    <row r="2094" customFormat="false" ht="14.25" hidden="false" customHeight="true" outlineLevel="0" collapsed="false">
      <c r="A2094" s="26" t="n">
        <v>39845</v>
      </c>
      <c r="B2094" s="1" t="n">
        <v>2009</v>
      </c>
      <c r="C2094" s="1" t="n">
        <v>2</v>
      </c>
      <c r="D2094" s="1" t="s">
        <v>43</v>
      </c>
      <c r="E2094" s="1" t="s">
        <v>14</v>
      </c>
      <c r="F2094" s="1" t="n">
        <v>943.75</v>
      </c>
      <c r="G2094" s="1" t="n">
        <f aca="false">IF(E2094=E2093,F2094/F2093-1,"")</f>
        <v>0.027490473598258</v>
      </c>
    </row>
    <row r="2095" customFormat="false" ht="14.25" hidden="false" customHeight="true" outlineLevel="0" collapsed="false">
      <c r="A2095" s="26" t="n">
        <v>39873</v>
      </c>
      <c r="B2095" s="1" t="n">
        <v>2009</v>
      </c>
      <c r="C2095" s="1" t="n">
        <v>3</v>
      </c>
      <c r="D2095" s="1" t="s">
        <v>44</v>
      </c>
      <c r="E2095" s="1" t="s">
        <v>14</v>
      </c>
      <c r="F2095" s="1" t="n">
        <v>918.5</v>
      </c>
      <c r="G2095" s="1" t="n">
        <f aca="false">IF(E2095=E2094,F2095/F2094-1,"")</f>
        <v>-0.0267549668874172</v>
      </c>
    </row>
    <row r="2096" customFormat="false" ht="14.25" hidden="false" customHeight="true" outlineLevel="0" collapsed="false">
      <c r="A2096" s="26" t="n">
        <v>39904</v>
      </c>
      <c r="B2096" s="1" t="n">
        <v>2009</v>
      </c>
      <c r="C2096" s="1" t="n">
        <v>4</v>
      </c>
      <c r="D2096" s="1" t="s">
        <v>45</v>
      </c>
      <c r="E2096" s="1" t="s">
        <v>14</v>
      </c>
      <c r="F2096" s="1" t="n">
        <v>889</v>
      </c>
      <c r="G2096" s="1" t="n">
        <f aca="false">IF(E2096=E2095,F2096/F2095-1,"")</f>
        <v>-0.0321175830157866</v>
      </c>
    </row>
    <row r="2097" customFormat="false" ht="14.25" hidden="false" customHeight="true" outlineLevel="0" collapsed="false">
      <c r="A2097" s="26" t="n">
        <v>39934</v>
      </c>
      <c r="B2097" s="1" t="n">
        <v>2009</v>
      </c>
      <c r="C2097" s="1" t="n">
        <v>5</v>
      </c>
      <c r="D2097" s="1" t="s">
        <v>46</v>
      </c>
      <c r="E2097" s="1" t="s">
        <v>14</v>
      </c>
      <c r="F2097" s="1" t="n">
        <v>972</v>
      </c>
      <c r="G2097" s="1" t="n">
        <f aca="false">IF(E2097=E2096,F2097/F2096-1,"")</f>
        <v>0.0933633295838021</v>
      </c>
    </row>
    <row r="2098" customFormat="false" ht="14.25" hidden="false" customHeight="true" outlineLevel="0" collapsed="false">
      <c r="A2098" s="26" t="n">
        <v>39965</v>
      </c>
      <c r="B2098" s="1" t="n">
        <v>2009</v>
      </c>
      <c r="C2098" s="1" t="n">
        <v>6</v>
      </c>
      <c r="D2098" s="1" t="s">
        <v>47</v>
      </c>
      <c r="E2098" s="1" t="s">
        <v>14</v>
      </c>
      <c r="F2098" s="1" t="n">
        <v>941</v>
      </c>
      <c r="G2098" s="1" t="n">
        <f aca="false">IF(E2098=E2097,F2098/F2097-1,"")</f>
        <v>-0.0318930041152263</v>
      </c>
    </row>
    <row r="2099" customFormat="false" ht="14.25" hidden="false" customHeight="true" outlineLevel="0" collapsed="false">
      <c r="A2099" s="26" t="n">
        <v>39995</v>
      </c>
      <c r="B2099" s="1" t="n">
        <v>2009</v>
      </c>
      <c r="C2099" s="1" t="n">
        <v>7</v>
      </c>
      <c r="D2099" s="1" t="s">
        <v>48</v>
      </c>
      <c r="E2099" s="1" t="s">
        <v>14</v>
      </c>
      <c r="F2099" s="1" t="n">
        <v>936.5</v>
      </c>
      <c r="G2099" s="1" t="n">
        <f aca="false">IF(E2099=E2098,F2099/F2098-1,"")</f>
        <v>-0.00478214665249732</v>
      </c>
    </row>
    <row r="2100" customFormat="false" ht="14.25" hidden="false" customHeight="true" outlineLevel="0" collapsed="false">
      <c r="A2100" s="26" t="n">
        <v>40026</v>
      </c>
      <c r="B2100" s="1" t="n">
        <v>2009</v>
      </c>
      <c r="C2100" s="1" t="n">
        <v>8</v>
      </c>
      <c r="D2100" s="1" t="s">
        <v>49</v>
      </c>
      <c r="E2100" s="1" t="s">
        <v>14</v>
      </c>
      <c r="F2100" s="1" t="n">
        <v>950.75</v>
      </c>
      <c r="G2100" s="1" t="n">
        <f aca="false">IF(E2100=E2099,F2100/F2099-1,"")</f>
        <v>0.0152162306460224</v>
      </c>
    </row>
    <row r="2101" customFormat="false" ht="14.25" hidden="false" customHeight="true" outlineLevel="0" collapsed="false">
      <c r="A2101" s="26" t="n">
        <v>40057</v>
      </c>
      <c r="B2101" s="1" t="n">
        <v>2009</v>
      </c>
      <c r="C2101" s="1" t="n">
        <v>9</v>
      </c>
      <c r="D2101" s="1" t="s">
        <v>50</v>
      </c>
      <c r="E2101" s="1" t="s">
        <v>14</v>
      </c>
      <c r="F2101" s="1" t="n">
        <v>1001.25</v>
      </c>
      <c r="G2101" s="1" t="n">
        <f aca="false">IF(E2101=E2100,F2101/F2100-1,"")</f>
        <v>0.0531159610833551</v>
      </c>
    </row>
    <row r="2102" customFormat="false" ht="14.25" hidden="false" customHeight="true" outlineLevel="0" collapsed="false">
      <c r="A2102" s="26" t="n">
        <v>40087</v>
      </c>
      <c r="B2102" s="1" t="n">
        <v>2009</v>
      </c>
      <c r="C2102" s="1" t="n">
        <v>10</v>
      </c>
      <c r="D2102" s="1" t="s">
        <v>51</v>
      </c>
      <c r="E2102" s="1" t="s">
        <v>14</v>
      </c>
      <c r="F2102" s="1" t="n">
        <v>1044.5</v>
      </c>
      <c r="G2102" s="1" t="n">
        <f aca="false">IF(E2102=E2101,F2102/F2101-1,"")</f>
        <v>0.0431960049937579</v>
      </c>
    </row>
    <row r="2103" customFormat="false" ht="14.25" hidden="false" customHeight="true" outlineLevel="0" collapsed="false">
      <c r="A2103" s="26" t="n">
        <v>40118</v>
      </c>
      <c r="B2103" s="1" t="n">
        <v>2009</v>
      </c>
      <c r="C2103" s="1" t="n">
        <v>11</v>
      </c>
      <c r="D2103" s="1" t="s">
        <v>52</v>
      </c>
      <c r="E2103" s="1" t="s">
        <v>14</v>
      </c>
      <c r="F2103" s="1" t="n">
        <v>1172</v>
      </c>
      <c r="G2103" s="1" t="n">
        <f aca="false">IF(E2103=E2102,F2103/F2102-1,"")</f>
        <v>0.122067975107707</v>
      </c>
    </row>
    <row r="2104" customFormat="false" ht="14.25" hidden="false" customHeight="true" outlineLevel="0" collapsed="false">
      <c r="A2104" s="26" t="n">
        <v>40148</v>
      </c>
      <c r="B2104" s="1" t="n">
        <v>2009</v>
      </c>
      <c r="C2104" s="1" t="n">
        <v>12</v>
      </c>
      <c r="D2104" s="1" t="s">
        <v>53</v>
      </c>
      <c r="E2104" s="1" t="s">
        <v>14</v>
      </c>
      <c r="F2104" s="1" t="n">
        <v>1104</v>
      </c>
      <c r="G2104" s="1" t="n">
        <f aca="false">IF(E2104=E2103,F2104/F2103-1,"")</f>
        <v>-0.0580204778156996</v>
      </c>
    </row>
    <row r="2105" customFormat="false" ht="14.25" hidden="false" customHeight="true" outlineLevel="0" collapsed="false">
      <c r="A2105" s="26" t="n">
        <v>40179</v>
      </c>
      <c r="B2105" s="1" t="n">
        <v>2010</v>
      </c>
      <c r="C2105" s="1" t="n">
        <v>1</v>
      </c>
      <c r="D2105" s="1" t="s">
        <v>42</v>
      </c>
      <c r="E2105" s="1" t="s">
        <v>14</v>
      </c>
      <c r="F2105" s="1" t="n">
        <v>1082.75</v>
      </c>
      <c r="G2105" s="1" t="n">
        <f aca="false">IF(E2105=E2104,F2105/F2104-1,"")</f>
        <v>-0.0192481884057971</v>
      </c>
    </row>
    <row r="2106" customFormat="false" ht="14.25" hidden="false" customHeight="true" outlineLevel="0" collapsed="false">
      <c r="A2106" s="26" t="n">
        <v>40210</v>
      </c>
      <c r="B2106" s="1" t="n">
        <v>2010</v>
      </c>
      <c r="C2106" s="1" t="n">
        <v>2</v>
      </c>
      <c r="D2106" s="1" t="s">
        <v>43</v>
      </c>
      <c r="E2106" s="1" t="s">
        <v>14</v>
      </c>
      <c r="F2106" s="1" t="n">
        <v>1112.5</v>
      </c>
      <c r="G2106" s="1" t="n">
        <f aca="false">IF(E2106=E2105,F2106/F2105-1,"")</f>
        <v>0.0274763334102979</v>
      </c>
    </row>
    <row r="2107" customFormat="false" ht="14.25" hidden="false" customHeight="true" outlineLevel="0" collapsed="false">
      <c r="A2107" s="26" t="n">
        <v>40238</v>
      </c>
      <c r="B2107" s="1" t="n">
        <v>2010</v>
      </c>
      <c r="C2107" s="1" t="n">
        <v>3</v>
      </c>
      <c r="D2107" s="1" t="s">
        <v>44</v>
      </c>
      <c r="E2107" s="1" t="s">
        <v>14</v>
      </c>
      <c r="F2107" s="1" t="n">
        <v>1109.5</v>
      </c>
      <c r="G2107" s="1" t="n">
        <f aca="false">IF(E2107=E2106,F2107/F2106-1,"")</f>
        <v>-0.00269662921348313</v>
      </c>
    </row>
    <row r="2108" customFormat="false" ht="14.25" hidden="false" customHeight="true" outlineLevel="0" collapsed="false">
      <c r="A2108" s="26" t="n">
        <v>40269</v>
      </c>
      <c r="B2108" s="1" t="n">
        <v>2010</v>
      </c>
      <c r="C2108" s="1" t="n">
        <v>4</v>
      </c>
      <c r="D2108" s="1" t="s">
        <v>45</v>
      </c>
      <c r="E2108" s="1" t="s">
        <v>14</v>
      </c>
      <c r="F2108" s="1" t="n">
        <v>1175.25</v>
      </c>
      <c r="G2108" s="1" t="n">
        <f aca="false">IF(E2108=E2107,F2108/F2107-1,"")</f>
        <v>0.0592609283461019</v>
      </c>
    </row>
    <row r="2109" customFormat="false" ht="14.25" hidden="false" customHeight="true" outlineLevel="0" collapsed="false">
      <c r="A2109" s="26" t="n">
        <v>40299</v>
      </c>
      <c r="B2109" s="1" t="n">
        <v>2010</v>
      </c>
      <c r="C2109" s="1" t="n">
        <v>5</v>
      </c>
      <c r="D2109" s="1" t="s">
        <v>46</v>
      </c>
      <c r="E2109" s="1" t="s">
        <v>14</v>
      </c>
      <c r="F2109" s="1" t="n">
        <v>1214</v>
      </c>
      <c r="G2109" s="1" t="n">
        <f aca="false">IF(E2109=E2108,F2109/F2108-1,"")</f>
        <v>0.0329717081472027</v>
      </c>
    </row>
    <row r="2110" customFormat="false" ht="14.25" hidden="false" customHeight="true" outlineLevel="0" collapsed="false">
      <c r="A2110" s="26" t="n">
        <v>40330</v>
      </c>
      <c r="B2110" s="1" t="n">
        <v>2010</v>
      </c>
      <c r="C2110" s="1" t="n">
        <v>6</v>
      </c>
      <c r="D2110" s="1" t="s">
        <v>47</v>
      </c>
      <c r="E2110" s="1" t="s">
        <v>14</v>
      </c>
      <c r="F2110" s="1" t="n">
        <v>1240.5</v>
      </c>
      <c r="G2110" s="1" t="n">
        <f aca="false">IF(E2110=E2109,F2110/F2109-1,"")</f>
        <v>0.021828665568369</v>
      </c>
    </row>
    <row r="2111" customFormat="false" ht="14.25" hidden="false" customHeight="true" outlineLevel="0" collapsed="false">
      <c r="A2111" s="26" t="n">
        <v>40360</v>
      </c>
      <c r="B2111" s="1" t="n">
        <v>2010</v>
      </c>
      <c r="C2111" s="1" t="n">
        <v>7</v>
      </c>
      <c r="D2111" s="1" t="s">
        <v>48</v>
      </c>
      <c r="E2111" s="1" t="s">
        <v>14</v>
      </c>
      <c r="F2111" s="1" t="n">
        <v>1168</v>
      </c>
      <c r="G2111" s="1" t="n">
        <f aca="false">IF(E2111=E2110,F2111/F2110-1,"")</f>
        <v>-0.0584441757355905</v>
      </c>
    </row>
    <row r="2112" customFormat="false" ht="14.25" hidden="false" customHeight="true" outlineLevel="0" collapsed="false">
      <c r="A2112" s="26" t="n">
        <v>40391</v>
      </c>
      <c r="B2112" s="1" t="n">
        <v>2010</v>
      </c>
      <c r="C2112" s="1" t="n">
        <v>8</v>
      </c>
      <c r="D2112" s="1" t="s">
        <v>49</v>
      </c>
      <c r="E2112" s="1" t="s">
        <v>14</v>
      </c>
      <c r="F2112" s="1" t="n">
        <v>1233.5</v>
      </c>
      <c r="G2112" s="1" t="n">
        <f aca="false">IF(E2112=E2111,F2112/F2111-1,"")</f>
        <v>0.0560787671232876</v>
      </c>
    </row>
    <row r="2113" customFormat="false" ht="14.25" hidden="false" customHeight="true" outlineLevel="0" collapsed="false">
      <c r="A2113" s="26" t="n">
        <v>40422</v>
      </c>
      <c r="B2113" s="1" t="n">
        <v>2010</v>
      </c>
      <c r="C2113" s="1" t="n">
        <v>9</v>
      </c>
      <c r="D2113" s="1" t="s">
        <v>50</v>
      </c>
      <c r="E2113" s="1" t="s">
        <v>14</v>
      </c>
      <c r="F2113" s="1" t="n">
        <v>1311</v>
      </c>
      <c r="G2113" s="1" t="n">
        <f aca="false">IF(E2113=E2112,F2113/F2112-1,"")</f>
        <v>0.0628293473854884</v>
      </c>
    </row>
    <row r="2114" customFormat="false" ht="14.25" hidden="false" customHeight="true" outlineLevel="0" collapsed="false">
      <c r="A2114" s="26" t="n">
        <v>40452</v>
      </c>
      <c r="B2114" s="1" t="n">
        <v>2010</v>
      </c>
      <c r="C2114" s="1" t="n">
        <v>10</v>
      </c>
      <c r="D2114" s="1" t="s">
        <v>51</v>
      </c>
      <c r="E2114" s="1" t="s">
        <v>14</v>
      </c>
      <c r="F2114" s="1" t="n">
        <v>1336.75</v>
      </c>
      <c r="G2114" s="1" t="n">
        <f aca="false">IF(E2114=E2113,F2114/F2113-1,"")</f>
        <v>0.0196414950419528</v>
      </c>
    </row>
    <row r="2115" customFormat="false" ht="14.25" hidden="false" customHeight="true" outlineLevel="0" collapsed="false">
      <c r="A2115" s="26" t="n">
        <v>40483</v>
      </c>
      <c r="B2115" s="1" t="n">
        <v>2010</v>
      </c>
      <c r="C2115" s="1" t="n">
        <v>11</v>
      </c>
      <c r="D2115" s="1" t="s">
        <v>52</v>
      </c>
      <c r="E2115" s="1" t="s">
        <v>14</v>
      </c>
      <c r="F2115" s="1" t="n">
        <v>1375</v>
      </c>
      <c r="G2115" s="1" t="n">
        <f aca="false">IF(E2115=E2114,F2115/F2114-1,"")</f>
        <v>0.0286141761735552</v>
      </c>
    </row>
    <row r="2116" customFormat="false" ht="14.25" hidden="false" customHeight="true" outlineLevel="0" collapsed="false">
      <c r="A2116" s="26" t="n">
        <v>40513</v>
      </c>
      <c r="B2116" s="1" t="n">
        <v>2010</v>
      </c>
      <c r="C2116" s="1" t="n">
        <v>12</v>
      </c>
      <c r="D2116" s="1" t="s">
        <v>53</v>
      </c>
      <c r="E2116" s="1" t="s">
        <v>14</v>
      </c>
      <c r="F2116" s="1" t="n">
        <v>1410.25</v>
      </c>
      <c r="G2116" s="1" t="n">
        <f aca="false">IF(E2116=E2115,F2116/F2115-1,"")</f>
        <v>0.0256363636363637</v>
      </c>
    </row>
    <row r="2117" customFormat="false" ht="14.25" hidden="false" customHeight="true" outlineLevel="0" collapsed="false">
      <c r="A2117" s="26" t="n">
        <v>40544</v>
      </c>
      <c r="B2117" s="1" t="n">
        <v>2011</v>
      </c>
      <c r="C2117" s="1" t="n">
        <v>1</v>
      </c>
      <c r="D2117" s="1" t="s">
        <v>42</v>
      </c>
      <c r="E2117" s="1" t="s">
        <v>14</v>
      </c>
      <c r="F2117" s="1" t="n">
        <v>1333.5</v>
      </c>
      <c r="G2117" s="1" t="n">
        <f aca="false">IF(E2117=E2116,F2117/F2116-1,"")</f>
        <v>-0.0544229746498848</v>
      </c>
    </row>
    <row r="2118" customFormat="false" ht="14.25" hidden="false" customHeight="true" outlineLevel="0" collapsed="false">
      <c r="A2118" s="26" t="n">
        <v>40575</v>
      </c>
      <c r="B2118" s="1" t="n">
        <v>2011</v>
      </c>
      <c r="C2118" s="1" t="n">
        <v>2</v>
      </c>
      <c r="D2118" s="1" t="s">
        <v>43</v>
      </c>
      <c r="E2118" s="1" t="s">
        <v>14</v>
      </c>
      <c r="F2118" s="1" t="n">
        <v>1409.75</v>
      </c>
      <c r="G2118" s="1" t="n">
        <f aca="false">IF(E2118=E2117,F2118/F2117-1,"")</f>
        <v>0.0571803524559431</v>
      </c>
    </row>
    <row r="2119" customFormat="false" ht="14.25" hidden="false" customHeight="true" outlineLevel="0" collapsed="false">
      <c r="A2119" s="26" t="n">
        <v>40603</v>
      </c>
      <c r="B2119" s="1" t="n">
        <v>2011</v>
      </c>
      <c r="C2119" s="1" t="n">
        <v>3</v>
      </c>
      <c r="D2119" s="1" t="s">
        <v>44</v>
      </c>
      <c r="E2119" s="1" t="s">
        <v>14</v>
      </c>
      <c r="F2119" s="1" t="n">
        <v>1431</v>
      </c>
      <c r="G2119" s="1" t="n">
        <f aca="false">IF(E2119=E2118,F2119/F2118-1,"")</f>
        <v>0.0150735946089733</v>
      </c>
    </row>
    <row r="2120" customFormat="false" ht="14.25" hidden="false" customHeight="true" outlineLevel="0" collapsed="false">
      <c r="A2120" s="26" t="n">
        <v>40634</v>
      </c>
      <c r="B2120" s="1" t="n">
        <v>2011</v>
      </c>
      <c r="C2120" s="1" t="n">
        <v>4</v>
      </c>
      <c r="D2120" s="1" t="s">
        <v>45</v>
      </c>
      <c r="E2120" s="1" t="s">
        <v>14</v>
      </c>
      <c r="F2120" s="1" t="n">
        <v>1531</v>
      </c>
      <c r="G2120" s="1" t="n">
        <f aca="false">IF(E2120=E2119,F2120/F2119-1,"")</f>
        <v>0.0698812019566737</v>
      </c>
    </row>
    <row r="2121" customFormat="false" ht="14.25" hidden="false" customHeight="true" outlineLevel="0" collapsed="false">
      <c r="A2121" s="26" t="n">
        <v>40664</v>
      </c>
      <c r="B2121" s="1" t="n">
        <v>2011</v>
      </c>
      <c r="C2121" s="1" t="n">
        <v>5</v>
      </c>
      <c r="D2121" s="1" t="s">
        <v>46</v>
      </c>
      <c r="E2121" s="1" t="s">
        <v>14</v>
      </c>
      <c r="F2121" s="1" t="n">
        <v>1537</v>
      </c>
      <c r="G2121" s="1" t="n">
        <f aca="false">IF(E2121=E2120,F2121/F2120-1,"")</f>
        <v>0.0039190071848465</v>
      </c>
    </row>
    <row r="2122" customFormat="false" ht="14.25" hidden="false" customHeight="true" outlineLevel="0" collapsed="false">
      <c r="A2122" s="26" t="n">
        <v>40695</v>
      </c>
      <c r="B2122" s="1" t="n">
        <v>2011</v>
      </c>
      <c r="C2122" s="1" t="n">
        <v>6</v>
      </c>
      <c r="D2122" s="1" t="s">
        <v>47</v>
      </c>
      <c r="E2122" s="1" t="s">
        <v>14</v>
      </c>
      <c r="F2122" s="1" t="n">
        <v>1508</v>
      </c>
      <c r="G2122" s="1" t="n">
        <f aca="false">IF(E2122=E2121,F2122/F2121-1,"")</f>
        <v>-0.0188679245283019</v>
      </c>
    </row>
    <row r="2123" customFormat="false" ht="14.25" hidden="false" customHeight="true" outlineLevel="0" collapsed="false">
      <c r="A2123" s="26" t="n">
        <v>40725</v>
      </c>
      <c r="B2123" s="1" t="n">
        <v>2011</v>
      </c>
      <c r="C2123" s="1" t="n">
        <v>7</v>
      </c>
      <c r="D2123" s="1" t="s">
        <v>48</v>
      </c>
      <c r="E2123" s="1" t="s">
        <v>14</v>
      </c>
      <c r="F2123" s="1" t="n">
        <v>1613.75</v>
      </c>
      <c r="G2123" s="1" t="n">
        <f aca="false">IF(E2123=E2122,F2123/F2122-1,"")</f>
        <v>0.0701259946949602</v>
      </c>
    </row>
    <row r="2124" customFormat="false" ht="14.25" hidden="false" customHeight="true" outlineLevel="0" collapsed="false">
      <c r="A2124" s="26" t="n">
        <v>40756</v>
      </c>
      <c r="B2124" s="1" t="n">
        <v>2011</v>
      </c>
      <c r="C2124" s="1" t="n">
        <v>8</v>
      </c>
      <c r="D2124" s="1" t="s">
        <v>49</v>
      </c>
      <c r="E2124" s="1" t="s">
        <v>14</v>
      </c>
      <c r="F2124" s="1" t="n">
        <v>1826</v>
      </c>
      <c r="G2124" s="1" t="n">
        <f aca="false">IF(E2124=E2123,F2124/F2123-1,"")</f>
        <v>0.13152594887684</v>
      </c>
    </row>
    <row r="2125" customFormat="false" ht="14.25" hidden="false" customHeight="true" outlineLevel="0" collapsed="false">
      <c r="A2125" s="26" t="n">
        <v>40787</v>
      </c>
      <c r="B2125" s="1" t="n">
        <v>2011</v>
      </c>
      <c r="C2125" s="1" t="n">
        <v>9</v>
      </c>
      <c r="D2125" s="1" t="s">
        <v>50</v>
      </c>
      <c r="E2125" s="1" t="s">
        <v>14</v>
      </c>
      <c r="F2125" s="1" t="n">
        <v>1629</v>
      </c>
      <c r="G2125" s="1" t="n">
        <f aca="false">IF(E2125=E2124,F2125/F2124-1,"")</f>
        <v>-0.107886089813801</v>
      </c>
    </row>
    <row r="2126" customFormat="false" ht="14.25" hidden="false" customHeight="true" outlineLevel="0" collapsed="false">
      <c r="A2126" s="26" t="n">
        <v>40817</v>
      </c>
      <c r="B2126" s="1" t="n">
        <v>2011</v>
      </c>
      <c r="C2126" s="1" t="n">
        <v>10</v>
      </c>
      <c r="D2126" s="1" t="s">
        <v>51</v>
      </c>
      <c r="E2126" s="1" t="s">
        <v>14</v>
      </c>
      <c r="F2126" s="1" t="n">
        <v>1718</v>
      </c>
      <c r="G2126" s="1" t="n">
        <f aca="false">IF(E2126=E2125,F2126/F2125-1,"")</f>
        <v>0.05463474524248</v>
      </c>
    </row>
    <row r="2127" customFormat="false" ht="14.25" hidden="false" customHeight="true" outlineLevel="0" collapsed="false">
      <c r="A2127" s="26" t="n">
        <v>40848</v>
      </c>
      <c r="B2127" s="1" t="n">
        <v>2011</v>
      </c>
      <c r="C2127" s="1" t="n">
        <v>11</v>
      </c>
      <c r="D2127" s="1" t="s">
        <v>52</v>
      </c>
      <c r="E2127" s="1" t="s">
        <v>14</v>
      </c>
      <c r="F2127" s="1" t="n">
        <v>1704</v>
      </c>
      <c r="G2127" s="1" t="n">
        <f aca="false">IF(E2127=E2126,F2127/F2126-1,"")</f>
        <v>-0.00814901047729921</v>
      </c>
    </row>
    <row r="2128" customFormat="false" ht="14.25" hidden="false" customHeight="true" outlineLevel="0" collapsed="false">
      <c r="A2128" s="26" t="n">
        <v>40878</v>
      </c>
      <c r="B2128" s="1" t="n">
        <v>2011</v>
      </c>
      <c r="C2128" s="1" t="n">
        <v>12</v>
      </c>
      <c r="D2128" s="1" t="s">
        <v>53</v>
      </c>
      <c r="E2128" s="1" t="s">
        <v>14</v>
      </c>
      <c r="F2128" s="1" t="n">
        <v>1574.5</v>
      </c>
      <c r="G2128" s="1" t="n">
        <f aca="false">IF(E2128=E2127,F2128/F2127-1,"")</f>
        <v>-0.0759976525821596</v>
      </c>
    </row>
    <row r="2129" customFormat="false" ht="14.25" hidden="false" customHeight="true" outlineLevel="0" collapsed="false">
      <c r="A2129" s="26" t="n">
        <v>40909</v>
      </c>
      <c r="B2129" s="1" t="n">
        <v>2012</v>
      </c>
      <c r="C2129" s="1" t="n">
        <v>1</v>
      </c>
      <c r="D2129" s="1" t="s">
        <v>42</v>
      </c>
      <c r="E2129" s="1" t="s">
        <v>14</v>
      </c>
      <c r="F2129" s="1" t="n">
        <v>1738</v>
      </c>
      <c r="G2129" s="1" t="n">
        <f aca="false">IF(E2129=E2128,F2129/F2128-1,"")</f>
        <v>0.103842489679263</v>
      </c>
    </row>
    <row r="2130" customFormat="false" ht="14.25" hidden="false" customHeight="true" outlineLevel="0" collapsed="false">
      <c r="A2130" s="26" t="n">
        <v>40940</v>
      </c>
      <c r="B2130" s="1" t="n">
        <v>2012</v>
      </c>
      <c r="C2130" s="1" t="n">
        <v>2</v>
      </c>
      <c r="D2130" s="1" t="s">
        <v>43</v>
      </c>
      <c r="E2130" s="1" t="s">
        <v>14</v>
      </c>
      <c r="F2130" s="1" t="n">
        <v>1788</v>
      </c>
      <c r="G2130" s="1" t="n">
        <f aca="false">IF(E2130=E2129,F2130/F2129-1,"")</f>
        <v>0.0287686996547756</v>
      </c>
    </row>
    <row r="2131" customFormat="false" ht="14.25" hidden="false" customHeight="true" outlineLevel="0" collapsed="false">
      <c r="A2131" s="26" t="n">
        <v>40969</v>
      </c>
      <c r="B2131" s="1" t="n">
        <v>2012</v>
      </c>
      <c r="C2131" s="1" t="n">
        <v>3</v>
      </c>
      <c r="D2131" s="1" t="s">
        <v>44</v>
      </c>
      <c r="E2131" s="1" t="s">
        <v>14</v>
      </c>
      <c r="F2131" s="1" t="n">
        <v>1660.75</v>
      </c>
      <c r="G2131" s="1" t="n">
        <f aca="false">IF(E2131=E2130,F2131/F2130-1,"")</f>
        <v>-0.071168903803132</v>
      </c>
    </row>
    <row r="2132" customFormat="false" ht="14.25" hidden="false" customHeight="true" outlineLevel="0" collapsed="false">
      <c r="A2132" s="26" t="n">
        <v>41000</v>
      </c>
      <c r="B2132" s="1" t="n">
        <v>2012</v>
      </c>
      <c r="C2132" s="1" t="n">
        <v>4</v>
      </c>
      <c r="D2132" s="1" t="s">
        <v>45</v>
      </c>
      <c r="E2132" s="1" t="s">
        <v>14</v>
      </c>
      <c r="F2132" s="1" t="n">
        <v>1662.5</v>
      </c>
      <c r="G2132" s="1" t="n">
        <f aca="false">IF(E2132=E2131,F2132/F2131-1,"")</f>
        <v>0.00105374077976816</v>
      </c>
    </row>
    <row r="2133" customFormat="false" ht="14.25" hidden="false" customHeight="true" outlineLevel="0" collapsed="false">
      <c r="A2133" s="26" t="n">
        <v>41030</v>
      </c>
      <c r="B2133" s="1" t="n">
        <v>2012</v>
      </c>
      <c r="C2133" s="1" t="n">
        <v>5</v>
      </c>
      <c r="D2133" s="1" t="s">
        <v>46</v>
      </c>
      <c r="E2133" s="1" t="s">
        <v>14</v>
      </c>
      <c r="F2133" s="1" t="n">
        <v>1567.5</v>
      </c>
      <c r="G2133" s="1" t="n">
        <f aca="false">IF(E2133=E2132,F2133/F2132-1,"")</f>
        <v>-0.0571428571428572</v>
      </c>
    </row>
    <row r="2134" customFormat="false" ht="14.25" hidden="false" customHeight="true" outlineLevel="0" collapsed="false">
      <c r="A2134" s="26" t="n">
        <v>41061</v>
      </c>
      <c r="B2134" s="1" t="n">
        <v>2012</v>
      </c>
      <c r="C2134" s="1" t="n">
        <v>6</v>
      </c>
      <c r="D2134" s="1" t="s">
        <v>47</v>
      </c>
      <c r="E2134" s="1" t="s">
        <v>14</v>
      </c>
      <c r="F2134" s="1" t="n">
        <v>1569.5</v>
      </c>
      <c r="G2134" s="1" t="n">
        <f aca="false">IF(E2134=E2133,F2134/F2133-1,"")</f>
        <v>0.00127591706539065</v>
      </c>
    </row>
    <row r="2135" customFormat="false" ht="14.25" hidden="false" customHeight="true" outlineLevel="0" collapsed="false">
      <c r="A2135" s="26" t="n">
        <v>41091</v>
      </c>
      <c r="B2135" s="1" t="n">
        <v>2012</v>
      </c>
      <c r="C2135" s="1" t="n">
        <v>7</v>
      </c>
      <c r="D2135" s="1" t="s">
        <v>48</v>
      </c>
      <c r="E2135" s="1" t="s">
        <v>14</v>
      </c>
      <c r="F2135" s="1" t="n">
        <v>1622.75</v>
      </c>
      <c r="G2135" s="1" t="n">
        <f aca="false">IF(E2135=E2134,F2135/F2134-1,"")</f>
        <v>0.0339280025485824</v>
      </c>
    </row>
    <row r="2136" customFormat="false" ht="14.25" hidden="false" customHeight="true" outlineLevel="0" collapsed="false">
      <c r="A2136" s="26" t="n">
        <v>41122</v>
      </c>
      <c r="B2136" s="1" t="n">
        <v>2012</v>
      </c>
      <c r="C2136" s="1" t="n">
        <v>8</v>
      </c>
      <c r="D2136" s="1" t="s">
        <v>49</v>
      </c>
      <c r="E2136" s="1" t="s">
        <v>14</v>
      </c>
      <c r="F2136" s="1" t="n">
        <v>1657.75</v>
      </c>
      <c r="G2136" s="1" t="n">
        <f aca="false">IF(E2136=E2135,F2136/F2135-1,"")</f>
        <v>0.0215683253735941</v>
      </c>
    </row>
    <row r="2137" customFormat="false" ht="14.25" hidden="false" customHeight="true" outlineLevel="0" collapsed="false">
      <c r="A2137" s="26" t="n">
        <v>41153</v>
      </c>
      <c r="B2137" s="1" t="n">
        <v>2012</v>
      </c>
      <c r="C2137" s="1" t="n">
        <v>9</v>
      </c>
      <c r="D2137" s="1" t="s">
        <v>50</v>
      </c>
      <c r="E2137" s="1" t="s">
        <v>14</v>
      </c>
      <c r="F2137" s="1" t="n">
        <v>1781</v>
      </c>
      <c r="G2137" s="1" t="n">
        <f aca="false">IF(E2137=E2136,F2137/F2136-1,"")</f>
        <v>0.0743477605187755</v>
      </c>
    </row>
    <row r="2138" customFormat="false" ht="14.25" hidden="false" customHeight="true" outlineLevel="0" collapsed="false">
      <c r="A2138" s="26" t="n">
        <v>41183</v>
      </c>
      <c r="B2138" s="1" t="n">
        <v>2012</v>
      </c>
      <c r="C2138" s="1" t="n">
        <v>10</v>
      </c>
      <c r="D2138" s="1" t="s">
        <v>51</v>
      </c>
      <c r="E2138" s="1" t="s">
        <v>14</v>
      </c>
      <c r="F2138" s="1" t="n">
        <v>1718</v>
      </c>
      <c r="G2138" s="1" t="n">
        <f aca="false">IF(E2138=E2137,F2138/F2137-1,"")</f>
        <v>-0.0353733857383493</v>
      </c>
    </row>
    <row r="2139" customFormat="false" ht="14.25" hidden="false" customHeight="true" outlineLevel="0" collapsed="false">
      <c r="A2139" s="26" t="n">
        <v>41214</v>
      </c>
      <c r="B2139" s="1" t="n">
        <v>2012</v>
      </c>
      <c r="C2139" s="1" t="n">
        <v>11</v>
      </c>
      <c r="D2139" s="1" t="s">
        <v>52</v>
      </c>
      <c r="E2139" s="1" t="s">
        <v>14</v>
      </c>
      <c r="F2139" s="1" t="n">
        <v>1728.25</v>
      </c>
      <c r="G2139" s="1" t="n">
        <f aca="false">IF(E2139=E2138,F2139/F2138-1,"")</f>
        <v>0.00596623981373701</v>
      </c>
    </row>
    <row r="2140" customFormat="false" ht="14.25" hidden="false" customHeight="true" outlineLevel="0" collapsed="false">
      <c r="A2140" s="26" t="n">
        <v>41244</v>
      </c>
      <c r="B2140" s="1" t="n">
        <v>2012</v>
      </c>
      <c r="C2140" s="1" t="n">
        <v>12</v>
      </c>
      <c r="D2140" s="1" t="s">
        <v>53</v>
      </c>
      <c r="E2140" s="1" t="s">
        <v>14</v>
      </c>
      <c r="F2140" s="1" t="n">
        <v>1664</v>
      </c>
      <c r="G2140" s="1" t="n">
        <f aca="false">IF(E2140=E2139,F2140/F2139-1,"")</f>
        <v>-0.037176334442355</v>
      </c>
    </row>
    <row r="2141" customFormat="false" ht="14.25" hidden="false" customHeight="true" outlineLevel="0" collapsed="false">
      <c r="A2141" s="26" t="n">
        <v>41275</v>
      </c>
      <c r="B2141" s="1" t="n">
        <v>2013</v>
      </c>
      <c r="C2141" s="1" t="n">
        <v>1</v>
      </c>
      <c r="D2141" s="1" t="s">
        <v>42</v>
      </c>
      <c r="E2141" s="1" t="s">
        <v>14</v>
      </c>
      <c r="F2141" s="1" t="n">
        <v>1674.5</v>
      </c>
      <c r="G2141" s="1" t="n">
        <f aca="false">IF(E2141=E2140,F2141/F2140-1,"")</f>
        <v>0.00631009615384626</v>
      </c>
    </row>
    <row r="2142" customFormat="false" ht="14.25" hidden="false" customHeight="true" outlineLevel="0" collapsed="false">
      <c r="A2142" s="26" t="n">
        <v>41306</v>
      </c>
      <c r="B2142" s="1" t="n">
        <v>2013</v>
      </c>
      <c r="C2142" s="1" t="n">
        <v>2</v>
      </c>
      <c r="D2142" s="1" t="s">
        <v>43</v>
      </c>
      <c r="E2142" s="1" t="s">
        <v>14</v>
      </c>
      <c r="F2142" s="1" t="n">
        <v>1591</v>
      </c>
      <c r="G2142" s="1" t="n">
        <f aca="false">IF(E2142=E2141,F2142/F2141-1,"")</f>
        <v>-0.0498656315318006</v>
      </c>
    </row>
    <row r="2143" customFormat="false" ht="14.25" hidden="false" customHeight="true" outlineLevel="0" collapsed="false">
      <c r="A2143" s="26" t="n">
        <v>41334</v>
      </c>
      <c r="B2143" s="1" t="n">
        <v>2013</v>
      </c>
      <c r="C2143" s="1" t="n">
        <v>3</v>
      </c>
      <c r="D2143" s="1" t="s">
        <v>44</v>
      </c>
      <c r="E2143" s="1" t="s">
        <v>14</v>
      </c>
      <c r="F2143" s="1" t="n">
        <v>1602.5</v>
      </c>
      <c r="G2143" s="1" t="n">
        <f aca="false">IF(E2143=E2142,F2143/F2142-1,"")</f>
        <v>0.00722815839094904</v>
      </c>
    </row>
    <row r="2144" customFormat="false" ht="14.25" hidden="false" customHeight="true" outlineLevel="0" collapsed="false">
      <c r="A2144" s="26" t="n">
        <v>41365</v>
      </c>
      <c r="B2144" s="1" t="n">
        <v>2013</v>
      </c>
      <c r="C2144" s="1" t="n">
        <v>4</v>
      </c>
      <c r="D2144" s="1" t="s">
        <v>45</v>
      </c>
      <c r="E2144" s="1" t="s">
        <v>14</v>
      </c>
      <c r="F2144" s="1" t="n">
        <v>1472.75</v>
      </c>
      <c r="G2144" s="1" t="n">
        <f aca="false">IF(E2144=E2143,F2144/F2143-1,"")</f>
        <v>-0.0809672386895476</v>
      </c>
    </row>
    <row r="2145" customFormat="false" ht="14.25" hidden="false" customHeight="true" outlineLevel="0" collapsed="false">
      <c r="A2145" s="26" t="n">
        <v>41395</v>
      </c>
      <c r="B2145" s="1" t="n">
        <v>2013</v>
      </c>
      <c r="C2145" s="1" t="n">
        <v>5</v>
      </c>
      <c r="D2145" s="1" t="s">
        <v>46</v>
      </c>
      <c r="E2145" s="1" t="s">
        <v>14</v>
      </c>
      <c r="F2145" s="1" t="n">
        <v>1410.25</v>
      </c>
      <c r="G2145" s="1" t="n">
        <f aca="false">IF(E2145=E2144,F2145/F2144-1,"")</f>
        <v>-0.0424376167034459</v>
      </c>
    </row>
    <row r="2146" customFormat="false" ht="14.25" hidden="false" customHeight="true" outlineLevel="0" collapsed="false">
      <c r="A2146" s="26" t="n">
        <v>41426</v>
      </c>
      <c r="B2146" s="1" t="n">
        <v>2013</v>
      </c>
      <c r="C2146" s="1" t="n">
        <v>6</v>
      </c>
      <c r="D2146" s="1" t="s">
        <v>47</v>
      </c>
      <c r="E2146" s="1" t="s">
        <v>14</v>
      </c>
      <c r="F2146" s="1" t="n">
        <v>1203.25</v>
      </c>
      <c r="G2146" s="1" t="n">
        <f aca="false">IF(E2146=E2145,F2146/F2145-1,"")</f>
        <v>-0.146782485374934</v>
      </c>
    </row>
    <row r="2147" customFormat="false" ht="14.25" hidden="false" customHeight="true" outlineLevel="0" collapsed="false">
      <c r="A2147" s="26" t="n">
        <v>41456</v>
      </c>
      <c r="B2147" s="1" t="n">
        <v>2013</v>
      </c>
      <c r="C2147" s="1" t="n">
        <v>7</v>
      </c>
      <c r="D2147" s="1" t="s">
        <v>48</v>
      </c>
      <c r="E2147" s="1" t="s">
        <v>14</v>
      </c>
      <c r="F2147" s="1" t="n">
        <v>1331.5</v>
      </c>
      <c r="G2147" s="1" t="n">
        <f aca="false">IF(E2147=E2146,F2147/F2146-1,"")</f>
        <v>0.106586328693123</v>
      </c>
    </row>
    <row r="2148" customFormat="false" ht="14.25" hidden="false" customHeight="true" outlineLevel="0" collapsed="false">
      <c r="A2148" s="26" t="n">
        <v>41487</v>
      </c>
      <c r="B2148" s="1" t="n">
        <v>2013</v>
      </c>
      <c r="C2148" s="1" t="n">
        <v>8</v>
      </c>
      <c r="D2148" s="1" t="s">
        <v>49</v>
      </c>
      <c r="E2148" s="1" t="s">
        <v>14</v>
      </c>
      <c r="F2148" s="1" t="n">
        <v>1392.75</v>
      </c>
      <c r="G2148" s="1" t="n">
        <f aca="false">IF(E2148=E2147,F2148/F2147-1,"")</f>
        <v>0.0460007510326699</v>
      </c>
    </row>
    <row r="2149" customFormat="false" ht="14.25" hidden="false" customHeight="true" outlineLevel="0" collapsed="false">
      <c r="A2149" s="26" t="n">
        <v>41518</v>
      </c>
      <c r="B2149" s="1" t="n">
        <v>2013</v>
      </c>
      <c r="C2149" s="1" t="n">
        <v>9</v>
      </c>
      <c r="D2149" s="1" t="s">
        <v>50</v>
      </c>
      <c r="E2149" s="1" t="s">
        <v>14</v>
      </c>
      <c r="F2149" s="1" t="n">
        <v>1335.75</v>
      </c>
      <c r="G2149" s="1" t="n">
        <f aca="false">IF(E2149=E2148,F2149/F2148-1,"")</f>
        <v>-0.040926225094238</v>
      </c>
    </row>
    <row r="2150" customFormat="false" ht="14.25" hidden="false" customHeight="true" outlineLevel="0" collapsed="false">
      <c r="A2150" s="26" t="n">
        <v>41548</v>
      </c>
      <c r="B2150" s="1" t="n">
        <v>2013</v>
      </c>
      <c r="C2150" s="1" t="n">
        <v>10</v>
      </c>
      <c r="D2150" s="1" t="s">
        <v>51</v>
      </c>
      <c r="E2150" s="1" t="s">
        <v>14</v>
      </c>
      <c r="F2150" s="1" t="n">
        <v>1333.75</v>
      </c>
      <c r="G2150" s="1" t="n">
        <f aca="false">IF(E2150=E2149,F2150/F2149-1,"")</f>
        <v>-0.00149728616881906</v>
      </c>
    </row>
    <row r="2151" customFormat="false" ht="14.25" hidden="false" customHeight="true" outlineLevel="0" collapsed="false">
      <c r="A2151" s="26" t="n">
        <v>41579</v>
      </c>
      <c r="B2151" s="1" t="n">
        <v>2013</v>
      </c>
      <c r="C2151" s="1" t="n">
        <v>11</v>
      </c>
      <c r="D2151" s="1" t="s">
        <v>52</v>
      </c>
      <c r="E2151" s="1" t="s">
        <v>14</v>
      </c>
      <c r="F2151" s="1" t="n">
        <v>1245.25</v>
      </c>
      <c r="G2151" s="1" t="n">
        <f aca="false">IF(E2151=E2150,F2151/F2150-1,"")</f>
        <v>-0.0663542642924087</v>
      </c>
    </row>
    <row r="2152" customFormat="false" ht="14.25" hidden="false" customHeight="true" outlineLevel="0" collapsed="false">
      <c r="A2152" s="26" t="n">
        <v>41609</v>
      </c>
      <c r="B2152" s="1" t="n">
        <v>2013</v>
      </c>
      <c r="C2152" s="1" t="n">
        <v>12</v>
      </c>
      <c r="D2152" s="1" t="s">
        <v>53</v>
      </c>
      <c r="E2152" s="1" t="s">
        <v>14</v>
      </c>
      <c r="F2152" s="1" t="n">
        <v>1201.5</v>
      </c>
      <c r="G2152" s="1" t="n">
        <f aca="false">IF(E2152=E2151,F2152/F2151-1,"")</f>
        <v>-0.0351335073278458</v>
      </c>
    </row>
    <row r="2153" customFormat="false" ht="14.25" hidden="false" customHeight="true" outlineLevel="0" collapsed="false">
      <c r="A2153" s="26" t="n">
        <v>41640</v>
      </c>
      <c r="B2153" s="1" t="n">
        <v>2014</v>
      </c>
      <c r="C2153" s="1" t="n">
        <v>1</v>
      </c>
      <c r="D2153" s="1" t="s">
        <v>42</v>
      </c>
      <c r="E2153" s="1" t="s">
        <v>14</v>
      </c>
      <c r="F2153" s="1" t="n">
        <v>1246.5</v>
      </c>
      <c r="G2153" s="1" t="n">
        <f aca="false">IF(E2153=E2152,F2153/F2152-1,"")</f>
        <v>0.0374531835205993</v>
      </c>
    </row>
    <row r="2154" customFormat="false" ht="14.25" hidden="false" customHeight="true" outlineLevel="0" collapsed="false">
      <c r="A2154" s="26" t="n">
        <v>41671</v>
      </c>
      <c r="B2154" s="1" t="n">
        <v>2014</v>
      </c>
      <c r="C2154" s="1" t="n">
        <v>2</v>
      </c>
      <c r="D2154" s="1" t="s">
        <v>43</v>
      </c>
      <c r="E2154" s="1" t="s">
        <v>14</v>
      </c>
      <c r="F2154" s="1" t="n">
        <v>1327.75</v>
      </c>
      <c r="G2154" s="1" t="n">
        <f aca="false">IF(E2154=E2153,F2154/F2153-1,"")</f>
        <v>0.0651825110308866</v>
      </c>
    </row>
    <row r="2155" customFormat="false" ht="14.25" hidden="false" customHeight="true" outlineLevel="0" collapsed="false">
      <c r="A2155" s="26" t="n">
        <v>41699</v>
      </c>
      <c r="B2155" s="1" t="n">
        <v>2014</v>
      </c>
      <c r="C2155" s="1" t="n">
        <v>3</v>
      </c>
      <c r="D2155" s="1" t="s">
        <v>44</v>
      </c>
      <c r="E2155" s="1" t="s">
        <v>14</v>
      </c>
      <c r="F2155" s="1" t="n">
        <v>1294</v>
      </c>
      <c r="G2155" s="1" t="n">
        <f aca="false">IF(E2155=E2154,F2155/F2154-1,"")</f>
        <v>-0.0254189418188665</v>
      </c>
    </row>
    <row r="2156" customFormat="false" ht="14.25" hidden="false" customHeight="true" outlineLevel="0" collapsed="false">
      <c r="A2156" s="26" t="n">
        <v>41730</v>
      </c>
      <c r="B2156" s="1" t="n">
        <v>2014</v>
      </c>
      <c r="C2156" s="1" t="n">
        <v>4</v>
      </c>
      <c r="D2156" s="1" t="s">
        <v>45</v>
      </c>
      <c r="E2156" s="1" t="s">
        <v>14</v>
      </c>
      <c r="F2156" s="1" t="n">
        <v>1292</v>
      </c>
      <c r="G2156" s="1" t="n">
        <f aca="false">IF(E2156=E2155,F2156/F2155-1,"")</f>
        <v>-0.00154559505409579</v>
      </c>
    </row>
    <row r="2157" customFormat="false" ht="14.25" hidden="false" customHeight="true" outlineLevel="0" collapsed="false">
      <c r="A2157" s="26" t="n">
        <v>41760</v>
      </c>
      <c r="B2157" s="1" t="n">
        <v>2014</v>
      </c>
      <c r="C2157" s="1" t="n">
        <v>5</v>
      </c>
      <c r="D2157" s="1" t="s">
        <v>46</v>
      </c>
      <c r="E2157" s="1" t="s">
        <v>14</v>
      </c>
      <c r="F2157" s="1" t="n">
        <v>1254</v>
      </c>
      <c r="G2157" s="1" t="n">
        <f aca="false">IF(E2157=E2156,F2157/F2156-1,"")</f>
        <v>-0.0294117647058824</v>
      </c>
    </row>
    <row r="2158" customFormat="false" ht="14.25" hidden="false" customHeight="true" outlineLevel="0" collapsed="false">
      <c r="A2158" s="26" t="n">
        <v>41791</v>
      </c>
      <c r="B2158" s="1" t="n">
        <v>2014</v>
      </c>
      <c r="C2158" s="1" t="n">
        <v>6</v>
      </c>
      <c r="D2158" s="1" t="s">
        <v>47</v>
      </c>
      <c r="E2158" s="1" t="s">
        <v>14</v>
      </c>
      <c r="F2158" s="1" t="n">
        <v>1313</v>
      </c>
      <c r="G2158" s="1" t="n">
        <f aca="false">IF(E2158=E2157,F2158/F2157-1,"")</f>
        <v>0.0470494417862839</v>
      </c>
    </row>
    <row r="2159" customFormat="false" ht="14.25" hidden="false" customHeight="true" outlineLevel="0" collapsed="false">
      <c r="A2159" s="26" t="n">
        <v>41821</v>
      </c>
      <c r="B2159" s="1" t="n">
        <v>2014</v>
      </c>
      <c r="C2159" s="1" t="n">
        <v>7</v>
      </c>
      <c r="D2159" s="1" t="s">
        <v>48</v>
      </c>
      <c r="E2159" s="1" t="s">
        <v>14</v>
      </c>
      <c r="F2159" s="1" t="n">
        <v>1295</v>
      </c>
      <c r="G2159" s="1" t="n">
        <f aca="false">IF(E2159=E2158,F2159/F2158-1,"")</f>
        <v>-0.0137090632140137</v>
      </c>
    </row>
    <row r="2160" customFormat="false" ht="14.25" hidden="false" customHeight="true" outlineLevel="0" collapsed="false">
      <c r="A2160" s="26" t="n">
        <v>41852</v>
      </c>
      <c r="B2160" s="1" t="n">
        <v>2014</v>
      </c>
      <c r="C2160" s="1" t="n">
        <v>8</v>
      </c>
      <c r="D2160" s="1" t="s">
        <v>49</v>
      </c>
      <c r="E2160" s="1" t="s">
        <v>14</v>
      </c>
      <c r="F2160" s="1" t="n">
        <v>1285.75</v>
      </c>
      <c r="G2160" s="1" t="n">
        <f aca="false">IF(E2160=E2159,F2160/F2159-1,"")</f>
        <v>-0.00714285714285712</v>
      </c>
    </row>
    <row r="2161" customFormat="false" ht="14.25" hidden="false" customHeight="true" outlineLevel="0" collapsed="false">
      <c r="A2161" s="26" t="n">
        <v>41883</v>
      </c>
      <c r="B2161" s="1" t="n">
        <v>2014</v>
      </c>
      <c r="C2161" s="1" t="n">
        <v>9</v>
      </c>
      <c r="D2161" s="1" t="s">
        <v>50</v>
      </c>
      <c r="E2161" s="1" t="s">
        <v>14</v>
      </c>
      <c r="F2161" s="1" t="n">
        <v>1210</v>
      </c>
      <c r="G2161" s="1" t="n">
        <f aca="false">IF(E2161=E2160,F2161/F2160-1,"")</f>
        <v>-0.0589150301380518</v>
      </c>
    </row>
    <row r="2162" customFormat="false" ht="14.25" hidden="false" customHeight="true" outlineLevel="0" collapsed="false">
      <c r="A2162" s="26" t="n">
        <v>41913</v>
      </c>
      <c r="B2162" s="1" t="n">
        <v>2014</v>
      </c>
      <c r="C2162" s="1" t="n">
        <v>10</v>
      </c>
      <c r="D2162" s="1" t="s">
        <v>51</v>
      </c>
      <c r="E2162" s="1" t="s">
        <v>14</v>
      </c>
      <c r="F2162" s="1" t="n">
        <v>1173.25</v>
      </c>
      <c r="G2162" s="1" t="n">
        <f aca="false">IF(E2162=E2161,F2162/F2161-1,"")</f>
        <v>-0.0303719008264463</v>
      </c>
    </row>
    <row r="2163" customFormat="false" ht="14.25" hidden="false" customHeight="true" outlineLevel="0" collapsed="false">
      <c r="A2163" s="26" t="n">
        <v>41944</v>
      </c>
      <c r="B2163" s="1" t="n">
        <v>2014</v>
      </c>
      <c r="C2163" s="1" t="n">
        <v>11</v>
      </c>
      <c r="D2163" s="1" t="s">
        <v>52</v>
      </c>
      <c r="E2163" s="1" t="s">
        <v>14</v>
      </c>
      <c r="F2163" s="1" t="n">
        <v>1184.5</v>
      </c>
      <c r="G2163" s="1" t="n">
        <f aca="false">IF(E2163=E2162,F2163/F2162-1,"")</f>
        <v>0.00958874920093766</v>
      </c>
    </row>
    <row r="2164" customFormat="false" ht="14.25" hidden="false" customHeight="true" outlineLevel="0" collapsed="false">
      <c r="A2164" s="26" t="n">
        <v>41974</v>
      </c>
      <c r="B2164" s="1" t="n">
        <v>2014</v>
      </c>
      <c r="C2164" s="1" t="n">
        <v>12</v>
      </c>
      <c r="D2164" s="1" t="s">
        <v>53</v>
      </c>
      <c r="E2164" s="1" t="s">
        <v>14</v>
      </c>
      <c r="F2164" s="1" t="n">
        <v>1199.25</v>
      </c>
      <c r="G2164" s="1" t="n">
        <f aca="false">IF(E2164=E2163,F2164/F2163-1,"")</f>
        <v>0.0124525116082734</v>
      </c>
    </row>
    <row r="2165" customFormat="false" ht="14.25" hidden="false" customHeight="true" outlineLevel="0" collapsed="false">
      <c r="A2165" s="26" t="n">
        <v>42005</v>
      </c>
      <c r="B2165" s="1" t="n">
        <v>2015</v>
      </c>
      <c r="C2165" s="1" t="n">
        <v>1</v>
      </c>
      <c r="D2165" s="1" t="s">
        <v>42</v>
      </c>
      <c r="E2165" s="1" t="s">
        <v>14</v>
      </c>
      <c r="F2165" s="1" t="n">
        <v>1263.5</v>
      </c>
      <c r="G2165" s="1" t="n">
        <f aca="false">IF(E2165=E2164,F2165/F2164-1,"")</f>
        <v>0.0535751511361267</v>
      </c>
    </row>
    <row r="2166" customFormat="false" ht="14.25" hidden="false" customHeight="true" outlineLevel="0" collapsed="false">
      <c r="A2166" s="26" t="n">
        <v>42036</v>
      </c>
      <c r="B2166" s="1" t="n">
        <v>2015</v>
      </c>
      <c r="C2166" s="1" t="n">
        <v>2</v>
      </c>
      <c r="D2166" s="1" t="s">
        <v>43</v>
      </c>
      <c r="E2166" s="1" t="s">
        <v>14</v>
      </c>
      <c r="F2166" s="1" t="n">
        <v>1205</v>
      </c>
      <c r="G2166" s="1" t="n">
        <f aca="false">IF(E2166=E2165,F2166/F2165-1,"")</f>
        <v>-0.0462999604273843</v>
      </c>
    </row>
    <row r="2167" customFormat="false" ht="14.25" hidden="false" customHeight="true" outlineLevel="0" collapsed="false">
      <c r="A2167" s="26" t="n">
        <v>42064</v>
      </c>
      <c r="B2167" s="1" t="n">
        <v>2015</v>
      </c>
      <c r="C2167" s="1" t="n">
        <v>3</v>
      </c>
      <c r="D2167" s="1" t="s">
        <v>44</v>
      </c>
      <c r="E2167" s="1" t="s">
        <v>14</v>
      </c>
      <c r="F2167" s="1" t="n">
        <v>1179.25</v>
      </c>
      <c r="G2167" s="1" t="n">
        <f aca="false">IF(E2167=E2166,F2167/F2166-1,"")</f>
        <v>-0.0213692946058092</v>
      </c>
    </row>
    <row r="2168" customFormat="false" ht="14.25" hidden="false" customHeight="true" outlineLevel="0" collapsed="false">
      <c r="A2168" s="26" t="n">
        <v>42095</v>
      </c>
      <c r="B2168" s="1" t="n">
        <v>2015</v>
      </c>
      <c r="C2168" s="1" t="n">
        <v>4</v>
      </c>
      <c r="D2168" s="1" t="s">
        <v>45</v>
      </c>
      <c r="E2168" s="1" t="s">
        <v>14</v>
      </c>
      <c r="F2168" s="1" t="n">
        <v>1204.3</v>
      </c>
      <c r="G2168" s="1" t="n">
        <f aca="false">IF(E2168=E2167,F2168/F2167-1,"")</f>
        <v>0.0212423150307399</v>
      </c>
    </row>
    <row r="2169" customFormat="false" ht="14.25" hidden="false" customHeight="true" outlineLevel="0" collapsed="false">
      <c r="A2169" s="26" t="n">
        <v>42125</v>
      </c>
      <c r="B2169" s="1" t="n">
        <v>2015</v>
      </c>
      <c r="C2169" s="1" t="n">
        <v>5</v>
      </c>
      <c r="D2169" s="1" t="s">
        <v>46</v>
      </c>
      <c r="E2169" s="1" t="s">
        <v>14</v>
      </c>
      <c r="F2169" s="1" t="n">
        <v>1189.8</v>
      </c>
      <c r="G2169" s="1" t="n">
        <f aca="false">IF(E2169=E2168,F2169/F2168-1,"")</f>
        <v>-0.0120401893215976</v>
      </c>
    </row>
    <row r="2170" customFormat="false" ht="14.25" hidden="false" customHeight="true" outlineLevel="0" collapsed="false">
      <c r="A2170" s="26" t="n">
        <v>42156</v>
      </c>
      <c r="B2170" s="1" t="n">
        <v>2015</v>
      </c>
      <c r="C2170" s="1" t="n">
        <v>6</v>
      </c>
      <c r="D2170" s="1" t="s">
        <v>47</v>
      </c>
      <c r="E2170" s="1" t="s">
        <v>14</v>
      </c>
      <c r="F2170" s="1" t="n">
        <v>1171.8</v>
      </c>
      <c r="G2170" s="1" t="n">
        <f aca="false">IF(E2170=E2169,F2170/F2169-1,"")</f>
        <v>-0.0151285930408472</v>
      </c>
    </row>
    <row r="2171" customFormat="false" ht="14.25" hidden="false" customHeight="true" outlineLevel="0" collapsed="false">
      <c r="A2171" s="26" t="n">
        <v>42186</v>
      </c>
      <c r="B2171" s="1" t="n">
        <v>2015</v>
      </c>
      <c r="C2171" s="1" t="n">
        <v>7</v>
      </c>
      <c r="D2171" s="1" t="s">
        <v>48</v>
      </c>
      <c r="E2171" s="1" t="s">
        <v>14</v>
      </c>
      <c r="F2171" s="1" t="n">
        <v>1095.1</v>
      </c>
      <c r="G2171" s="1" t="n">
        <f aca="false">IF(E2171=E2170,F2171/F2170-1,"")</f>
        <v>-0.0654548557774365</v>
      </c>
    </row>
    <row r="2172" customFormat="false" ht="14.25" hidden="false" customHeight="true" outlineLevel="0" collapsed="false">
      <c r="A2172" s="26" t="n">
        <v>42217</v>
      </c>
      <c r="B2172" s="1" t="n">
        <v>2015</v>
      </c>
      <c r="C2172" s="1" t="n">
        <v>8</v>
      </c>
      <c r="D2172" s="1" t="s">
        <v>49</v>
      </c>
      <c r="E2172" s="1" t="s">
        <v>14</v>
      </c>
      <c r="F2172" s="1" t="n">
        <v>1132.5</v>
      </c>
      <c r="G2172" s="1" t="n">
        <f aca="false">IF(E2172=E2171,F2172/F2171-1,"")</f>
        <v>0.0341521322253677</v>
      </c>
    </row>
    <row r="2173" customFormat="false" ht="14.25" hidden="false" customHeight="true" outlineLevel="0" collapsed="false">
      <c r="A2173" s="26" t="n">
        <v>42248</v>
      </c>
      <c r="B2173" s="1" t="n">
        <v>2015</v>
      </c>
      <c r="C2173" s="1" t="n">
        <v>9</v>
      </c>
      <c r="D2173" s="1" t="s">
        <v>50</v>
      </c>
      <c r="E2173" s="1" t="s">
        <v>14</v>
      </c>
      <c r="F2173" s="1" t="n">
        <v>1115.2</v>
      </c>
      <c r="G2173" s="1" t="n">
        <f aca="false">IF(E2173=E2172,F2173/F2172-1,"")</f>
        <v>-0.0152759381898454</v>
      </c>
    </row>
    <row r="2174" customFormat="false" ht="14.25" hidden="false" customHeight="true" outlineLevel="0" collapsed="false">
      <c r="A2174" s="26" t="n">
        <v>42278</v>
      </c>
      <c r="B2174" s="1" t="n">
        <v>2015</v>
      </c>
      <c r="C2174" s="1" t="n">
        <v>10</v>
      </c>
      <c r="D2174" s="1" t="s">
        <v>51</v>
      </c>
      <c r="E2174" s="1" t="s">
        <v>14</v>
      </c>
      <c r="F2174" s="1" t="n">
        <v>1141.4</v>
      </c>
      <c r="G2174" s="1" t="n">
        <f aca="false">IF(E2174=E2173,F2174/F2173-1,"")</f>
        <v>0.023493543758967</v>
      </c>
    </row>
    <row r="2175" customFormat="false" ht="14.25" hidden="false" customHeight="true" outlineLevel="0" collapsed="false">
      <c r="A2175" s="26" t="n">
        <v>42309</v>
      </c>
      <c r="B2175" s="1" t="n">
        <v>2015</v>
      </c>
      <c r="C2175" s="1" t="n">
        <v>11</v>
      </c>
      <c r="D2175" s="1" t="s">
        <v>52</v>
      </c>
      <c r="E2175" s="1" t="s">
        <v>14</v>
      </c>
      <c r="F2175" s="1" t="n">
        <v>1065.3</v>
      </c>
      <c r="G2175" s="1" t="n">
        <f aca="false">IF(E2175=E2174,F2175/F2174-1,"")</f>
        <v>-0.066672507446995</v>
      </c>
    </row>
    <row r="2176" customFormat="false" ht="14.25" hidden="false" customHeight="true" outlineLevel="0" collapsed="false">
      <c r="A2176" s="26" t="n">
        <v>42339</v>
      </c>
      <c r="B2176" s="1" t="n">
        <v>2015</v>
      </c>
      <c r="C2176" s="1" t="n">
        <v>12</v>
      </c>
      <c r="D2176" s="1" t="s">
        <v>53</v>
      </c>
      <c r="E2176" s="1" t="s">
        <v>14</v>
      </c>
      <c r="F2176" s="1" t="n">
        <v>1060.2</v>
      </c>
      <c r="G2176" s="1" t="n">
        <f aca="false">IF(E2176=E2175,F2176/F2175-1,"")</f>
        <v>-0.00478738383553923</v>
      </c>
    </row>
    <row r="2177" customFormat="false" ht="14.25" hidden="false" customHeight="true" outlineLevel="0" collapsed="false">
      <c r="A2177" s="26" t="n">
        <v>42370</v>
      </c>
      <c r="B2177" s="1" t="n">
        <v>2016</v>
      </c>
      <c r="C2177" s="1" t="n">
        <v>1</v>
      </c>
      <c r="D2177" s="1" t="s">
        <v>42</v>
      </c>
      <c r="E2177" s="1" t="s">
        <v>14</v>
      </c>
      <c r="F2177" s="1" t="n">
        <v>1116.4</v>
      </c>
      <c r="G2177" s="1" t="n">
        <f aca="false">IF(E2177=E2176,F2177/F2176-1,"")</f>
        <v>0.0530088662516506</v>
      </c>
    </row>
    <row r="2178" customFormat="false" ht="14.25" hidden="false" customHeight="true" outlineLevel="0" collapsed="false">
      <c r="A2178" s="26" t="n">
        <v>42401</v>
      </c>
      <c r="B2178" s="1" t="n">
        <v>2016</v>
      </c>
      <c r="C2178" s="1" t="n">
        <v>2</v>
      </c>
      <c r="D2178" s="1" t="s">
        <v>43</v>
      </c>
      <c r="E2178" s="1" t="s">
        <v>14</v>
      </c>
      <c r="F2178" s="1" t="n">
        <v>1234.4</v>
      </c>
      <c r="G2178" s="1" t="n">
        <f aca="false">IF(E2178=E2177,F2178/F2177-1,"")</f>
        <v>0.105696882837693</v>
      </c>
    </row>
    <row r="2179" customFormat="false" ht="14.25" hidden="false" customHeight="true" outlineLevel="0" collapsed="false">
      <c r="A2179" s="26" t="n">
        <v>42430</v>
      </c>
      <c r="B2179" s="1" t="n">
        <v>2016</v>
      </c>
      <c r="C2179" s="1" t="n">
        <v>3</v>
      </c>
      <c r="D2179" s="1" t="s">
        <v>44</v>
      </c>
      <c r="E2179" s="1" t="s">
        <v>14</v>
      </c>
      <c r="F2179" s="1" t="n">
        <v>1235.6</v>
      </c>
      <c r="G2179" s="1" t="n">
        <f aca="false">IF(E2179=E2178,F2179/F2178-1,"")</f>
        <v>0.000972132209980492</v>
      </c>
    </row>
    <row r="2180" customFormat="false" ht="14.25" hidden="false" customHeight="true" outlineLevel="0" collapsed="false">
      <c r="A2180" s="26" t="n">
        <v>42461</v>
      </c>
      <c r="B2180" s="1" t="n">
        <v>2016</v>
      </c>
      <c r="C2180" s="1" t="n">
        <v>4</v>
      </c>
      <c r="D2180" s="1" t="s">
        <v>45</v>
      </c>
      <c r="E2180" s="1" t="s">
        <v>14</v>
      </c>
      <c r="F2180" s="1" t="n">
        <v>1290.5</v>
      </c>
      <c r="G2180" s="1" t="n">
        <f aca="false">IF(E2180=E2179,F2180/F2179-1,"")</f>
        <v>0.0444318549692457</v>
      </c>
    </row>
    <row r="2181" customFormat="false" ht="14.25" hidden="false" customHeight="true" outlineLevel="0" collapsed="false">
      <c r="A2181" s="26" t="n">
        <v>42491</v>
      </c>
      <c r="B2181" s="1" t="n">
        <v>2016</v>
      </c>
      <c r="C2181" s="1" t="n">
        <v>5</v>
      </c>
      <c r="D2181" s="1" t="s">
        <v>46</v>
      </c>
      <c r="E2181" s="1" t="s">
        <v>14</v>
      </c>
      <c r="F2181" s="1" t="n">
        <v>1217.5</v>
      </c>
      <c r="G2181" s="1" t="n">
        <f aca="false">IF(E2181=E2180,F2181/F2180-1,"")</f>
        <v>-0.0565672220069741</v>
      </c>
    </row>
    <row r="2182" customFormat="false" ht="14.25" hidden="false" customHeight="true" outlineLevel="0" collapsed="false">
      <c r="A2182" s="26" t="n">
        <v>42522</v>
      </c>
      <c r="B2182" s="1" t="n">
        <v>2016</v>
      </c>
      <c r="C2182" s="1" t="n">
        <v>6</v>
      </c>
      <c r="D2182" s="1" t="s">
        <v>47</v>
      </c>
      <c r="E2182" s="1" t="s">
        <v>14</v>
      </c>
      <c r="F2182" s="1" t="n">
        <v>1320.6</v>
      </c>
      <c r="G2182" s="1" t="n">
        <f aca="false">IF(E2182=E2181,F2182/F2181-1,"")</f>
        <v>0.0846817248459959</v>
      </c>
    </row>
    <row r="2183" customFormat="false" ht="14.25" hidden="false" customHeight="true" outlineLevel="0" collapsed="false">
      <c r="A2183" s="26" t="n">
        <v>42552</v>
      </c>
      <c r="B2183" s="1" t="n">
        <v>2016</v>
      </c>
      <c r="C2183" s="1" t="n">
        <v>7</v>
      </c>
      <c r="D2183" s="1" t="s">
        <v>48</v>
      </c>
      <c r="E2183" s="1" t="s">
        <v>14</v>
      </c>
      <c r="F2183" s="1" t="n">
        <v>1357.5</v>
      </c>
      <c r="G2183" s="1" t="n">
        <f aca="false">IF(E2183=E2182,F2183/F2182-1,"")</f>
        <v>0.0279418446160837</v>
      </c>
    </row>
    <row r="2184" customFormat="false" ht="14.25" hidden="false" customHeight="true" outlineLevel="0" collapsed="false">
      <c r="A2184" s="26" t="n">
        <v>42583</v>
      </c>
      <c r="B2184" s="1" t="n">
        <v>2016</v>
      </c>
      <c r="C2184" s="1" t="n">
        <v>8</v>
      </c>
      <c r="D2184" s="1" t="s">
        <v>49</v>
      </c>
      <c r="E2184" s="1" t="s">
        <v>14</v>
      </c>
      <c r="F2184" s="1" t="n">
        <v>1311.4</v>
      </c>
      <c r="G2184" s="1" t="n">
        <f aca="false">IF(E2184=E2183,F2184/F2183-1,"")</f>
        <v>-0.0339594843462246</v>
      </c>
    </row>
    <row r="2185" customFormat="false" ht="14.25" hidden="false" customHeight="true" outlineLevel="0" collapsed="false">
      <c r="A2185" s="26" t="n">
        <v>42614</v>
      </c>
      <c r="B2185" s="1" t="n">
        <v>2016</v>
      </c>
      <c r="C2185" s="1" t="n">
        <v>9</v>
      </c>
      <c r="D2185" s="1" t="s">
        <v>50</v>
      </c>
      <c r="E2185" s="1" t="s">
        <v>14</v>
      </c>
      <c r="F2185" s="1" t="n">
        <v>1317.1</v>
      </c>
      <c r="G2185" s="1" t="n">
        <f aca="false">IF(E2185=E2184,F2185/F2184-1,"")</f>
        <v>0.00434649992374547</v>
      </c>
    </row>
    <row r="2186" customFormat="false" ht="14.25" hidden="false" customHeight="true" outlineLevel="0" collapsed="false">
      <c r="A2186" s="26" t="n">
        <v>42644</v>
      </c>
      <c r="B2186" s="1" t="n">
        <v>2016</v>
      </c>
      <c r="C2186" s="1" t="n">
        <v>10</v>
      </c>
      <c r="D2186" s="1" t="s">
        <v>51</v>
      </c>
      <c r="E2186" s="1" t="s">
        <v>14</v>
      </c>
      <c r="F2186" s="1" t="n">
        <v>1273.1</v>
      </c>
      <c r="G2186" s="1" t="n">
        <f aca="false">IF(E2186=E2185,F2186/F2185-1,"")</f>
        <v>-0.0334067269000076</v>
      </c>
    </row>
    <row r="2187" customFormat="false" ht="14.25" hidden="false" customHeight="true" outlineLevel="0" collapsed="false">
      <c r="A2187" s="26" t="n">
        <v>42675</v>
      </c>
      <c r="B2187" s="1" t="n">
        <v>2016</v>
      </c>
      <c r="C2187" s="1" t="n">
        <v>11</v>
      </c>
      <c r="D2187" s="1" t="s">
        <v>52</v>
      </c>
      <c r="E2187" s="1" t="s">
        <v>14</v>
      </c>
      <c r="F2187" s="1" t="n">
        <v>1173.9</v>
      </c>
      <c r="G2187" s="1" t="n">
        <f aca="false">IF(E2187=E2186,F2187/F2186-1,"")</f>
        <v>-0.077920037703244</v>
      </c>
    </row>
    <row r="2188" customFormat="false" ht="14.25" hidden="false" customHeight="true" outlineLevel="0" collapsed="false">
      <c r="A2188" s="26" t="n">
        <v>42705</v>
      </c>
      <c r="B2188" s="1" t="n">
        <v>2016</v>
      </c>
      <c r="C2188" s="1" t="n">
        <v>12</v>
      </c>
      <c r="D2188" s="1" t="s">
        <v>53</v>
      </c>
      <c r="E2188" s="1" t="s">
        <v>14</v>
      </c>
      <c r="F2188" s="1" t="n">
        <v>1151.7</v>
      </c>
      <c r="G2188" s="1" t="n">
        <f aca="false">IF(E2188=E2187,F2188/F2187-1,"")</f>
        <v>-0.0189113212369026</v>
      </c>
    </row>
    <row r="2189" customFormat="false" ht="14.25" hidden="false" customHeight="true" outlineLevel="0" collapsed="false">
      <c r="A2189" s="26" t="n">
        <v>42736</v>
      </c>
      <c r="B2189" s="1" t="n">
        <v>2017</v>
      </c>
      <c r="C2189" s="1" t="n">
        <v>1</v>
      </c>
      <c r="D2189" s="1" t="s">
        <v>42</v>
      </c>
      <c r="E2189" s="1" t="s">
        <v>14</v>
      </c>
      <c r="F2189" s="1" t="n">
        <v>1211.4</v>
      </c>
      <c r="G2189" s="1" t="n">
        <f aca="false">IF(E2189=E2188,F2189/F2188-1,"")</f>
        <v>0.0518364157332638</v>
      </c>
    </row>
    <row r="2190" customFormat="false" ht="14.25" hidden="false" customHeight="true" outlineLevel="0" collapsed="false">
      <c r="A2190" s="26" t="n">
        <v>42767</v>
      </c>
      <c r="B2190" s="1" t="n">
        <v>2017</v>
      </c>
      <c r="C2190" s="1" t="n">
        <v>2</v>
      </c>
      <c r="D2190" s="1" t="s">
        <v>43</v>
      </c>
      <c r="E2190" s="1" t="s">
        <v>14</v>
      </c>
      <c r="F2190" s="1" t="n">
        <v>1253.9</v>
      </c>
      <c r="G2190" s="1" t="n">
        <f aca="false">IF(E2190=E2189,F2190/F2189-1,"")</f>
        <v>0.0350833746078918</v>
      </c>
    </row>
    <row r="2191" customFormat="false" ht="14.25" hidden="false" customHeight="true" outlineLevel="0" collapsed="false">
      <c r="A2191" s="26" t="n">
        <v>42795</v>
      </c>
      <c r="B2191" s="1" t="n">
        <v>2017</v>
      </c>
      <c r="C2191" s="1" t="n">
        <v>3</v>
      </c>
      <c r="D2191" s="1" t="s">
        <v>44</v>
      </c>
      <c r="E2191" s="1" t="s">
        <v>14</v>
      </c>
      <c r="F2191" s="1" t="n">
        <v>1251.2</v>
      </c>
      <c r="G2191" s="1" t="n">
        <f aca="false">IF(E2191=E2190,F2191/F2190-1,"")</f>
        <v>-0.00215328176090601</v>
      </c>
    </row>
    <row r="2192" customFormat="false" ht="14.25" hidden="false" customHeight="true" outlineLevel="0" collapsed="false">
      <c r="A2192" s="26" t="n">
        <v>42826</v>
      </c>
      <c r="B2192" s="1" t="n">
        <v>2017</v>
      </c>
      <c r="C2192" s="1" t="n">
        <v>4</v>
      </c>
      <c r="D2192" s="1" t="s">
        <v>45</v>
      </c>
      <c r="E2192" s="1" t="s">
        <v>14</v>
      </c>
      <c r="F2192" s="1" t="n">
        <v>1268.3</v>
      </c>
      <c r="G2192" s="1" t="n">
        <f aca="false">IF(E2192=E2191,F2192/F2191-1,"")</f>
        <v>0.0136668797953963</v>
      </c>
    </row>
    <row r="2193" customFormat="false" ht="14.25" hidden="false" customHeight="true" outlineLevel="0" collapsed="false">
      <c r="A2193" s="26" t="n">
        <v>42856</v>
      </c>
      <c r="B2193" s="1" t="n">
        <v>2017</v>
      </c>
      <c r="C2193" s="1" t="n">
        <v>5</v>
      </c>
      <c r="D2193" s="1" t="s">
        <v>46</v>
      </c>
      <c r="E2193" s="1" t="s">
        <v>14</v>
      </c>
      <c r="F2193" s="1" t="n">
        <v>1275.4</v>
      </c>
      <c r="G2193" s="1" t="n">
        <f aca="false">IF(E2193=E2192,F2193/F2192-1,"")</f>
        <v>0.00559804462666569</v>
      </c>
    </row>
    <row r="2194" customFormat="false" ht="14.25" hidden="false" customHeight="true" outlineLevel="0" collapsed="false">
      <c r="A2194" s="26" t="n">
        <v>42887</v>
      </c>
      <c r="B2194" s="1" t="n">
        <v>2017</v>
      </c>
      <c r="C2194" s="1" t="n">
        <v>6</v>
      </c>
      <c r="D2194" s="1" t="s">
        <v>47</v>
      </c>
      <c r="E2194" s="1" t="s">
        <v>14</v>
      </c>
      <c r="F2194" s="1" t="n">
        <v>1242.3</v>
      </c>
      <c r="G2194" s="1" t="n">
        <f aca="false">IF(E2194=E2193,F2194/F2193-1,"")</f>
        <v>-0.0259526423082955</v>
      </c>
    </row>
    <row r="2195" customFormat="false" ht="14.25" hidden="false" customHeight="true" outlineLevel="0" collapsed="false">
      <c r="A2195" s="26" t="n">
        <v>42917</v>
      </c>
      <c r="B2195" s="1" t="n">
        <v>2017</v>
      </c>
      <c r="C2195" s="1" t="n">
        <v>7</v>
      </c>
      <c r="D2195" s="1" t="s">
        <v>48</v>
      </c>
      <c r="E2195" s="1" t="s">
        <v>14</v>
      </c>
      <c r="F2195" s="1" t="n">
        <v>1273.4</v>
      </c>
      <c r="G2195" s="1" t="n">
        <f aca="false">IF(E2195=E2194,F2195/F2194-1,"")</f>
        <v>0.0250342107381472</v>
      </c>
    </row>
    <row r="2196" customFormat="false" ht="14.25" hidden="false" customHeight="true" outlineLevel="0" collapsed="false">
      <c r="A2196" s="26" t="n">
        <v>42948</v>
      </c>
      <c r="B2196" s="1" t="n">
        <v>2017</v>
      </c>
      <c r="C2196" s="1" t="n">
        <v>8</v>
      </c>
      <c r="D2196" s="1" t="s">
        <v>49</v>
      </c>
      <c r="E2196" s="1" t="s">
        <v>14</v>
      </c>
      <c r="F2196" s="1" t="n">
        <v>1322.2</v>
      </c>
      <c r="G2196" s="1" t="n">
        <f aca="false">IF(E2196=E2195,F2196/F2195-1,"")</f>
        <v>0.038322600910947</v>
      </c>
    </row>
    <row r="2197" customFormat="false" ht="14.25" hidden="false" customHeight="true" outlineLevel="0" collapsed="false">
      <c r="A2197" s="26" t="n">
        <v>42979</v>
      </c>
      <c r="B2197" s="1" t="n">
        <v>2017</v>
      </c>
      <c r="C2197" s="1" t="n">
        <v>9</v>
      </c>
      <c r="D2197" s="1" t="s">
        <v>50</v>
      </c>
      <c r="E2197" s="1" t="s">
        <v>14</v>
      </c>
      <c r="F2197" s="1" t="n">
        <v>1284.8</v>
      </c>
      <c r="G2197" s="1" t="n">
        <f aca="false">IF(E2197=E2196,F2197/F2196-1,"")</f>
        <v>-0.0282861896838603</v>
      </c>
    </row>
    <row r="2198" customFormat="false" ht="14.25" hidden="false" customHeight="true" outlineLevel="0" collapsed="false">
      <c r="A2198" s="26" t="n">
        <v>43009</v>
      </c>
      <c r="B2198" s="1" t="n">
        <v>2017</v>
      </c>
      <c r="C2198" s="1" t="n">
        <v>10</v>
      </c>
      <c r="D2198" s="1" t="s">
        <v>51</v>
      </c>
      <c r="E2198" s="1" t="s">
        <v>14</v>
      </c>
      <c r="F2198" s="1" t="n">
        <v>1270.5</v>
      </c>
      <c r="G2198" s="1" t="n">
        <f aca="false">IF(E2198=E2197,F2198/F2197-1,"")</f>
        <v>-0.0111301369863014</v>
      </c>
    </row>
    <row r="2199" customFormat="false" ht="14.25" hidden="false" customHeight="true" outlineLevel="0" collapsed="false">
      <c r="A2199" s="26" t="n">
        <v>43040</v>
      </c>
      <c r="B2199" s="1" t="n">
        <v>2017</v>
      </c>
      <c r="C2199" s="1" t="n">
        <v>11</v>
      </c>
      <c r="D2199" s="1" t="s">
        <v>52</v>
      </c>
      <c r="E2199" s="1" t="s">
        <v>14</v>
      </c>
      <c r="F2199" s="1" t="n">
        <v>1282.15</v>
      </c>
      <c r="G2199" s="1" t="n">
        <f aca="false">IF(E2199=E2198,F2199/F2198-1,"")</f>
        <v>0.00916961826052742</v>
      </c>
    </row>
    <row r="2200" customFormat="false" ht="14.25" hidden="false" customHeight="true" outlineLevel="0" collapsed="false">
      <c r="A2200" s="26" t="n">
        <v>43070</v>
      </c>
      <c r="B2200" s="1" t="n">
        <v>2017</v>
      </c>
      <c r="C2200" s="1" t="n">
        <v>12</v>
      </c>
      <c r="D2200" s="1" t="s">
        <v>53</v>
      </c>
      <c r="E2200" s="1" t="s">
        <v>14</v>
      </c>
      <c r="F2200" s="1" t="n">
        <v>1296.5</v>
      </c>
      <c r="G2200" s="1" t="n">
        <f aca="false">IF(E2200=E2199,F2200/F2199-1,"")</f>
        <v>0.0111921382053581</v>
      </c>
    </row>
    <row r="2201" customFormat="false" ht="14.25" hidden="false" customHeight="true" outlineLevel="0" collapsed="false">
      <c r="A2201" s="26" t="n">
        <v>43101</v>
      </c>
      <c r="B2201" s="1" t="n">
        <v>2018</v>
      </c>
      <c r="C2201" s="1" t="n">
        <v>1</v>
      </c>
      <c r="D2201" s="1" t="s">
        <v>42</v>
      </c>
      <c r="E2201" s="1" t="s">
        <v>14</v>
      </c>
      <c r="F2201" s="1" t="n">
        <v>1343.35</v>
      </c>
      <c r="G2201" s="1" t="n">
        <f aca="false">IF(E2201=E2200,F2201/F2200-1,"")</f>
        <v>0.0361357500964135</v>
      </c>
    </row>
    <row r="2202" customFormat="false" ht="14.25" hidden="false" customHeight="true" outlineLevel="0" collapsed="false">
      <c r="A2202" s="26" t="n">
        <v>43132</v>
      </c>
      <c r="B2202" s="1" t="n">
        <v>2018</v>
      </c>
      <c r="C2202" s="1" t="n">
        <v>2</v>
      </c>
      <c r="D2202" s="1" t="s">
        <v>43</v>
      </c>
      <c r="E2202" s="1" t="s">
        <v>14</v>
      </c>
      <c r="F2202" s="1" t="n">
        <v>1320.3</v>
      </c>
      <c r="G2202" s="1" t="n">
        <f aca="false">IF(E2202=E2201,F2202/F2201-1,"")</f>
        <v>-0.0171585960471954</v>
      </c>
    </row>
    <row r="2203" customFormat="false" ht="14.25" hidden="false" customHeight="true" outlineLevel="0" collapsed="false">
      <c r="A2203" s="26" t="n">
        <v>43160</v>
      </c>
      <c r="B2203" s="1" t="n">
        <v>2018</v>
      </c>
      <c r="C2203" s="1" t="n">
        <v>3</v>
      </c>
      <c r="D2203" s="1" t="s">
        <v>44</v>
      </c>
      <c r="E2203" s="1" t="s">
        <v>14</v>
      </c>
      <c r="F2203" s="1" t="n">
        <v>1323.9</v>
      </c>
      <c r="G2203" s="1" t="n">
        <f aca="false">IF(E2203=E2202,F2203/F2202-1,"")</f>
        <v>0.00272665303340158</v>
      </c>
    </row>
    <row r="2204" customFormat="false" ht="14.25" hidden="false" customHeight="true" outlineLevel="0" collapsed="false">
      <c r="A2204" s="26" t="n">
        <v>43191</v>
      </c>
      <c r="B2204" s="1" t="n">
        <v>2018</v>
      </c>
      <c r="C2204" s="1" t="n">
        <v>4</v>
      </c>
      <c r="D2204" s="1" t="s">
        <v>45</v>
      </c>
      <c r="E2204" s="1" t="s">
        <v>14</v>
      </c>
      <c r="F2204" s="1" t="n">
        <v>1316.25</v>
      </c>
      <c r="G2204" s="1" t="n">
        <f aca="false">IF(E2204=E2203,F2204/F2203-1,"")</f>
        <v>-0.00577838205302517</v>
      </c>
    </row>
    <row r="2205" customFormat="false" ht="14.25" hidden="false" customHeight="true" outlineLevel="0" collapsed="false">
      <c r="A2205" s="26" t="n">
        <v>43221</v>
      </c>
      <c r="B2205" s="1" t="n">
        <v>2018</v>
      </c>
      <c r="C2205" s="1" t="n">
        <v>5</v>
      </c>
      <c r="D2205" s="1" t="s">
        <v>46</v>
      </c>
      <c r="E2205" s="1" t="s">
        <v>14</v>
      </c>
      <c r="F2205" s="1" t="n">
        <v>1303.5</v>
      </c>
      <c r="G2205" s="1" t="n">
        <f aca="false">IF(E2205=E2204,F2205/F2204-1,"")</f>
        <v>-0.00968660968660973</v>
      </c>
    </row>
    <row r="2206" customFormat="false" ht="14.25" hidden="false" customHeight="true" outlineLevel="0" collapsed="false">
      <c r="A2206" s="26" t="n">
        <v>43252</v>
      </c>
      <c r="B2206" s="1" t="n">
        <v>2018</v>
      </c>
      <c r="C2206" s="1" t="n">
        <v>6</v>
      </c>
      <c r="D2206" s="1" t="s">
        <v>47</v>
      </c>
      <c r="E2206" s="1" t="s">
        <v>14</v>
      </c>
      <c r="F2206" s="1" t="n">
        <v>1250.55</v>
      </c>
      <c r="G2206" s="1" t="n">
        <f aca="false">IF(E2206=E2205,F2206/F2205-1,"")</f>
        <v>-0.0406214039125432</v>
      </c>
    </row>
    <row r="2207" customFormat="false" ht="14.25" hidden="false" customHeight="true" outlineLevel="0" collapsed="false">
      <c r="A2207" s="26" t="n">
        <v>43282</v>
      </c>
      <c r="B2207" s="1" t="n">
        <v>2018</v>
      </c>
      <c r="C2207" s="1" t="n">
        <v>7</v>
      </c>
      <c r="D2207" s="1" t="s">
        <v>48</v>
      </c>
      <c r="E2207" s="1" t="s">
        <v>14</v>
      </c>
      <c r="F2207" s="1" t="n">
        <v>1219.2</v>
      </c>
      <c r="G2207" s="1" t="n">
        <f aca="false">IF(E2207=E2206,F2207/F2206-1,"")</f>
        <v>-0.0250689696533525</v>
      </c>
    </row>
    <row r="2208" customFormat="false" ht="14.25" hidden="false" customHeight="true" outlineLevel="0" collapsed="false">
      <c r="A2208" s="26" t="n">
        <v>43313</v>
      </c>
      <c r="B2208" s="1" t="n">
        <v>2018</v>
      </c>
      <c r="C2208" s="1" t="n">
        <v>8</v>
      </c>
      <c r="D2208" s="1" t="s">
        <v>49</v>
      </c>
      <c r="E2208" s="1" t="s">
        <v>14</v>
      </c>
      <c r="F2208" s="1" t="n">
        <v>1206.85</v>
      </c>
      <c r="G2208" s="1" t="n">
        <f aca="false">IF(E2208=E2207,F2208/F2207-1,"")</f>
        <v>-0.0101295931758532</v>
      </c>
    </row>
    <row r="2209" customFormat="false" ht="14.25" hidden="false" customHeight="true" outlineLevel="0" collapsed="false">
      <c r="A2209" s="26" t="n">
        <v>43344</v>
      </c>
      <c r="B2209" s="1" t="n">
        <v>2018</v>
      </c>
      <c r="C2209" s="1" t="n">
        <v>9</v>
      </c>
      <c r="D2209" s="1" t="s">
        <v>50</v>
      </c>
      <c r="E2209" s="1" t="s">
        <v>14</v>
      </c>
      <c r="F2209" s="1" t="n">
        <v>1183.5</v>
      </c>
      <c r="G2209" s="1" t="n">
        <f aca="false">IF(E2209=E2208,F2209/F2208-1,"")</f>
        <v>-0.0193478891328664</v>
      </c>
    </row>
    <row r="2210" customFormat="false" ht="14.25" hidden="false" customHeight="true" outlineLevel="0" collapsed="false">
      <c r="A2210" s="26" t="n">
        <v>43374</v>
      </c>
      <c r="B2210" s="1" t="n">
        <v>2018</v>
      </c>
      <c r="C2210" s="1" t="n">
        <v>10</v>
      </c>
      <c r="D2210" s="1" t="s">
        <v>51</v>
      </c>
      <c r="E2210" s="1" t="s">
        <v>14</v>
      </c>
      <c r="F2210" s="1" t="n">
        <v>1217.7</v>
      </c>
      <c r="G2210" s="1" t="n">
        <f aca="false">IF(E2210=E2209,F2210/F2209-1,"")</f>
        <v>0.0288973384030418</v>
      </c>
    </row>
    <row r="2211" customFormat="false" ht="14.25" hidden="false" customHeight="true" outlineLevel="0" collapsed="false">
      <c r="A2211" s="26" t="n">
        <v>43405</v>
      </c>
      <c r="B2211" s="1" t="n">
        <v>2018</v>
      </c>
      <c r="C2211" s="1" t="n">
        <v>11</v>
      </c>
      <c r="D2211" s="1" t="s">
        <v>52</v>
      </c>
      <c r="E2211" s="1" t="s">
        <v>14</v>
      </c>
      <c r="F2211" s="1" t="n">
        <v>1220.45</v>
      </c>
      <c r="G2211" s="1" t="n">
        <f aca="false">IF(E2211=E2210,F2211/F2210-1,"")</f>
        <v>0.0022583559168925</v>
      </c>
    </row>
    <row r="2212" customFormat="false" ht="14.25" hidden="false" customHeight="true" outlineLevel="0" collapsed="false">
      <c r="A2212" s="26" t="n">
        <v>43435</v>
      </c>
      <c r="B2212" s="1" t="n">
        <v>2018</v>
      </c>
      <c r="C2212" s="1" t="n">
        <v>12</v>
      </c>
      <c r="D2212" s="1" t="s">
        <v>53</v>
      </c>
      <c r="E2212" s="1" t="s">
        <v>14</v>
      </c>
      <c r="F2212" s="1" t="n">
        <v>1281.65</v>
      </c>
      <c r="G2212" s="1" t="n">
        <f aca="false">IF(E2212=E2211,F2212/F2211-1,"")</f>
        <v>0.0501454381580564</v>
      </c>
    </row>
    <row r="2213" customFormat="false" ht="14.25" hidden="false" customHeight="true" outlineLevel="0" collapsed="false">
      <c r="A2213" s="26" t="n">
        <v>43466</v>
      </c>
      <c r="B2213" s="1" t="n">
        <v>2019</v>
      </c>
      <c r="C2213" s="1" t="n">
        <v>1</v>
      </c>
      <c r="D2213" s="1" t="s">
        <v>42</v>
      </c>
      <c r="E2213" s="1" t="s">
        <v>14</v>
      </c>
      <c r="F2213" s="1" t="n">
        <v>1322.5</v>
      </c>
      <c r="G2213" s="1" t="n">
        <f aca="false">IF(E2213=E2212,F2213/F2212-1,"")</f>
        <v>0.0318729762415635</v>
      </c>
    </row>
    <row r="2214" customFormat="false" ht="14.25" hidden="false" customHeight="true" outlineLevel="0" collapsed="false">
      <c r="A2214" s="26" t="n">
        <v>43497</v>
      </c>
      <c r="B2214" s="1" t="n">
        <v>2019</v>
      </c>
      <c r="C2214" s="1" t="n">
        <v>2</v>
      </c>
      <c r="D2214" s="1" t="s">
        <v>43</v>
      </c>
      <c r="E2214" s="1" t="s">
        <v>14</v>
      </c>
      <c r="F2214" s="1" t="n">
        <v>1325.45</v>
      </c>
      <c r="G2214" s="1" t="n">
        <f aca="false">IF(E2214=E2213,F2214/F2213-1,"")</f>
        <v>0.00223062381852546</v>
      </c>
    </row>
    <row r="2215" customFormat="false" ht="14.25" hidden="false" customHeight="true" outlineLevel="0" collapsed="false">
      <c r="A2215" s="26" t="n">
        <v>43525</v>
      </c>
      <c r="B2215" s="1" t="n">
        <v>2019</v>
      </c>
      <c r="C2215" s="1" t="n">
        <v>3</v>
      </c>
      <c r="D2215" s="1" t="s">
        <v>44</v>
      </c>
      <c r="E2215" s="1" t="s">
        <v>14</v>
      </c>
      <c r="F2215" s="1" t="n">
        <v>1291.15</v>
      </c>
      <c r="G2215" s="1" t="n">
        <f aca="false">IF(E2215=E2214,F2215/F2214-1,"")</f>
        <v>-0.0258780036968577</v>
      </c>
    </row>
    <row r="2216" customFormat="false" ht="14.25" hidden="false" customHeight="true" outlineLevel="0" collapsed="false">
      <c r="A2216" s="26" t="n">
        <v>43556</v>
      </c>
      <c r="B2216" s="1" t="n">
        <v>2019</v>
      </c>
      <c r="C2216" s="1" t="n">
        <v>4</v>
      </c>
      <c r="D2216" s="1" t="s">
        <v>45</v>
      </c>
      <c r="E2216" s="1" t="s">
        <v>14</v>
      </c>
      <c r="F2216" s="1" t="n">
        <v>1285.15</v>
      </c>
      <c r="G2216" s="1" t="n">
        <f aca="false">IF(E2216=E2215,F2216/F2215-1,"")</f>
        <v>-0.00464702009836193</v>
      </c>
    </row>
    <row r="2217" customFormat="false" ht="14.25" hidden="false" customHeight="true" outlineLevel="0" collapsed="false">
      <c r="A2217" s="26" t="n">
        <v>43586</v>
      </c>
      <c r="B2217" s="1" t="n">
        <v>2019</v>
      </c>
      <c r="C2217" s="1" t="n">
        <v>5</v>
      </c>
      <c r="D2217" s="1" t="s">
        <v>46</v>
      </c>
      <c r="E2217" s="1" t="s">
        <v>14</v>
      </c>
      <c r="F2217" s="1" t="n">
        <v>1296</v>
      </c>
      <c r="G2217" s="1" t="n">
        <f aca="false">IF(E2217=E2216,F2217/F2216-1,"")</f>
        <v>0.0084425942496984</v>
      </c>
    </row>
    <row r="2218" customFormat="false" ht="14.25" hidden="false" customHeight="true" outlineLevel="0" collapsed="false">
      <c r="A2218" s="26" t="n">
        <v>43617</v>
      </c>
      <c r="B2218" s="1" t="n">
        <v>2019</v>
      </c>
      <c r="C2218" s="1" t="n">
        <v>6</v>
      </c>
      <c r="D2218" s="1" t="s">
        <v>47</v>
      </c>
      <c r="E2218" s="1" t="s">
        <v>14</v>
      </c>
      <c r="F2218" s="1" t="n">
        <v>1413.2</v>
      </c>
      <c r="G2218" s="1" t="n">
        <f aca="false">IF(E2218=E2217,F2218/F2217-1,"")</f>
        <v>0.0904320987654321</v>
      </c>
    </row>
    <row r="2219" customFormat="false" ht="14.25" hidden="false" customHeight="true" outlineLevel="0" collapsed="false">
      <c r="A2219" s="26" t="n">
        <v>43647</v>
      </c>
      <c r="B2219" s="1" t="n">
        <v>2019</v>
      </c>
      <c r="C2219" s="1" t="n">
        <v>7</v>
      </c>
      <c r="D2219" s="1" t="s">
        <v>48</v>
      </c>
      <c r="E2219" s="1" t="s">
        <v>14</v>
      </c>
      <c r="F2219" s="1" t="n">
        <v>1430.55</v>
      </c>
      <c r="G2219" s="1" t="n">
        <f aca="false">IF(E2219=E2218,F2219/F2218-1,"")</f>
        <v>0.0122771016133596</v>
      </c>
    </row>
    <row r="2220" customFormat="false" ht="14.25" hidden="false" customHeight="true" outlineLevel="0" collapsed="false">
      <c r="A2220" s="26" t="n">
        <v>43678</v>
      </c>
      <c r="B2220" s="1" t="n">
        <v>2019</v>
      </c>
      <c r="C2220" s="1" t="n">
        <v>8</v>
      </c>
      <c r="D2220" s="1" t="s">
        <v>49</v>
      </c>
      <c r="E2220" s="1" t="s">
        <v>14</v>
      </c>
      <c r="F2220" s="1" t="n">
        <v>1526.55</v>
      </c>
      <c r="G2220" s="1" t="n">
        <f aca="false">IF(E2220=E2219,F2220/F2219-1,"")</f>
        <v>0.0671070567264338</v>
      </c>
    </row>
    <row r="2221" customFormat="false" ht="14.25" hidden="false" customHeight="true" outlineLevel="0" collapsed="false">
      <c r="A2221" s="26" t="n">
        <v>43709</v>
      </c>
      <c r="B2221" s="1" t="n">
        <v>2019</v>
      </c>
      <c r="C2221" s="1" t="n">
        <v>9</v>
      </c>
      <c r="D2221" s="1" t="s">
        <v>50</v>
      </c>
      <c r="E2221" s="1" t="s">
        <v>14</v>
      </c>
      <c r="F2221" s="1" t="n">
        <v>1487.6</v>
      </c>
      <c r="G2221" s="1" t="n">
        <f aca="false">IF(E2221=E2220,F2221/F2220-1,"")</f>
        <v>-0.0255150502767679</v>
      </c>
    </row>
    <row r="2222" customFormat="false" ht="14.25" hidden="false" customHeight="true" outlineLevel="0" collapsed="false">
      <c r="A2222" s="26" t="n">
        <v>43739</v>
      </c>
      <c r="B2222" s="1" t="n">
        <v>2019</v>
      </c>
      <c r="C2222" s="1" t="n">
        <v>10</v>
      </c>
      <c r="D2222" s="1" t="s">
        <v>51</v>
      </c>
      <c r="E2222" s="1" t="s">
        <v>14</v>
      </c>
      <c r="F2222" s="1" t="n">
        <v>1506.4</v>
      </c>
      <c r="G2222" s="1" t="n">
        <f aca="false">IF(E2222=E2221,F2222/F2221-1,"")</f>
        <v>0.0126378058617909</v>
      </c>
    </row>
    <row r="2223" customFormat="false" ht="14.25" hidden="false" customHeight="true" outlineLevel="0" collapsed="false">
      <c r="A2223" s="26" t="n">
        <v>43770</v>
      </c>
      <c r="B2223" s="1" t="n">
        <v>2019</v>
      </c>
      <c r="C2223" s="1" t="n">
        <v>11</v>
      </c>
      <c r="D2223" s="1" t="s">
        <v>52</v>
      </c>
      <c r="E2223" s="1" t="s">
        <v>14</v>
      </c>
      <c r="F2223" s="1" t="n">
        <v>1456.35</v>
      </c>
      <c r="G2223" s="1" t="n">
        <f aca="false">IF(E2223=E2222,F2223/F2222-1,"")</f>
        <v>-0.0332249070631971</v>
      </c>
    </row>
    <row r="2224" customFormat="false" ht="14.25" hidden="false" customHeight="true" outlineLevel="0" collapsed="false">
      <c r="A2224" s="26" t="n">
        <v>43800</v>
      </c>
      <c r="B2224" s="1" t="n">
        <v>2019</v>
      </c>
      <c r="C2224" s="1" t="n">
        <v>12</v>
      </c>
      <c r="D2224" s="1" t="s">
        <v>53</v>
      </c>
      <c r="E2224" s="1" t="s">
        <v>14</v>
      </c>
      <c r="F2224" s="1" t="n">
        <v>1523</v>
      </c>
      <c r="G2224" s="1" t="n">
        <f aca="false">IF(E2224=E2223,F2224/F2223-1,"")</f>
        <v>0.0457650976756963</v>
      </c>
    </row>
    <row r="2225" customFormat="false" ht="14.25" hidden="false" customHeight="true" outlineLevel="0" collapsed="false">
      <c r="A2225" s="26" t="n">
        <v>43831</v>
      </c>
      <c r="B2225" s="1" t="n">
        <v>2020</v>
      </c>
      <c r="C2225" s="1" t="n">
        <v>1</v>
      </c>
      <c r="D2225" s="1" t="s">
        <v>42</v>
      </c>
      <c r="E2225" s="1" t="s">
        <v>14</v>
      </c>
      <c r="F2225" s="1" t="n">
        <v>1580.85</v>
      </c>
      <c r="G2225" s="1" t="n">
        <f aca="false">IF(E2225=E2224,F2225/F2224-1,"")</f>
        <v>0.0379842416283651</v>
      </c>
    </row>
    <row r="2226" customFormat="false" ht="14.25" hidden="false" customHeight="true" outlineLevel="0" collapsed="false">
      <c r="A2226" s="26" t="n">
        <v>43862</v>
      </c>
      <c r="B2226" s="1" t="n">
        <v>2020</v>
      </c>
      <c r="C2226" s="1" t="n">
        <v>2</v>
      </c>
      <c r="D2226" s="1" t="s">
        <v>43</v>
      </c>
      <c r="E2226" s="1" t="s">
        <v>14</v>
      </c>
      <c r="F2226" s="1" t="n">
        <v>1626.35</v>
      </c>
      <c r="G2226" s="1" t="n">
        <f aca="false">IF(E2226=E2225,F2226/F2225-1,"")</f>
        <v>0.0287819843754942</v>
      </c>
    </row>
    <row r="2227" customFormat="false" ht="14.25" hidden="false" customHeight="true" outlineLevel="0" collapsed="false">
      <c r="A2227" s="26" t="n">
        <v>43891</v>
      </c>
      <c r="B2227" s="1" t="n">
        <v>2020</v>
      </c>
      <c r="C2227" s="1" t="n">
        <v>3</v>
      </c>
      <c r="D2227" s="1" t="s">
        <v>44</v>
      </c>
      <c r="E2227" s="1" t="s">
        <v>14</v>
      </c>
      <c r="F2227" s="1" t="n">
        <v>1604.65</v>
      </c>
      <c r="G2227" s="1" t="n">
        <f aca="false">IF(E2227=E2226,F2227/F2226-1,"")</f>
        <v>-0.0133427613982229</v>
      </c>
    </row>
    <row r="2228" customFormat="false" ht="14.25" hidden="false" customHeight="true" outlineLevel="0" collapsed="false">
      <c r="A2228" s="26" t="n">
        <v>43922</v>
      </c>
      <c r="B2228" s="1" t="n">
        <v>2020</v>
      </c>
      <c r="C2228" s="1" t="n">
        <v>4</v>
      </c>
      <c r="D2228" s="1" t="s">
        <v>45</v>
      </c>
      <c r="E2228" s="1" t="s">
        <v>14</v>
      </c>
      <c r="F2228" s="1" t="n">
        <v>1716.75</v>
      </c>
      <c r="G2228" s="1" t="n">
        <f aca="false">IF(E2228=E2227,F2228/F2227-1,"")</f>
        <v>0.0698594709126601</v>
      </c>
    </row>
    <row r="2229" customFormat="false" ht="14.25" hidden="false" customHeight="true" outlineLevel="0" collapsed="false">
      <c r="A2229" s="26" t="n">
        <v>43952</v>
      </c>
      <c r="B2229" s="1" t="n">
        <v>2020</v>
      </c>
      <c r="C2229" s="1" t="n">
        <v>5</v>
      </c>
      <c r="D2229" s="1" t="s">
        <v>46</v>
      </c>
      <c r="E2229" s="1" t="s">
        <v>14</v>
      </c>
      <c r="F2229" s="1" t="n">
        <v>1725.65</v>
      </c>
      <c r="G2229" s="1" t="n">
        <f aca="false">IF(E2229=E2228,F2229/F2228-1,"")</f>
        <v>0.00518421435852634</v>
      </c>
    </row>
    <row r="2230" customFormat="false" ht="14.25" hidden="false" customHeight="true" outlineLevel="0" collapsed="false">
      <c r="A2230" s="26" t="n">
        <v>43983</v>
      </c>
      <c r="B2230" s="1" t="n">
        <v>2020</v>
      </c>
      <c r="C2230" s="1" t="n">
        <v>6</v>
      </c>
      <c r="D2230" s="1" t="s">
        <v>47</v>
      </c>
      <c r="E2230" s="1" t="s">
        <v>14</v>
      </c>
      <c r="F2230" s="1" t="n">
        <v>1770.7</v>
      </c>
      <c r="G2230" s="1" t="n">
        <f aca="false">IF(E2230=E2229,F2230/F2229-1,"")</f>
        <v>0.0261061049459623</v>
      </c>
    </row>
    <row r="2231" customFormat="false" ht="14.25" hidden="false" customHeight="true" outlineLevel="0" collapsed="false">
      <c r="A2231" s="26" t="n">
        <v>44013</v>
      </c>
      <c r="B2231" s="1" t="n">
        <v>2020</v>
      </c>
      <c r="C2231" s="1" t="n">
        <v>7</v>
      </c>
      <c r="D2231" s="1" t="s">
        <v>48</v>
      </c>
      <c r="E2231" s="1" t="s">
        <v>14</v>
      </c>
      <c r="F2231" s="1" t="n">
        <v>1971.68</v>
      </c>
      <c r="G2231" s="1" t="n">
        <f aca="false">IF(E2231=E2230,F2231/F2230-1,"")</f>
        <v>0.113503134353645</v>
      </c>
    </row>
    <row r="2232" customFormat="false" ht="14.25" hidden="false" customHeight="true" outlineLevel="0" collapsed="false">
      <c r="A2232" s="26" t="n">
        <v>44044</v>
      </c>
      <c r="B2232" s="1" t="n">
        <v>2020</v>
      </c>
      <c r="C2232" s="1" t="n">
        <v>8</v>
      </c>
      <c r="D2232" s="1" t="s">
        <v>49</v>
      </c>
      <c r="E2232" s="1" t="s">
        <v>14</v>
      </c>
      <c r="F2232" s="1" t="n">
        <v>1970.5</v>
      </c>
      <c r="G2232" s="1" t="n">
        <f aca="false">IF(E2232=E2231,F2232/F2231-1,"")</f>
        <v>-0.000598474397468185</v>
      </c>
    </row>
    <row r="2233" customFormat="false" ht="14.25" hidden="false" customHeight="true" outlineLevel="0" collapsed="false">
      <c r="A2233" s="26" t="n">
        <v>44075</v>
      </c>
      <c r="B2233" s="1" t="n">
        <v>2020</v>
      </c>
      <c r="C2233" s="1" t="n">
        <v>9</v>
      </c>
      <c r="D2233" s="1" t="s">
        <v>50</v>
      </c>
      <c r="E2233" s="1" t="s">
        <v>14</v>
      </c>
      <c r="F2233" s="1" t="n">
        <v>1893.9</v>
      </c>
      <c r="G2233" s="1" t="n">
        <f aca="false">IF(E2233=E2232,F2233/F2232-1,"")</f>
        <v>-0.0388733823902563</v>
      </c>
    </row>
    <row r="2234" customFormat="false" ht="14.25" hidden="false" customHeight="true" outlineLevel="0" collapsed="false">
      <c r="A2234" s="26" t="n">
        <v>44105</v>
      </c>
      <c r="B2234" s="1" t="n">
        <v>2020</v>
      </c>
      <c r="C2234" s="1" t="n">
        <v>10</v>
      </c>
      <c r="D2234" s="1" t="s">
        <v>51</v>
      </c>
      <c r="E2234" s="1" t="s">
        <v>14</v>
      </c>
      <c r="F2234" s="1" t="n">
        <v>1879.9</v>
      </c>
      <c r="G2234" s="1" t="n">
        <f aca="false">IF(E2234=E2233,F2234/F2233-1,"")</f>
        <v>-0.00739215375679814</v>
      </c>
    </row>
    <row r="2235" customFormat="false" ht="14.25" hidden="false" customHeight="true" outlineLevel="0" collapsed="false">
      <c r="A2235" s="26" t="n">
        <v>44136</v>
      </c>
      <c r="B2235" s="1" t="n">
        <v>2020</v>
      </c>
      <c r="C2235" s="1" t="n">
        <v>11</v>
      </c>
      <c r="D2235" s="1" t="s">
        <v>52</v>
      </c>
      <c r="E2235" s="1" t="s">
        <v>14</v>
      </c>
      <c r="F2235" s="1" t="n">
        <v>1779.86</v>
      </c>
      <c r="G2235" s="1" t="n">
        <f aca="false">IF(E2235=E2234,F2235/F2234-1,"")</f>
        <v>-0.053215596574286</v>
      </c>
    </row>
    <row r="2236" customFormat="false" ht="14.25" hidden="false" customHeight="true" outlineLevel="0" collapsed="false">
      <c r="A2236" s="26" t="n">
        <v>44166</v>
      </c>
      <c r="B2236" s="1" t="n">
        <v>2020</v>
      </c>
      <c r="C2236" s="1" t="n">
        <v>12</v>
      </c>
      <c r="D2236" s="1" t="s">
        <v>53</v>
      </c>
      <c r="E2236" s="1" t="s">
        <v>14</v>
      </c>
      <c r="F2236" s="1" t="n">
        <v>1895.1</v>
      </c>
      <c r="G2236" s="1" t="n">
        <f aca="false">IF(E2236=E2235,F2236/F2235-1,"")</f>
        <v>0.0647466654680706</v>
      </c>
    </row>
    <row r="2237" customFormat="false" ht="14.25" hidden="false" customHeight="true" outlineLevel="0" collapsed="false">
      <c r="A2237" s="26" t="n">
        <v>44197</v>
      </c>
      <c r="B2237" s="1" t="n">
        <v>2021</v>
      </c>
      <c r="C2237" s="1" t="n">
        <v>1</v>
      </c>
      <c r="D2237" s="1" t="s">
        <v>42</v>
      </c>
      <c r="E2237" s="1" t="s">
        <v>14</v>
      </c>
      <c r="F2237" s="1" t="n">
        <v>1849.7</v>
      </c>
      <c r="G2237" s="1" t="n">
        <f aca="false">IF(E2237=E2236,F2237/F2236-1,"")</f>
        <v>-0.0239565194448841</v>
      </c>
    </row>
    <row r="2238" customFormat="false" ht="14.25" hidden="false" customHeight="true" outlineLevel="0" collapsed="false">
      <c r="A2238" s="26" t="n">
        <v>44228</v>
      </c>
      <c r="B2238" s="1" t="n">
        <v>2021</v>
      </c>
      <c r="C2238" s="1" t="n">
        <v>2</v>
      </c>
      <c r="D2238" s="1" t="s">
        <v>43</v>
      </c>
      <c r="E2238" s="1" t="s">
        <v>14</v>
      </c>
      <c r="F2238" s="1" t="n">
        <v>1728.8</v>
      </c>
      <c r="G2238" s="1" t="n">
        <f aca="false">IF(E2238=E2237,F2238/F2237-1,"")</f>
        <v>-0.0653619505865817</v>
      </c>
    </row>
    <row r="2239" customFormat="false" ht="14.25" hidden="false" customHeight="true" outlineLevel="0" collapsed="false">
      <c r="A2239" s="26" t="n">
        <v>44256</v>
      </c>
      <c r="B2239" s="1" t="n">
        <v>2021</v>
      </c>
      <c r="C2239" s="1" t="n">
        <v>3</v>
      </c>
      <c r="D2239" s="1" t="s">
        <v>44</v>
      </c>
      <c r="E2239" s="1" t="s">
        <v>14</v>
      </c>
      <c r="F2239" s="1" t="n">
        <v>1715.24</v>
      </c>
      <c r="G2239" s="1" t="n">
        <f aca="false">IF(E2239=E2238,F2239/F2238-1,"")</f>
        <v>-0.00784359093012488</v>
      </c>
    </row>
    <row r="2240" customFormat="false" ht="14.25" hidden="false" customHeight="true" outlineLevel="0" collapsed="false">
      <c r="A2240" s="26" t="n">
        <v>44287</v>
      </c>
      <c r="B2240" s="1" t="n">
        <v>2021</v>
      </c>
      <c r="C2240" s="1" t="n">
        <v>4</v>
      </c>
      <c r="D2240" s="1" t="s">
        <v>45</v>
      </c>
      <c r="E2240" s="1" t="s">
        <v>14</v>
      </c>
      <c r="F2240" s="1" t="n">
        <v>1767.7</v>
      </c>
      <c r="G2240" s="1" t="n">
        <f aca="false">IF(E2240=E2239,F2240/F2239-1,"")</f>
        <v>0.0305846412163895</v>
      </c>
    </row>
    <row r="2241" customFormat="false" ht="14.25" hidden="false" customHeight="true" outlineLevel="0" collapsed="false">
      <c r="A2241" s="26" t="n">
        <v>44317</v>
      </c>
      <c r="B2241" s="1" t="n">
        <v>2021</v>
      </c>
      <c r="C2241" s="1" t="n">
        <v>5</v>
      </c>
      <c r="D2241" s="1" t="s">
        <v>46</v>
      </c>
      <c r="E2241" s="1" t="s">
        <v>14</v>
      </c>
      <c r="F2241" s="1" t="n">
        <v>1904.74</v>
      </c>
      <c r="G2241" s="1" t="n">
        <f aca="false">IF(E2241=E2240,F2241/F2240-1,"")</f>
        <v>0.0775244668212931</v>
      </c>
    </row>
    <row r="2242" customFormat="false" ht="14.25" hidden="false" customHeight="true" outlineLevel="0" collapsed="false">
      <c r="A2242" s="26" t="n">
        <v>44348</v>
      </c>
      <c r="B2242" s="1" t="n">
        <v>2021</v>
      </c>
      <c r="C2242" s="1" t="n">
        <v>6</v>
      </c>
      <c r="D2242" s="1" t="s">
        <v>47</v>
      </c>
      <c r="E2242" s="1" t="s">
        <v>14</v>
      </c>
      <c r="F2242" s="1" t="n">
        <v>1771.6</v>
      </c>
      <c r="G2242" s="1" t="n">
        <f aca="false">IF(E2242=E2241,F2242/F2241-1,"")</f>
        <v>-0.0698993038419943</v>
      </c>
    </row>
    <row r="2243" customFormat="false" ht="14.25" hidden="false" customHeight="true" outlineLevel="0" collapsed="false">
      <c r="A2243" s="26" t="n">
        <v>44378</v>
      </c>
      <c r="B2243" s="1" t="n">
        <v>2021</v>
      </c>
      <c r="C2243" s="1" t="n">
        <v>7</v>
      </c>
      <c r="D2243" s="1" t="s">
        <v>48</v>
      </c>
      <c r="E2243" s="1" t="s">
        <v>14</v>
      </c>
      <c r="F2243" s="1" t="n">
        <v>1814.12</v>
      </c>
      <c r="G2243" s="1" t="n">
        <f aca="false">IF(E2243=E2242,F2243/F2242-1,"")</f>
        <v>0.0240009031384059</v>
      </c>
    </row>
    <row r="2244" customFormat="false" ht="14.25" hidden="false" customHeight="true" outlineLevel="0" collapsed="false">
      <c r="A2244" s="26" t="n">
        <v>44409</v>
      </c>
      <c r="B2244" s="1" t="n">
        <v>2021</v>
      </c>
      <c r="C2244" s="1" t="n">
        <v>8</v>
      </c>
      <c r="D2244" s="1" t="s">
        <v>49</v>
      </c>
      <c r="E2244" s="1" t="s">
        <v>14</v>
      </c>
      <c r="F2244" s="1" t="n">
        <v>1815.8</v>
      </c>
      <c r="G2244" s="1" t="n">
        <f aca="false">IF(E2244=E2243,F2244/F2243-1,"")</f>
        <v>0.000926068837783678</v>
      </c>
    </row>
    <row r="2245" customFormat="false" ht="14.25" hidden="false" customHeight="true" outlineLevel="0" collapsed="false">
      <c r="A2245" s="26" t="n">
        <v>44440</v>
      </c>
      <c r="B2245" s="1" t="n">
        <v>2021</v>
      </c>
      <c r="C2245" s="1" t="n">
        <v>9</v>
      </c>
      <c r="D2245" s="1" t="s">
        <v>50</v>
      </c>
      <c r="E2245" s="1" t="s">
        <v>14</v>
      </c>
      <c r="F2245" s="1" t="n">
        <v>1756.66</v>
      </c>
      <c r="G2245" s="1" t="n">
        <f aca="false">IF(E2245=E2244,F2245/F2244-1,"")</f>
        <v>-0.0325696662628042</v>
      </c>
    </row>
    <row r="2246" customFormat="false" ht="14.25" hidden="false" customHeight="true" outlineLevel="0" collapsed="false">
      <c r="A2246" s="26" t="n">
        <v>44470</v>
      </c>
      <c r="B2246" s="1" t="n">
        <v>2021</v>
      </c>
      <c r="C2246" s="1" t="n">
        <v>10</v>
      </c>
      <c r="D2246" s="1" t="s">
        <v>51</v>
      </c>
      <c r="E2246" s="1" t="s">
        <v>14</v>
      </c>
      <c r="F2246" s="1" t="n">
        <v>1783.9</v>
      </c>
      <c r="G2246" s="1" t="n">
        <f aca="false">IF(E2246=E2245,F2246/F2245-1,"")</f>
        <v>0.0155067002151812</v>
      </c>
    </row>
    <row r="2247" customFormat="false" ht="14.25" hidden="false" customHeight="true" outlineLevel="0" collapsed="false">
      <c r="A2247" s="26" t="n">
        <v>44501</v>
      </c>
      <c r="B2247" s="1" t="n">
        <v>2021</v>
      </c>
      <c r="C2247" s="1" t="n">
        <v>11</v>
      </c>
      <c r="D2247" s="1" t="s">
        <v>52</v>
      </c>
      <c r="E2247" s="1" t="s">
        <v>14</v>
      </c>
      <c r="F2247" s="1" t="n">
        <v>1775.92</v>
      </c>
      <c r="G2247" s="1" t="n">
        <f aca="false">IF(E2247=E2246,F2247/F2246-1,"")</f>
        <v>-0.00447334491843709</v>
      </c>
    </row>
    <row r="2248" customFormat="false" ht="14.25" hidden="false" customHeight="true" outlineLevel="0" collapsed="false">
      <c r="A2248" s="26" t="n">
        <v>44531</v>
      </c>
      <c r="B2248" s="1" t="n">
        <v>2021</v>
      </c>
      <c r="C2248" s="1" t="n">
        <v>12</v>
      </c>
      <c r="D2248" s="1" t="s">
        <v>53</v>
      </c>
      <c r="E2248" s="1" t="s">
        <v>14</v>
      </c>
      <c r="F2248" s="1" t="n">
        <v>1828.6</v>
      </c>
      <c r="G2248" s="1" t="n">
        <f aca="false">IF(E2248=E2247,F2248/F2247-1,"")</f>
        <v>0.0296634983557817</v>
      </c>
    </row>
    <row r="2249" customFormat="false" ht="14.25" hidden="false" customHeight="true" outlineLevel="0" collapsed="false">
      <c r="A2249" s="26" t="n">
        <v>44562</v>
      </c>
      <c r="B2249" s="1" t="n">
        <v>2022</v>
      </c>
      <c r="C2249" s="1" t="n">
        <v>1</v>
      </c>
      <c r="D2249" s="1" t="s">
        <v>42</v>
      </c>
      <c r="E2249" s="1" t="s">
        <v>14</v>
      </c>
      <c r="F2249" s="1" t="n">
        <v>1796.12</v>
      </c>
      <c r="G2249" s="1" t="n">
        <f aca="false">IF(E2249=E2248,F2249/F2248-1,"")</f>
        <v>-0.017762222465274</v>
      </c>
    </row>
    <row r="2250" customFormat="false" ht="14.25" hidden="false" customHeight="true" outlineLevel="0" collapsed="false">
      <c r="A2250" s="26" t="n">
        <v>44593</v>
      </c>
      <c r="B2250" s="1" t="n">
        <v>2022</v>
      </c>
      <c r="C2250" s="1" t="n">
        <v>2</v>
      </c>
      <c r="D2250" s="1" t="s">
        <v>43</v>
      </c>
      <c r="E2250" s="1" t="s">
        <v>14</v>
      </c>
      <c r="F2250" s="1" t="n">
        <v>1900.7</v>
      </c>
      <c r="G2250" s="1" t="n">
        <f aca="false">IF(E2250=E2249,F2250/F2249-1,"")</f>
        <v>0.0582255083179299</v>
      </c>
    </row>
    <row r="2251" customFormat="false" ht="14.25" hidden="false" customHeight="true" outlineLevel="0" collapsed="false">
      <c r="A2251" s="26" t="n">
        <v>44621</v>
      </c>
      <c r="B2251" s="1" t="n">
        <v>2022</v>
      </c>
      <c r="C2251" s="1" t="n">
        <v>3</v>
      </c>
      <c r="D2251" s="1" t="s">
        <v>44</v>
      </c>
      <c r="E2251" s="1" t="s">
        <v>14</v>
      </c>
      <c r="F2251" s="1" t="n">
        <v>1953.04</v>
      </c>
      <c r="G2251" s="1" t="n">
        <f aca="false">IF(E2251=E2250,F2251/F2250-1,"")</f>
        <v>0.0275372231283211</v>
      </c>
    </row>
    <row r="2252" customFormat="false" ht="14.25" hidden="false" customHeight="true" outlineLevel="0" collapsed="false">
      <c r="A2252" s="26" t="n">
        <v>44652</v>
      </c>
      <c r="B2252" s="1" t="n">
        <v>2022</v>
      </c>
      <c r="C2252" s="1" t="n">
        <v>4</v>
      </c>
      <c r="D2252" s="1" t="s">
        <v>45</v>
      </c>
      <c r="E2252" s="1" t="s">
        <v>14</v>
      </c>
      <c r="F2252" s="1" t="n">
        <v>1911.7</v>
      </c>
      <c r="G2252" s="1" t="n">
        <f aca="false">IF(E2252=E2251,F2252/F2251-1,"")</f>
        <v>-0.0211670011878916</v>
      </c>
    </row>
    <row r="2253" customFormat="false" ht="14.25" hidden="false" customHeight="true" outlineLevel="0" collapsed="false">
      <c r="A2253" s="26" t="n">
        <v>44682</v>
      </c>
      <c r="B2253" s="1" t="n">
        <v>2022</v>
      </c>
      <c r="C2253" s="1" t="n">
        <v>5</v>
      </c>
      <c r="D2253" s="1" t="s">
        <v>46</v>
      </c>
      <c r="E2253" s="1" t="s">
        <v>14</v>
      </c>
      <c r="F2253" s="1" t="n">
        <v>1847.26</v>
      </c>
      <c r="G2253" s="1" t="n">
        <f aca="false">IF(E2253=E2252,F2253/F2252-1,"")</f>
        <v>-0.0337082178166031</v>
      </c>
    </row>
    <row r="2254" customFormat="false" ht="14.25" hidden="false" customHeight="true" outlineLevel="0" collapsed="false">
      <c r="A2254" s="26" t="n">
        <v>44713</v>
      </c>
      <c r="B2254" s="1" t="n">
        <v>2022</v>
      </c>
      <c r="C2254" s="1" t="n">
        <v>6</v>
      </c>
      <c r="D2254" s="1" t="s">
        <v>47</v>
      </c>
      <c r="E2254" s="1" t="s">
        <v>14</v>
      </c>
      <c r="F2254" s="1" t="n">
        <v>1817.4548</v>
      </c>
      <c r="G2254" s="1" t="n">
        <f aca="false">IF(E2254=E2253,F2254/F2253-1,"")</f>
        <v>-0.0161348158894795</v>
      </c>
    </row>
    <row r="2255" customFormat="false" ht="14.25" hidden="false" customHeight="true" outlineLevel="0" collapsed="false">
      <c r="A2255" s="26" t="n">
        <v>44743</v>
      </c>
      <c r="B2255" s="1" t="n">
        <v>2022</v>
      </c>
      <c r="C2255" s="1" t="n">
        <v>7</v>
      </c>
      <c r="D2255" s="1" t="s">
        <v>48</v>
      </c>
      <c r="E2255" s="1" t="s">
        <v>14</v>
      </c>
      <c r="F2255" s="1" t="n">
        <v>1766.4309</v>
      </c>
      <c r="G2255" s="1" t="n">
        <f aca="false">IF(E2255=E2254,F2255/F2254-1,"")</f>
        <v>-0.0280743708179152</v>
      </c>
    </row>
    <row r="2256" customFormat="false" ht="14.25" hidden="false" customHeight="true" outlineLevel="0" collapsed="false">
      <c r="A2256" s="26" t="n">
        <v>44774</v>
      </c>
      <c r="B2256" s="1" t="n">
        <v>2022</v>
      </c>
      <c r="C2256" s="1" t="n">
        <v>8</v>
      </c>
      <c r="D2256" s="1" t="s">
        <v>49</v>
      </c>
      <c r="E2256" s="1" t="s">
        <v>14</v>
      </c>
      <c r="F2256" s="1" t="n">
        <v>1708.58</v>
      </c>
      <c r="G2256" s="1" t="n">
        <f aca="false">IF(E2256=E2255,F2256/F2255-1,"")</f>
        <v>-0.0327501630547791</v>
      </c>
    </row>
    <row r="2257" customFormat="false" ht="14.25" hidden="false" customHeight="true" outlineLevel="0" collapsed="false">
      <c r="A2257" s="26" t="n">
        <v>44805</v>
      </c>
      <c r="B2257" s="1" t="n">
        <v>2022</v>
      </c>
      <c r="C2257" s="1" t="n">
        <v>9</v>
      </c>
      <c r="D2257" s="1" t="s">
        <v>50</v>
      </c>
      <c r="E2257" s="1" t="s">
        <v>14</v>
      </c>
      <c r="F2257" s="1" t="n">
        <v>1660.8799</v>
      </c>
      <c r="G2257" s="1" t="n">
        <f aca="false">IF(E2257=E2256,F2257/F2256-1,"")</f>
        <v>-0.0279179786723478</v>
      </c>
    </row>
    <row r="2258" customFormat="false" ht="14.25" hidden="false" customHeight="true" outlineLevel="0" collapsed="false">
      <c r="A2258" s="26" t="n">
        <v>44835</v>
      </c>
      <c r="B2258" s="1" t="n">
        <v>2022</v>
      </c>
      <c r="C2258" s="1" t="n">
        <v>10</v>
      </c>
      <c r="D2258" s="1" t="s">
        <v>51</v>
      </c>
      <c r="E2258" s="1" t="s">
        <v>14</v>
      </c>
      <c r="F2258" s="1" t="n">
        <v>1632.38</v>
      </c>
      <c r="G2258" s="1" t="n">
        <f aca="false">IF(E2258=E2257,F2258/F2257-1,"")</f>
        <v>-0.0171595188791193</v>
      </c>
    </row>
    <row r="2259" customFormat="false" ht="14.25" hidden="false" customHeight="true" outlineLevel="0" collapsed="false">
      <c r="A2259" s="26" t="n">
        <v>44866</v>
      </c>
      <c r="B2259" s="1" t="n">
        <v>2022</v>
      </c>
      <c r="C2259" s="1" t="n">
        <v>11</v>
      </c>
      <c r="D2259" s="1" t="s">
        <v>52</v>
      </c>
      <c r="E2259" s="1" t="s">
        <v>14</v>
      </c>
      <c r="F2259" s="1" t="n">
        <v>1768.61</v>
      </c>
      <c r="G2259" s="1" t="n">
        <f aca="false">IF(E2259=E2258,F2259/F2258-1,"")</f>
        <v>0.0834548328207891</v>
      </c>
    </row>
    <row r="2260" customFormat="false" ht="14.25" hidden="false" customHeight="true" outlineLevel="0" collapsed="false">
      <c r="A2260" s="26" t="n">
        <v>44896</v>
      </c>
      <c r="B2260" s="1" t="n">
        <v>2022</v>
      </c>
      <c r="C2260" s="1" t="n">
        <v>12</v>
      </c>
      <c r="D2260" s="1" t="s">
        <v>53</v>
      </c>
      <c r="E2260" s="1" t="s">
        <v>14</v>
      </c>
      <c r="F2260" s="1" t="n">
        <v>1824.3233</v>
      </c>
      <c r="G2260" s="1" t="n">
        <f aca="false">IF(E2260=E2259,F2260/F2259-1,"")</f>
        <v>0.0315011788918982</v>
      </c>
    </row>
    <row r="2261" customFormat="false" ht="14.25" hidden="false" customHeight="true" outlineLevel="0" collapsed="false">
      <c r="A2261" s="26" t="n">
        <v>44927</v>
      </c>
      <c r="B2261" s="1" t="n">
        <v>2023</v>
      </c>
      <c r="C2261" s="1" t="n">
        <v>1</v>
      </c>
      <c r="D2261" s="1" t="s">
        <v>42</v>
      </c>
      <c r="E2261" s="1" t="s">
        <v>14</v>
      </c>
      <c r="F2261" s="1" t="n">
        <v>1928.1201</v>
      </c>
      <c r="G2261" s="1" t="n">
        <f aca="false">IF(E2261=E2260,F2261/F2260-1,"")</f>
        <v>0.0568960556497853</v>
      </c>
    </row>
    <row r="2262" customFormat="false" ht="14.25" hidden="false" customHeight="true" outlineLevel="0" collapsed="false">
      <c r="A2262" s="26" t="n">
        <v>44958</v>
      </c>
      <c r="B2262" s="1" t="n">
        <v>2023</v>
      </c>
      <c r="C2262" s="1" t="n">
        <v>2</v>
      </c>
      <c r="D2262" s="1" t="s">
        <v>43</v>
      </c>
      <c r="E2262" s="1" t="s">
        <v>14</v>
      </c>
      <c r="F2262" s="1" t="n">
        <v>1826.7404</v>
      </c>
      <c r="G2262" s="1" t="n">
        <f aca="false">IF(E2262=E2261,F2262/F2261-1,"")</f>
        <v>-0.0525795566365395</v>
      </c>
    </row>
    <row r="2263" customFormat="false" ht="14.25" hidden="false" customHeight="true" outlineLevel="0" collapsed="false">
      <c r="A2263" s="26" t="n">
        <v>44986</v>
      </c>
      <c r="B2263" s="1" t="n">
        <v>2023</v>
      </c>
      <c r="C2263" s="1" t="n">
        <v>3</v>
      </c>
      <c r="D2263" s="1" t="s">
        <v>44</v>
      </c>
      <c r="E2263" s="1" t="s">
        <v>14</v>
      </c>
      <c r="F2263" s="1" t="n">
        <v>1969.5459</v>
      </c>
      <c r="G2263" s="1" t="n">
        <f aca="false">IF(E2263=E2262,F2263/F2262-1,"")</f>
        <v>0.0781750378981054</v>
      </c>
    </row>
    <row r="2264" customFormat="false" ht="14.25" hidden="false" customHeight="true" outlineLevel="0" collapsed="false">
      <c r="A2264" s="26" t="n">
        <v>45017</v>
      </c>
      <c r="B2264" s="1" t="n">
        <v>2023</v>
      </c>
      <c r="C2264" s="1" t="n">
        <v>4</v>
      </c>
      <c r="D2264" s="1" t="s">
        <v>45</v>
      </c>
      <c r="E2264" s="1" t="s">
        <v>14</v>
      </c>
      <c r="F2264" s="1" t="n">
        <v>1990.6</v>
      </c>
      <c r="G2264" s="1" t="n">
        <f aca="false">IF(E2264=E2263,F2264/F2263-1,"")</f>
        <v>0.0106898244920313</v>
      </c>
    </row>
    <row r="2265" customFormat="false" ht="14.25" hidden="false" customHeight="true" outlineLevel="0" collapsed="false">
      <c r="A2265" s="26" t="n">
        <v>45047</v>
      </c>
      <c r="B2265" s="1" t="n">
        <v>2023</v>
      </c>
      <c r="C2265" s="1" t="n">
        <v>5</v>
      </c>
      <c r="D2265" s="1" t="s">
        <v>46</v>
      </c>
      <c r="E2265" s="1" t="s">
        <v>14</v>
      </c>
      <c r="F2265" s="1" t="n">
        <v>1965.2</v>
      </c>
      <c r="G2265" s="1" t="n">
        <f aca="false">IF(E2265=E2264,F2265/F2264-1,"")</f>
        <v>-0.0127599718677784</v>
      </c>
    </row>
    <row r="2266" customFormat="false" ht="14.25" hidden="false" customHeight="true" outlineLevel="0" collapsed="false">
      <c r="A2266" s="26" t="n">
        <v>45078</v>
      </c>
      <c r="B2266" s="1" t="n">
        <v>2023</v>
      </c>
      <c r="C2266" s="1" t="n">
        <v>6</v>
      </c>
      <c r="D2266" s="1" t="s">
        <v>47</v>
      </c>
      <c r="E2266" s="1" t="s">
        <v>14</v>
      </c>
      <c r="F2266" s="1" t="n">
        <v>1919.5693</v>
      </c>
      <c r="G2266" s="1" t="n">
        <f aca="false">IF(E2266=E2265,F2266/F2265-1,"")</f>
        <v>-0.0232193669855485</v>
      </c>
    </row>
    <row r="2267" customFormat="false" ht="14.25" hidden="false" customHeight="true" outlineLevel="0" collapsed="false">
      <c r="A2267" s="26" t="n">
        <v>45108</v>
      </c>
      <c r="B2267" s="1" t="n">
        <v>2023</v>
      </c>
      <c r="C2267" s="1" t="n">
        <v>7</v>
      </c>
      <c r="D2267" s="1" t="s">
        <v>48</v>
      </c>
      <c r="E2267" s="1" t="s">
        <v>14</v>
      </c>
      <c r="F2267" s="1" t="n">
        <v>1964.3387</v>
      </c>
      <c r="G2267" s="1" t="n">
        <f aca="false">IF(E2267=E2266,F2267/F2266-1,"")</f>
        <v>0.0233226276331884</v>
      </c>
    </row>
    <row r="2268" customFormat="false" ht="14.25" hidden="false" customHeight="true" outlineLevel="0" collapsed="false">
      <c r="A2268" s="26" t="n">
        <v>45139</v>
      </c>
      <c r="B2268" s="1" t="n">
        <v>2023</v>
      </c>
      <c r="C2268" s="1" t="n">
        <v>8</v>
      </c>
      <c r="D2268" s="1" t="s">
        <v>49</v>
      </c>
      <c r="E2268" s="1" t="s">
        <v>14</v>
      </c>
      <c r="F2268" s="1" t="n">
        <v>1939.8281</v>
      </c>
      <c r="G2268" s="1" t="n">
        <f aca="false">IF(E2268=E2267,F2268/F2267-1,"")</f>
        <v>-0.0124777870537296</v>
      </c>
    </row>
    <row r="2269" customFormat="false" ht="14.25" hidden="false" customHeight="true" outlineLevel="0" collapsed="false">
      <c r="A2269" s="26" t="n">
        <v>45170</v>
      </c>
      <c r="B2269" s="1" t="n">
        <v>2023</v>
      </c>
      <c r="C2269" s="1" t="n">
        <v>9</v>
      </c>
      <c r="D2269" s="1" t="s">
        <v>50</v>
      </c>
      <c r="E2269" s="1" t="s">
        <v>14</v>
      </c>
      <c r="F2269" s="1" t="n">
        <v>1848.4898</v>
      </c>
      <c r="G2269" s="1" t="n">
        <f aca="false">IF(E2269=E2268,F2269/F2268-1,"")</f>
        <v>-0.0470857701257137</v>
      </c>
    </row>
    <row r="2270" customFormat="false" ht="14.25" hidden="false" customHeight="true" outlineLevel="0" collapsed="false">
      <c r="A2270" s="26" t="n">
        <v>45200</v>
      </c>
      <c r="B2270" s="1" t="n">
        <v>2023</v>
      </c>
      <c r="C2270" s="1" t="n">
        <v>10</v>
      </c>
      <c r="D2270" s="1" t="s">
        <v>51</v>
      </c>
      <c r="E2270" s="1" t="s">
        <v>14</v>
      </c>
      <c r="F2270" s="1" t="n">
        <v>1984.0109</v>
      </c>
      <c r="G2270" s="1" t="n">
        <f aca="false">IF(E2270=E2269,F2270/F2269-1,"")</f>
        <v>0.073314497055921</v>
      </c>
    </row>
    <row r="2271" customFormat="false" ht="14.25" hidden="false" customHeight="true" outlineLevel="0" collapsed="false">
      <c r="A2271" s="26" t="n">
        <v>45231</v>
      </c>
      <c r="B2271" s="1" t="n">
        <v>2023</v>
      </c>
      <c r="C2271" s="1" t="n">
        <v>11</v>
      </c>
      <c r="D2271" s="1" t="s">
        <v>52</v>
      </c>
      <c r="E2271" s="1" t="s">
        <v>14</v>
      </c>
      <c r="F2271" s="1" t="n">
        <v>2044.8957</v>
      </c>
      <c r="G2271" s="1" t="n">
        <f aca="false">IF(E2271=E2270,F2271/F2270-1,"")</f>
        <v>0.0306877346288774</v>
      </c>
    </row>
    <row r="2272" customFormat="false" ht="14.25" hidden="false" customHeight="true" outlineLevel="0" collapsed="false">
      <c r="A2272" s="26" t="n">
        <v>45261</v>
      </c>
      <c r="B2272" s="1" t="n">
        <v>2023</v>
      </c>
      <c r="C2272" s="1" t="n">
        <v>12</v>
      </c>
      <c r="D2272" s="1" t="s">
        <v>53</v>
      </c>
      <c r="E2272" s="1" t="s">
        <v>14</v>
      </c>
      <c r="F2272" s="1" t="n">
        <v>2062.9233</v>
      </c>
      <c r="G2272" s="1" t="n">
        <f aca="false">IF(E2272=E2271,F2272/F2271-1,"")</f>
        <v>0.00881590195529292</v>
      </c>
    </row>
    <row r="2273" customFormat="false" ht="14.25" hidden="false" customHeight="true" outlineLevel="0" collapsed="false">
      <c r="A2273" s="26" t="n">
        <v>45292</v>
      </c>
      <c r="B2273" s="1" t="n">
        <v>2024</v>
      </c>
      <c r="C2273" s="1" t="n">
        <v>1</v>
      </c>
      <c r="D2273" s="1" t="s">
        <v>42</v>
      </c>
      <c r="E2273" s="1" t="s">
        <v>14</v>
      </c>
      <c r="F2273" s="1" t="n">
        <v>2039.1538</v>
      </c>
      <c r="G2273" s="1" t="n">
        <f aca="false">IF(E2273=E2272,F2273/F2272-1,"")</f>
        <v>-0.0115222412777052</v>
      </c>
    </row>
    <row r="2274" customFormat="false" ht="14.25" hidden="false" customHeight="true" outlineLevel="0" collapsed="false">
      <c r="A2274" s="26" t="n">
        <v>45323</v>
      </c>
      <c r="B2274" s="1" t="n">
        <v>2024</v>
      </c>
      <c r="C2274" s="1" t="n">
        <v>2</v>
      </c>
      <c r="D2274" s="1" t="s">
        <v>43</v>
      </c>
      <c r="E2274" s="1" t="s">
        <v>14</v>
      </c>
      <c r="F2274" s="1" t="n">
        <v>2044.1997</v>
      </c>
      <c r="G2274" s="1" t="n">
        <f aca="false">IF(E2274=E2273,F2274/F2273-1,"")</f>
        <v>0.00247450682729267</v>
      </c>
    </row>
    <row r="2275" customFormat="false" ht="14.25" hidden="false" customHeight="true" outlineLevel="0" collapsed="false">
      <c r="A2275" s="26" t="n">
        <v>45352</v>
      </c>
      <c r="B2275" s="1" t="n">
        <v>2024</v>
      </c>
      <c r="C2275" s="1" t="n">
        <v>3</v>
      </c>
      <c r="D2275" s="1" t="s">
        <v>44</v>
      </c>
      <c r="E2275" s="1" t="s">
        <v>14</v>
      </c>
      <c r="F2275" s="1" t="n">
        <v>2231.5551</v>
      </c>
      <c r="G2275" s="1" t="n">
        <f aca="false">IF(E2275=E2274,F2275/F2274-1,"")</f>
        <v>0.0916522001250661</v>
      </c>
    </row>
    <row r="2276" customFormat="false" ht="14.25" hidden="false" customHeight="true" outlineLevel="0" collapsed="false">
      <c r="A2276" s="26" t="n">
        <v>45383</v>
      </c>
      <c r="B2276" s="1" t="n">
        <v>2024</v>
      </c>
      <c r="C2276" s="1" t="n">
        <v>4</v>
      </c>
      <c r="D2276" s="1" t="s">
        <v>45</v>
      </c>
      <c r="E2276" s="1" t="s">
        <v>14</v>
      </c>
      <c r="F2276" s="1" t="n">
        <v>2285.9886</v>
      </c>
      <c r="G2276" s="1" t="n">
        <f aca="false">IF(E2276=E2275,F2276/F2275-1,"")</f>
        <v>0.0243926309504974</v>
      </c>
    </row>
    <row r="2277" customFormat="false" ht="14.25" hidden="false" customHeight="true" outlineLevel="0" collapsed="false">
      <c r="A2277" s="26" t="n">
        <v>45413</v>
      </c>
      <c r="B2277" s="1" t="n">
        <v>2024</v>
      </c>
      <c r="C2277" s="1" t="n">
        <v>5</v>
      </c>
      <c r="D2277" s="1" t="s">
        <v>46</v>
      </c>
      <c r="E2277" s="1" t="s">
        <v>14</v>
      </c>
      <c r="F2277" s="1" t="n">
        <v>2327.2836</v>
      </c>
      <c r="G2277" s="1" t="n">
        <f aca="false">IF(E2277=E2276,F2277/F2276-1,"")</f>
        <v>0.0180643945468495</v>
      </c>
    </row>
    <row r="2278" customFormat="false" ht="14.25" hidden="false" customHeight="true" outlineLevel="0" collapsed="false">
      <c r="A2278" s="26" t="n">
        <v>45444</v>
      </c>
      <c r="B2278" s="1" t="n">
        <v>2024</v>
      </c>
      <c r="C2278" s="1" t="n">
        <v>6</v>
      </c>
      <c r="D2278" s="1" t="s">
        <v>47</v>
      </c>
      <c r="E2278" s="1" t="s">
        <v>14</v>
      </c>
      <c r="F2278" s="1" t="n">
        <v>2326.7177</v>
      </c>
      <c r="G2278" s="1" t="n">
        <f aca="false">IF(E2278=E2277,F2278/F2277-1,"")</f>
        <v>-0.000243159020241523</v>
      </c>
    </row>
    <row r="2279" customFormat="false" ht="14.25" hidden="false" customHeight="true" outlineLevel="0" collapsed="false">
      <c r="A2279" s="26" t="n">
        <v>45474</v>
      </c>
      <c r="B2279" s="1" t="n">
        <v>2024</v>
      </c>
      <c r="C2279" s="1" t="n">
        <v>7</v>
      </c>
      <c r="D2279" s="1" t="s">
        <v>48</v>
      </c>
      <c r="E2279" s="1" t="s">
        <v>14</v>
      </c>
      <c r="F2279" s="1" t="n">
        <v>2409.6865</v>
      </c>
      <c r="G2279" s="1" t="n">
        <f aca="false">IF(E2279=E2278,F2279/F2278-1,"")</f>
        <v>0.0356591605419083</v>
      </c>
    </row>
    <row r="2280" customFormat="false" ht="14.25" hidden="false" customHeight="true" outlineLevel="0" collapsed="false">
      <c r="A2280" s="26" t="n">
        <v>45505</v>
      </c>
      <c r="B2280" s="1" t="n">
        <v>2024</v>
      </c>
      <c r="C2280" s="1" t="n">
        <v>8</v>
      </c>
      <c r="D2280" s="1" t="s">
        <v>49</v>
      </c>
      <c r="E2280" s="1" t="s">
        <v>14</v>
      </c>
      <c r="F2280" s="1" t="n">
        <v>2503.3796</v>
      </c>
      <c r="G2280" s="1" t="n">
        <f aca="false">IF(E2280=E2279,F2280/F2279-1,"")</f>
        <v>0.0388818628481342</v>
      </c>
    </row>
    <row r="2281" customFormat="false" ht="14.25" hidden="false" customHeight="true" outlineLevel="0" collapsed="false">
      <c r="A2281" s="26" t="n">
        <v>45536</v>
      </c>
      <c r="B2281" s="1" t="n">
        <v>2024</v>
      </c>
      <c r="C2281" s="1" t="n">
        <v>9</v>
      </c>
      <c r="D2281" s="1" t="s">
        <v>50</v>
      </c>
      <c r="E2281" s="1" t="s">
        <v>14</v>
      </c>
      <c r="F2281" s="1" t="n">
        <v>2664.4143</v>
      </c>
      <c r="G2281" s="1" t="n">
        <f aca="false">IF(E2281=E2280,F2281/F2280-1,"")</f>
        <v>0.0643269202960668</v>
      </c>
    </row>
    <row r="2282" customFormat="false" ht="14.25" hidden="false" customHeight="true" outlineLevel="0" collapsed="false">
      <c r="A2282" s="26" t="n">
        <v>45566</v>
      </c>
      <c r="B2282" s="1" t="n">
        <v>2024</v>
      </c>
      <c r="C2282" s="1" t="n">
        <v>10</v>
      </c>
      <c r="D2282" s="1" t="s">
        <v>51</v>
      </c>
      <c r="E2282" s="1" t="s">
        <v>14</v>
      </c>
      <c r="F2282" s="1" t="n">
        <v>2746.7019</v>
      </c>
      <c r="G2282" s="1" t="n">
        <f aca="false">IF(E2282=E2281,F2282/F2281-1,"")</f>
        <v>0.0308839357302655</v>
      </c>
    </row>
    <row r="2283" customFormat="false" ht="14.25" hidden="false" customHeight="true" outlineLevel="0" collapsed="false">
      <c r="A2283" s="26" t="n">
        <v>45597</v>
      </c>
      <c r="B2283" s="1" t="n">
        <v>2024</v>
      </c>
      <c r="C2283" s="1" t="n">
        <v>11</v>
      </c>
      <c r="D2283" s="1" t="s">
        <v>52</v>
      </c>
      <c r="E2283" s="1" t="s">
        <v>14</v>
      </c>
      <c r="F2283" s="1" t="n">
        <v>2651.247</v>
      </c>
      <c r="G2283" s="1" t="n">
        <f aca="false">IF(E2283=E2282,F2283/F2282-1,"")</f>
        <v>-0.0347525517785531</v>
      </c>
    </row>
    <row r="2284" customFormat="false" ht="14.25" hidden="false" customHeight="true" outlineLevel="0" collapsed="false">
      <c r="A2284" s="26" t="n">
        <v>45627</v>
      </c>
      <c r="B2284" s="1" t="n">
        <v>2024</v>
      </c>
      <c r="C2284" s="1" t="n">
        <v>12</v>
      </c>
      <c r="D2284" s="1" t="s">
        <v>53</v>
      </c>
      <c r="E2284" s="1" t="s">
        <v>14</v>
      </c>
      <c r="F2284" s="1" t="n">
        <v>2624.603</v>
      </c>
      <c r="G2284" s="1" t="n">
        <f aca="false">IF(E2284=E2283,F2284/F2283-1,"")</f>
        <v>-0.0100496106171925</v>
      </c>
    </row>
    <row r="2285" customFormat="false" ht="14.25" hidden="false" customHeight="true" outlineLevel="0" collapsed="false">
      <c r="A2285" s="26" t="n">
        <v>45658</v>
      </c>
      <c r="B2285" s="1" t="n">
        <v>2025</v>
      </c>
      <c r="C2285" s="1" t="n">
        <v>1</v>
      </c>
      <c r="D2285" s="1" t="s">
        <v>42</v>
      </c>
      <c r="E2285" s="1" t="s">
        <v>14</v>
      </c>
      <c r="F2285" s="1" t="n">
        <v>2798.1968</v>
      </c>
      <c r="G2285" s="1" t="n">
        <f aca="false">IF(E2285=E2284,F2285/F2284-1,"")</f>
        <v>0.0661409744635666</v>
      </c>
    </row>
    <row r="2286" customFormat="false" ht="14.25" hidden="false" customHeight="true" outlineLevel="0" collapsed="false">
      <c r="A2286" s="26" t="n">
        <v>45689</v>
      </c>
      <c r="B2286" s="1" t="n">
        <v>2025</v>
      </c>
      <c r="C2286" s="1" t="n">
        <v>2</v>
      </c>
      <c r="D2286" s="1" t="s">
        <v>43</v>
      </c>
      <c r="E2286" s="1" t="s">
        <v>14</v>
      </c>
      <c r="F2286" s="1" t="n">
        <v>2876.208</v>
      </c>
      <c r="G2286" s="1" t="n">
        <f aca="false">IF(E2286=E2285,F2286/F2285-1,"")</f>
        <v>0.027879096995608</v>
      </c>
    </row>
    <row r="2287" customFormat="false" ht="14.25" hidden="false" customHeight="true" outlineLevel="0" collapsed="false">
      <c r="A2287" s="26" t="n">
        <v>45717</v>
      </c>
      <c r="B2287" s="1" t="n">
        <v>2025</v>
      </c>
      <c r="C2287" s="1" t="n">
        <v>3</v>
      </c>
      <c r="D2287" s="1" t="s">
        <v>44</v>
      </c>
      <c r="E2287" s="1" t="s">
        <v>14</v>
      </c>
      <c r="F2287" s="1" t="n">
        <v>3086.3435</v>
      </c>
      <c r="G2287" s="1" t="n">
        <f aca="false">IF(E2287=E2286,F2287/F2286-1,"")</f>
        <v>0.0730599108270333</v>
      </c>
    </row>
    <row r="2288" customFormat="false" ht="14.25" hidden="false" customHeight="true" outlineLevel="0" collapsed="false">
      <c r="A2288" s="26" t="n">
        <v>45748</v>
      </c>
      <c r="B2288" s="1" t="n">
        <v>2025</v>
      </c>
      <c r="C2288" s="1" t="n">
        <v>4</v>
      </c>
      <c r="D2288" s="1" t="s">
        <v>45</v>
      </c>
      <c r="E2288" s="1" t="s">
        <v>14</v>
      </c>
      <c r="F2288" s="1" t="n">
        <v>3273.5046</v>
      </c>
      <c r="G2288" s="1" t="n">
        <f aca="false">IF(E2288=E2287,F2288/F2287-1,"")</f>
        <v>0.0606416946137072</v>
      </c>
    </row>
    <row r="2289" customFormat="false" ht="14.25" hidden="false" customHeight="true" outlineLevel="0" collapsed="false">
      <c r="A2289" s="26" t="n">
        <v>45778</v>
      </c>
      <c r="B2289" s="1" t="n">
        <v>2025</v>
      </c>
      <c r="C2289" s="1" t="n">
        <v>5</v>
      </c>
      <c r="D2289" s="1" t="s">
        <v>46</v>
      </c>
      <c r="E2289" s="1" t="s">
        <v>14</v>
      </c>
      <c r="F2289" s="1" t="n">
        <v>3289.5548</v>
      </c>
      <c r="G2289" s="1" t="n">
        <f aca="false">IF(E2289=E2288,F2289/F2288-1,"")</f>
        <v>0.00490306321854561</v>
      </c>
    </row>
    <row r="2290" customFormat="false" ht="14.25" hidden="false" customHeight="true" outlineLevel="0" collapsed="false">
      <c r="A2290" s="26" t="n">
        <v>45809</v>
      </c>
      <c r="B2290" s="1" t="n">
        <v>2025</v>
      </c>
      <c r="C2290" s="1" t="n">
        <v>6</v>
      </c>
      <c r="D2290" s="1" t="s">
        <v>47</v>
      </c>
      <c r="E2290" s="1" t="s">
        <v>14</v>
      </c>
      <c r="F2290" s="1" t="n">
        <v>3266.4101</v>
      </c>
      <c r="G2290" s="1" t="n">
        <f aca="false">IF(E2290=E2289,F2290/F2289-1,"")</f>
        <v>-0.00703581530242325</v>
      </c>
    </row>
    <row r="2291" customFormat="false" ht="14.25" hidden="false" customHeight="true" outlineLevel="0" collapsed="false">
      <c r="A2291" s="26" t="n">
        <v>45839</v>
      </c>
      <c r="B2291" s="1" t="n">
        <v>2025</v>
      </c>
      <c r="C2291" s="1" t="n">
        <v>7</v>
      </c>
      <c r="D2291" s="1" t="s">
        <v>48</v>
      </c>
      <c r="E2291" s="1" t="s">
        <v>14</v>
      </c>
      <c r="F2291" s="1" t="n">
        <v>3285.7772</v>
      </c>
      <c r="G2291" s="1" t="n">
        <f aca="false">IF(E2291=E2290,F2291/F2290-1,"")</f>
        <v>0.00592916976346602</v>
      </c>
    </row>
    <row r="2292" customFormat="false" ht="14.25" hidden="false" customHeight="true" outlineLevel="0" collapsed="false">
      <c r="A2292" s="26" t="n">
        <v>45870</v>
      </c>
      <c r="B2292" s="1" t="n">
        <v>2025</v>
      </c>
      <c r="C2292" s="1" t="n">
        <v>8</v>
      </c>
      <c r="D2292" s="1" t="s">
        <v>49</v>
      </c>
      <c r="E2292" s="1" t="s">
        <v>14</v>
      </c>
      <c r="F2292" s="1" t="n">
        <v>3415.7672</v>
      </c>
      <c r="G2292" s="1" t="n">
        <f aca="false">IF(E2292=E2291,F2292/F2291-1,"")</f>
        <v>0.0395614163979225</v>
      </c>
    </row>
    <row r="2293" customFormat="false" ht="14.25" hidden="false" customHeight="true" outlineLevel="0" collapsed="false">
      <c r="A2293" s="26" t="n">
        <v>45901</v>
      </c>
      <c r="B2293" s="1" t="n">
        <v>2025</v>
      </c>
      <c r="C2293" s="1" t="n">
        <v>9</v>
      </c>
      <c r="D2293" s="1" t="s">
        <v>50</v>
      </c>
      <c r="E2293" s="1" t="s">
        <v>14</v>
      </c>
      <c r="F2293" s="1" t="n">
        <v>3836.2342</v>
      </c>
      <c r="G2293" s="1" t="n">
        <f aca="false">IF(E2293=E2292,F2293/F2292-1,"")</f>
        <v>0.123095918246419</v>
      </c>
    </row>
    <row r="2294" customFormat="false" ht="14.25" hidden="false" customHeight="true" outlineLevel="0" collapsed="false">
      <c r="A2294" s="26" t="n">
        <v>45931</v>
      </c>
      <c r="B2294" s="1" t="n">
        <v>2025</v>
      </c>
      <c r="C2294" s="1" t="n">
        <v>10</v>
      </c>
      <c r="D2294" s="1" t="s">
        <v>51</v>
      </c>
      <c r="E2294" s="1" t="s">
        <v>14</v>
      </c>
      <c r="F2294" s="1" t="n">
        <v>4002.7699</v>
      </c>
      <c r="G2294" s="1" t="n">
        <f aca="false">IF(E2294=E2293,F2294/F2293-1,"")</f>
        <v>0.0434112442874317</v>
      </c>
    </row>
    <row r="2295" customFormat="false" ht="14.25" hidden="false" customHeight="true" outlineLevel="0" collapsed="false">
      <c r="A2295" s="26" t="n">
        <v>45962</v>
      </c>
      <c r="B2295" s="1" t="n">
        <v>2025</v>
      </c>
      <c r="C2295" s="1" t="n">
        <v>11</v>
      </c>
      <c r="D2295" s="1" t="s">
        <v>52</v>
      </c>
      <c r="E2295" s="1" t="s">
        <v>14</v>
      </c>
      <c r="F2295" s="1" t="n">
        <v>4217.3637</v>
      </c>
      <c r="G2295" s="1" t="n">
        <f aca="false">IF(E2295=E2294,F2295/F2294-1,"")</f>
        <v>0.0536113254973762</v>
      </c>
    </row>
    <row r="2296" customFormat="false" ht="14.25" hidden="false" customHeight="true" outlineLevel="0" collapsed="false">
      <c r="A2296" s="26" t="n">
        <v>45992</v>
      </c>
      <c r="B2296" s="1" t="n">
        <v>2025</v>
      </c>
      <c r="C2296" s="1" t="n">
        <v>12</v>
      </c>
      <c r="D2296" s="1" t="s">
        <v>53</v>
      </c>
      <c r="E2296" s="1" t="s">
        <v>14</v>
      </c>
      <c r="F2296" s="1" t="n">
        <v>4322.3617</v>
      </c>
      <c r="G2296" s="1" t="n">
        <f aca="false">IF(E2296=E2295,F2296/F2295-1,"")</f>
        <v>0.0248965959468945</v>
      </c>
    </row>
    <row r="2297" customFormat="false" ht="14.25" hidden="false" customHeight="true" outlineLevel="0" collapsed="false">
      <c r="A2297" s="26" t="n">
        <v>46023</v>
      </c>
      <c r="B2297" s="1" t="n">
        <v>2026</v>
      </c>
      <c r="C2297" s="1" t="n">
        <v>1</v>
      </c>
      <c r="D2297" s="1" t="s">
        <v>42</v>
      </c>
      <c r="E2297" s="1" t="s">
        <v>14</v>
      </c>
      <c r="F2297" s="1" t="n">
        <v>4865.35</v>
      </c>
      <c r="G2297" s="1" t="n">
        <f aca="false">IF(E2297=E2296,F2297/F2296-1,"")</f>
        <v>0.125623059264105</v>
      </c>
    </row>
    <row r="2298" customFormat="false" ht="14.25" hidden="false" customHeight="true" outlineLevel="0" collapsed="false">
      <c r="A2298" s="26" t="n">
        <v>46054</v>
      </c>
      <c r="B2298" s="1" t="n">
        <v>2026</v>
      </c>
      <c r="C2298" s="1" t="n">
        <v>2</v>
      </c>
      <c r="D2298" s="1" t="s">
        <v>43</v>
      </c>
      <c r="E2298" s="1" t="s">
        <v>14</v>
      </c>
      <c r="F2298" s="1" t="n">
        <v>5277.89</v>
      </c>
      <c r="G2298" s="1" t="n">
        <f aca="false">IF(E2298=E2297,F2298/F2297-1,"")</f>
        <v>0.084791433298735</v>
      </c>
    </row>
    <row r="2299" customFormat="false" ht="14.25" hidden="false" customHeight="true" outlineLevel="0" collapsed="false">
      <c r="A2299" s="26" t="n">
        <v>46082</v>
      </c>
      <c r="B2299" s="1" t="n">
        <v>2026</v>
      </c>
      <c r="C2299" s="1" t="n">
        <v>3</v>
      </c>
      <c r="D2299" s="1" t="s">
        <v>44</v>
      </c>
      <c r="E2299" s="1" t="s">
        <v>14</v>
      </c>
      <c r="F2299" s="1" t="n">
        <v>4670.3486</v>
      </c>
      <c r="G2299" s="1" t="n">
        <f aca="false">IF(E2299=E2298,F2299/F2298-1,"")</f>
        <v>-0.115110659752287</v>
      </c>
    </row>
    <row r="2300" customFormat="false" ht="14.25" hidden="false" customHeight="true" outlineLevel="0" collapsed="false">
      <c r="A2300" s="26" t="n">
        <v>46113</v>
      </c>
      <c r="B2300" s="1" t="n">
        <v>2026</v>
      </c>
      <c r="C2300" s="1" t="n">
        <v>4</v>
      </c>
      <c r="D2300" s="1" t="s">
        <v>45</v>
      </c>
      <c r="E2300" s="1" t="s">
        <v>14</v>
      </c>
      <c r="F2300" s="1" t="n">
        <v>4712.8906</v>
      </c>
      <c r="G2300" s="1" t="n">
        <f aca="false">IF(E2300=E2299,F2300/F2299-1,"")</f>
        <v>0.00910895602097006</v>
      </c>
    </row>
    <row r="2301" customFormat="false" ht="14.25" hidden="false" customHeight="true" outlineLevel="0" collapsed="false">
      <c r="A2301" s="26" t="n">
        <v>5480</v>
      </c>
      <c r="B2301" s="1" t="n">
        <v>1915</v>
      </c>
      <c r="C2301" s="1" t="n">
        <v>1</v>
      </c>
      <c r="D2301" s="1" t="s">
        <v>42</v>
      </c>
      <c r="E2301" s="1" t="s">
        <v>2</v>
      </c>
      <c r="F2301" s="1" t="n">
        <v>0.51</v>
      </c>
      <c r="G2301" s="1" t="str">
        <f aca="false">IF(E2301=E2300,F2301/F2300-1,"")</f>
        <v/>
      </c>
    </row>
    <row r="2302" customFormat="false" ht="14.25" hidden="false" customHeight="true" outlineLevel="0" collapsed="false">
      <c r="A2302" s="26" t="n">
        <v>5511</v>
      </c>
      <c r="B2302" s="1" t="n">
        <v>1915</v>
      </c>
      <c r="C2302" s="1" t="n">
        <v>2</v>
      </c>
      <c r="D2302" s="1" t="s">
        <v>43</v>
      </c>
      <c r="E2302" s="1" t="s">
        <v>2</v>
      </c>
      <c r="F2302" s="1" t="n">
        <v>0.51</v>
      </c>
      <c r="G2302" s="1" t="n">
        <f aca="false">IF(E2302=E2301,F2302/F2301-1,"")</f>
        <v>0</v>
      </c>
    </row>
    <row r="2303" customFormat="false" ht="14.25" hidden="false" customHeight="true" outlineLevel="0" collapsed="false">
      <c r="A2303" s="26" t="n">
        <v>5539</v>
      </c>
      <c r="B2303" s="1" t="n">
        <v>1915</v>
      </c>
      <c r="C2303" s="1" t="n">
        <v>3</v>
      </c>
      <c r="D2303" s="1" t="s">
        <v>44</v>
      </c>
      <c r="E2303" s="1" t="s">
        <v>2</v>
      </c>
      <c r="F2303" s="1" t="n">
        <v>0.51</v>
      </c>
      <c r="G2303" s="1" t="n">
        <f aca="false">IF(E2303=E2302,F2303/F2302-1,"")</f>
        <v>0</v>
      </c>
    </row>
    <row r="2304" customFormat="false" ht="14.25" hidden="false" customHeight="true" outlineLevel="0" collapsed="false">
      <c r="A2304" s="26" t="n">
        <v>5570</v>
      </c>
      <c r="B2304" s="1" t="n">
        <v>1915</v>
      </c>
      <c r="C2304" s="1" t="n">
        <v>4</v>
      </c>
      <c r="D2304" s="1" t="s">
        <v>45</v>
      </c>
      <c r="E2304" s="1" t="s">
        <v>2</v>
      </c>
      <c r="F2304" s="1" t="n">
        <v>0.51</v>
      </c>
      <c r="G2304" s="1" t="n">
        <f aca="false">IF(E2304=E2303,F2304/F2303-1,"")</f>
        <v>0</v>
      </c>
    </row>
    <row r="2305" customFormat="false" ht="14.25" hidden="false" customHeight="true" outlineLevel="0" collapsed="false">
      <c r="A2305" s="26" t="n">
        <v>5600</v>
      </c>
      <c r="B2305" s="1" t="n">
        <v>1915</v>
      </c>
      <c r="C2305" s="1" t="n">
        <v>5</v>
      </c>
      <c r="D2305" s="1" t="s">
        <v>46</v>
      </c>
      <c r="E2305" s="1" t="s">
        <v>2</v>
      </c>
      <c r="F2305" s="1" t="n">
        <v>0.51</v>
      </c>
      <c r="G2305" s="1" t="n">
        <f aca="false">IF(E2305=E2304,F2305/F2304-1,"")</f>
        <v>0</v>
      </c>
    </row>
    <row r="2306" customFormat="false" ht="14.25" hidden="false" customHeight="true" outlineLevel="0" collapsed="false">
      <c r="A2306" s="26" t="n">
        <v>5631</v>
      </c>
      <c r="B2306" s="1" t="n">
        <v>1915</v>
      </c>
      <c r="C2306" s="1" t="n">
        <v>6</v>
      </c>
      <c r="D2306" s="1" t="s">
        <v>47</v>
      </c>
      <c r="E2306" s="1" t="s">
        <v>2</v>
      </c>
      <c r="F2306" s="1" t="n">
        <v>0.51</v>
      </c>
      <c r="G2306" s="1" t="n">
        <f aca="false">IF(E2306=E2305,F2306/F2305-1,"")</f>
        <v>0</v>
      </c>
    </row>
    <row r="2307" customFormat="false" ht="14.25" hidden="false" customHeight="true" outlineLevel="0" collapsed="false">
      <c r="A2307" s="26" t="n">
        <v>5661</v>
      </c>
      <c r="B2307" s="1" t="n">
        <v>1915</v>
      </c>
      <c r="C2307" s="1" t="n">
        <v>7</v>
      </c>
      <c r="D2307" s="1" t="s">
        <v>48</v>
      </c>
      <c r="E2307" s="1" t="s">
        <v>2</v>
      </c>
      <c r="F2307" s="1" t="n">
        <v>0.51</v>
      </c>
      <c r="G2307" s="1" t="n">
        <f aca="false">IF(E2307=E2306,F2307/F2306-1,"")</f>
        <v>0</v>
      </c>
    </row>
    <row r="2308" customFormat="false" ht="14.25" hidden="false" customHeight="true" outlineLevel="0" collapsed="false">
      <c r="A2308" s="26" t="n">
        <v>5692</v>
      </c>
      <c r="B2308" s="1" t="n">
        <v>1915</v>
      </c>
      <c r="C2308" s="1" t="n">
        <v>8</v>
      </c>
      <c r="D2308" s="1" t="s">
        <v>49</v>
      </c>
      <c r="E2308" s="1" t="s">
        <v>2</v>
      </c>
      <c r="F2308" s="1" t="n">
        <v>0.51</v>
      </c>
      <c r="G2308" s="1" t="n">
        <f aca="false">IF(E2308=E2307,F2308/F2307-1,"")</f>
        <v>0</v>
      </c>
    </row>
    <row r="2309" customFormat="false" ht="14.25" hidden="false" customHeight="true" outlineLevel="0" collapsed="false">
      <c r="A2309" s="26" t="n">
        <v>5723</v>
      </c>
      <c r="B2309" s="1" t="n">
        <v>1915</v>
      </c>
      <c r="C2309" s="1" t="n">
        <v>9</v>
      </c>
      <c r="D2309" s="1" t="s">
        <v>50</v>
      </c>
      <c r="E2309" s="1" t="s">
        <v>2</v>
      </c>
      <c r="F2309" s="1" t="n">
        <v>0.51</v>
      </c>
      <c r="G2309" s="1" t="n">
        <f aca="false">IF(E2309=E2308,F2309/F2308-1,"")</f>
        <v>0</v>
      </c>
    </row>
    <row r="2310" customFormat="false" ht="14.25" hidden="false" customHeight="true" outlineLevel="0" collapsed="false">
      <c r="A2310" s="26" t="n">
        <v>5753</v>
      </c>
      <c r="B2310" s="1" t="n">
        <v>1915</v>
      </c>
      <c r="C2310" s="1" t="n">
        <v>10</v>
      </c>
      <c r="D2310" s="1" t="s">
        <v>51</v>
      </c>
      <c r="E2310" s="1" t="s">
        <v>2</v>
      </c>
      <c r="F2310" s="1" t="n">
        <v>0.51</v>
      </c>
      <c r="G2310" s="1" t="n">
        <f aca="false">IF(E2310=E2309,F2310/F2309-1,"")</f>
        <v>0</v>
      </c>
    </row>
    <row r="2311" customFormat="false" ht="14.25" hidden="false" customHeight="true" outlineLevel="0" collapsed="false">
      <c r="A2311" s="26" t="n">
        <v>5784</v>
      </c>
      <c r="B2311" s="1" t="n">
        <v>1915</v>
      </c>
      <c r="C2311" s="1" t="n">
        <v>11</v>
      </c>
      <c r="D2311" s="1" t="s">
        <v>52</v>
      </c>
      <c r="E2311" s="1" t="s">
        <v>2</v>
      </c>
      <c r="F2311" s="1" t="n">
        <v>0.51</v>
      </c>
      <c r="G2311" s="1" t="n">
        <f aca="false">IF(E2311=E2310,F2311/F2310-1,"")</f>
        <v>0</v>
      </c>
    </row>
    <row r="2312" customFormat="false" ht="14.25" hidden="false" customHeight="true" outlineLevel="0" collapsed="false">
      <c r="A2312" s="26" t="n">
        <v>5814</v>
      </c>
      <c r="B2312" s="1" t="n">
        <v>1915</v>
      </c>
      <c r="C2312" s="1" t="n">
        <v>12</v>
      </c>
      <c r="D2312" s="1" t="s">
        <v>53</v>
      </c>
      <c r="E2312" s="1" t="s">
        <v>2</v>
      </c>
      <c r="F2312" s="1" t="n">
        <v>0.51</v>
      </c>
      <c r="G2312" s="1" t="n">
        <f aca="false">IF(E2312=E2311,F2312/F2311-1,"")</f>
        <v>0</v>
      </c>
    </row>
    <row r="2313" customFormat="false" ht="14.25" hidden="false" customHeight="true" outlineLevel="0" collapsed="false">
      <c r="A2313" s="26" t="n">
        <v>5845</v>
      </c>
      <c r="B2313" s="1" t="n">
        <v>1916</v>
      </c>
      <c r="C2313" s="1" t="n">
        <v>1</v>
      </c>
      <c r="D2313" s="1" t="s">
        <v>42</v>
      </c>
      <c r="E2313" s="1" t="s">
        <v>2</v>
      </c>
      <c r="F2313" s="1" t="n">
        <v>0.67</v>
      </c>
      <c r="G2313" s="1" t="n">
        <f aca="false">IF(E2313=E2312,F2313/F2312-1,"")</f>
        <v>0.313725490196078</v>
      </c>
    </row>
    <row r="2314" customFormat="false" ht="14.25" hidden="false" customHeight="true" outlineLevel="0" collapsed="false">
      <c r="A2314" s="26" t="n">
        <v>5876</v>
      </c>
      <c r="B2314" s="1" t="n">
        <v>1916</v>
      </c>
      <c r="C2314" s="1" t="n">
        <v>2</v>
      </c>
      <c r="D2314" s="1" t="s">
        <v>43</v>
      </c>
      <c r="E2314" s="1" t="s">
        <v>2</v>
      </c>
      <c r="F2314" s="1" t="n">
        <v>0.67</v>
      </c>
      <c r="G2314" s="1" t="n">
        <f aca="false">IF(E2314=E2313,F2314/F2313-1,"")</f>
        <v>0</v>
      </c>
    </row>
    <row r="2315" customFormat="false" ht="14.25" hidden="false" customHeight="true" outlineLevel="0" collapsed="false">
      <c r="A2315" s="26" t="n">
        <v>5905</v>
      </c>
      <c r="B2315" s="1" t="n">
        <v>1916</v>
      </c>
      <c r="C2315" s="1" t="n">
        <v>3</v>
      </c>
      <c r="D2315" s="1" t="s">
        <v>44</v>
      </c>
      <c r="E2315" s="1" t="s">
        <v>2</v>
      </c>
      <c r="F2315" s="1" t="n">
        <v>0.67</v>
      </c>
      <c r="G2315" s="1" t="n">
        <f aca="false">IF(E2315=E2314,F2315/F2314-1,"")</f>
        <v>0</v>
      </c>
    </row>
    <row r="2316" customFormat="false" ht="14.25" hidden="false" customHeight="true" outlineLevel="0" collapsed="false">
      <c r="A2316" s="26" t="n">
        <v>5936</v>
      </c>
      <c r="B2316" s="1" t="n">
        <v>1916</v>
      </c>
      <c r="C2316" s="1" t="n">
        <v>4</v>
      </c>
      <c r="D2316" s="1" t="s">
        <v>45</v>
      </c>
      <c r="E2316" s="1" t="s">
        <v>2</v>
      </c>
      <c r="F2316" s="1" t="n">
        <v>0.67</v>
      </c>
      <c r="G2316" s="1" t="n">
        <f aca="false">IF(E2316=E2315,F2316/F2315-1,"")</f>
        <v>0</v>
      </c>
    </row>
    <row r="2317" customFormat="false" ht="14.25" hidden="false" customHeight="true" outlineLevel="0" collapsed="false">
      <c r="A2317" s="26" t="n">
        <v>5966</v>
      </c>
      <c r="B2317" s="1" t="n">
        <v>1916</v>
      </c>
      <c r="C2317" s="1" t="n">
        <v>5</v>
      </c>
      <c r="D2317" s="1" t="s">
        <v>46</v>
      </c>
      <c r="E2317" s="1" t="s">
        <v>2</v>
      </c>
      <c r="F2317" s="1" t="n">
        <v>0.67</v>
      </c>
      <c r="G2317" s="1" t="n">
        <f aca="false">IF(E2317=E2316,F2317/F2316-1,"")</f>
        <v>0</v>
      </c>
    </row>
    <row r="2318" customFormat="false" ht="14.25" hidden="false" customHeight="true" outlineLevel="0" collapsed="false">
      <c r="A2318" s="26" t="n">
        <v>5997</v>
      </c>
      <c r="B2318" s="1" t="n">
        <v>1916</v>
      </c>
      <c r="C2318" s="1" t="n">
        <v>6</v>
      </c>
      <c r="D2318" s="1" t="s">
        <v>47</v>
      </c>
      <c r="E2318" s="1" t="s">
        <v>2</v>
      </c>
      <c r="F2318" s="1" t="n">
        <v>0.67</v>
      </c>
      <c r="G2318" s="1" t="n">
        <f aca="false">IF(E2318=E2317,F2318/F2317-1,"")</f>
        <v>0</v>
      </c>
    </row>
    <row r="2319" customFormat="false" ht="14.25" hidden="false" customHeight="true" outlineLevel="0" collapsed="false">
      <c r="A2319" s="26" t="n">
        <v>6027</v>
      </c>
      <c r="B2319" s="1" t="n">
        <v>1916</v>
      </c>
      <c r="C2319" s="1" t="n">
        <v>7</v>
      </c>
      <c r="D2319" s="1" t="s">
        <v>48</v>
      </c>
      <c r="E2319" s="1" t="s">
        <v>2</v>
      </c>
      <c r="F2319" s="1" t="n">
        <v>0.67</v>
      </c>
      <c r="G2319" s="1" t="n">
        <f aca="false">IF(E2319=E2318,F2319/F2318-1,"")</f>
        <v>0</v>
      </c>
    </row>
    <row r="2320" customFormat="false" ht="14.25" hidden="false" customHeight="true" outlineLevel="0" collapsed="false">
      <c r="A2320" s="26" t="n">
        <v>6058</v>
      </c>
      <c r="B2320" s="1" t="n">
        <v>1916</v>
      </c>
      <c r="C2320" s="1" t="n">
        <v>8</v>
      </c>
      <c r="D2320" s="1" t="s">
        <v>49</v>
      </c>
      <c r="E2320" s="1" t="s">
        <v>2</v>
      </c>
      <c r="F2320" s="1" t="n">
        <v>0.67</v>
      </c>
      <c r="G2320" s="1" t="n">
        <f aca="false">IF(E2320=E2319,F2320/F2319-1,"")</f>
        <v>0</v>
      </c>
    </row>
    <row r="2321" customFormat="false" ht="14.25" hidden="false" customHeight="true" outlineLevel="0" collapsed="false">
      <c r="A2321" s="26" t="n">
        <v>6089</v>
      </c>
      <c r="B2321" s="1" t="n">
        <v>1916</v>
      </c>
      <c r="C2321" s="1" t="n">
        <v>9</v>
      </c>
      <c r="D2321" s="1" t="s">
        <v>50</v>
      </c>
      <c r="E2321" s="1" t="s">
        <v>2</v>
      </c>
      <c r="F2321" s="1" t="n">
        <v>0.67</v>
      </c>
      <c r="G2321" s="1" t="n">
        <f aca="false">IF(E2321=E2320,F2321/F2320-1,"")</f>
        <v>0</v>
      </c>
    </row>
    <row r="2322" customFormat="false" ht="14.25" hidden="false" customHeight="true" outlineLevel="0" collapsed="false">
      <c r="A2322" s="26" t="n">
        <v>6119</v>
      </c>
      <c r="B2322" s="1" t="n">
        <v>1916</v>
      </c>
      <c r="C2322" s="1" t="n">
        <v>10</v>
      </c>
      <c r="D2322" s="1" t="s">
        <v>51</v>
      </c>
      <c r="E2322" s="1" t="s">
        <v>2</v>
      </c>
      <c r="F2322" s="1" t="n">
        <v>0.67</v>
      </c>
      <c r="G2322" s="1" t="n">
        <f aca="false">IF(E2322=E2321,F2322/F2321-1,"")</f>
        <v>0</v>
      </c>
    </row>
    <row r="2323" customFormat="false" ht="14.25" hidden="false" customHeight="true" outlineLevel="0" collapsed="false">
      <c r="A2323" s="26" t="n">
        <v>6150</v>
      </c>
      <c r="B2323" s="1" t="n">
        <v>1916</v>
      </c>
      <c r="C2323" s="1" t="n">
        <v>11</v>
      </c>
      <c r="D2323" s="1" t="s">
        <v>52</v>
      </c>
      <c r="E2323" s="1" t="s">
        <v>2</v>
      </c>
      <c r="F2323" s="1" t="n">
        <v>0.67</v>
      </c>
      <c r="G2323" s="1" t="n">
        <f aca="false">IF(E2323=E2322,F2323/F2322-1,"")</f>
        <v>0</v>
      </c>
    </row>
    <row r="2324" customFormat="false" ht="14.25" hidden="false" customHeight="true" outlineLevel="0" collapsed="false">
      <c r="A2324" s="26" t="n">
        <v>6180</v>
      </c>
      <c r="B2324" s="1" t="n">
        <v>1916</v>
      </c>
      <c r="C2324" s="1" t="n">
        <v>12</v>
      </c>
      <c r="D2324" s="1" t="s">
        <v>53</v>
      </c>
      <c r="E2324" s="1" t="s">
        <v>2</v>
      </c>
      <c r="F2324" s="1" t="n">
        <v>0.67</v>
      </c>
      <c r="G2324" s="1" t="n">
        <f aca="false">IF(E2324=E2323,F2324/F2323-1,"")</f>
        <v>0</v>
      </c>
    </row>
    <row r="2325" customFormat="false" ht="14.25" hidden="false" customHeight="true" outlineLevel="0" collapsed="false">
      <c r="A2325" s="26" t="n">
        <v>6211</v>
      </c>
      <c r="B2325" s="1" t="n">
        <v>1917</v>
      </c>
      <c r="C2325" s="1" t="n">
        <v>1</v>
      </c>
      <c r="D2325" s="1" t="s">
        <v>42</v>
      </c>
      <c r="E2325" s="1" t="s">
        <v>2</v>
      </c>
      <c r="F2325" s="1" t="n">
        <v>0.84</v>
      </c>
      <c r="G2325" s="1" t="n">
        <f aca="false">IF(E2325=E2324,F2325/F2324-1,"")</f>
        <v>0.253731343283582</v>
      </c>
    </row>
    <row r="2326" customFormat="false" ht="14.25" hidden="false" customHeight="true" outlineLevel="0" collapsed="false">
      <c r="A2326" s="26" t="n">
        <v>6242</v>
      </c>
      <c r="B2326" s="1" t="n">
        <v>1917</v>
      </c>
      <c r="C2326" s="1" t="n">
        <v>2</v>
      </c>
      <c r="D2326" s="1" t="s">
        <v>43</v>
      </c>
      <c r="E2326" s="1" t="s">
        <v>2</v>
      </c>
      <c r="F2326" s="1" t="n">
        <v>0.84</v>
      </c>
      <c r="G2326" s="1" t="n">
        <f aca="false">IF(E2326=E2325,F2326/F2325-1,"")</f>
        <v>0</v>
      </c>
    </row>
    <row r="2327" customFormat="false" ht="14.25" hidden="false" customHeight="true" outlineLevel="0" collapsed="false">
      <c r="A2327" s="26" t="n">
        <v>6270</v>
      </c>
      <c r="B2327" s="1" t="n">
        <v>1917</v>
      </c>
      <c r="C2327" s="1" t="n">
        <v>3</v>
      </c>
      <c r="D2327" s="1" t="s">
        <v>44</v>
      </c>
      <c r="E2327" s="1" t="s">
        <v>2</v>
      </c>
      <c r="F2327" s="1" t="n">
        <v>0.84</v>
      </c>
      <c r="G2327" s="1" t="n">
        <f aca="false">IF(E2327=E2326,F2327/F2326-1,"")</f>
        <v>0</v>
      </c>
    </row>
    <row r="2328" customFormat="false" ht="14.25" hidden="false" customHeight="true" outlineLevel="0" collapsed="false">
      <c r="A2328" s="26" t="n">
        <v>6301</v>
      </c>
      <c r="B2328" s="1" t="n">
        <v>1917</v>
      </c>
      <c r="C2328" s="1" t="n">
        <v>4</v>
      </c>
      <c r="D2328" s="1" t="s">
        <v>45</v>
      </c>
      <c r="E2328" s="1" t="s">
        <v>2</v>
      </c>
      <c r="F2328" s="1" t="n">
        <v>0.84</v>
      </c>
      <c r="G2328" s="1" t="n">
        <f aca="false">IF(E2328=E2327,F2328/F2327-1,"")</f>
        <v>0</v>
      </c>
    </row>
    <row r="2329" customFormat="false" ht="14.25" hidden="false" customHeight="true" outlineLevel="0" collapsed="false">
      <c r="A2329" s="26" t="n">
        <v>6331</v>
      </c>
      <c r="B2329" s="1" t="n">
        <v>1917</v>
      </c>
      <c r="C2329" s="1" t="n">
        <v>5</v>
      </c>
      <c r="D2329" s="1" t="s">
        <v>46</v>
      </c>
      <c r="E2329" s="1" t="s">
        <v>2</v>
      </c>
      <c r="F2329" s="1" t="n">
        <v>0.84</v>
      </c>
      <c r="G2329" s="1" t="n">
        <f aca="false">IF(E2329=E2328,F2329/F2328-1,"")</f>
        <v>0</v>
      </c>
    </row>
    <row r="2330" customFormat="false" ht="14.25" hidden="false" customHeight="true" outlineLevel="0" collapsed="false">
      <c r="A2330" s="26" t="n">
        <v>6362</v>
      </c>
      <c r="B2330" s="1" t="n">
        <v>1917</v>
      </c>
      <c r="C2330" s="1" t="n">
        <v>6</v>
      </c>
      <c r="D2330" s="1" t="s">
        <v>47</v>
      </c>
      <c r="E2330" s="1" t="s">
        <v>2</v>
      </c>
      <c r="F2330" s="1" t="n">
        <v>0.84</v>
      </c>
      <c r="G2330" s="1" t="n">
        <f aca="false">IF(E2330=E2329,F2330/F2329-1,"")</f>
        <v>0</v>
      </c>
    </row>
    <row r="2331" customFormat="false" ht="14.25" hidden="false" customHeight="true" outlineLevel="0" collapsed="false">
      <c r="A2331" s="26" t="n">
        <v>6392</v>
      </c>
      <c r="B2331" s="1" t="n">
        <v>1917</v>
      </c>
      <c r="C2331" s="1" t="n">
        <v>7</v>
      </c>
      <c r="D2331" s="1" t="s">
        <v>48</v>
      </c>
      <c r="E2331" s="1" t="s">
        <v>2</v>
      </c>
      <c r="F2331" s="1" t="n">
        <v>0.84</v>
      </c>
      <c r="G2331" s="1" t="n">
        <f aca="false">IF(E2331=E2330,F2331/F2330-1,"")</f>
        <v>0</v>
      </c>
    </row>
    <row r="2332" customFormat="false" ht="14.25" hidden="false" customHeight="true" outlineLevel="0" collapsed="false">
      <c r="A2332" s="26" t="n">
        <v>6423</v>
      </c>
      <c r="B2332" s="1" t="n">
        <v>1917</v>
      </c>
      <c r="C2332" s="1" t="n">
        <v>8</v>
      </c>
      <c r="D2332" s="1" t="s">
        <v>49</v>
      </c>
      <c r="E2332" s="1" t="s">
        <v>2</v>
      </c>
      <c r="F2332" s="1" t="n">
        <v>0.84</v>
      </c>
      <c r="G2332" s="1" t="n">
        <f aca="false">IF(E2332=E2331,F2332/F2331-1,"")</f>
        <v>0</v>
      </c>
    </row>
    <row r="2333" customFormat="false" ht="14.25" hidden="false" customHeight="true" outlineLevel="0" collapsed="false">
      <c r="A2333" s="26" t="n">
        <v>6454</v>
      </c>
      <c r="B2333" s="1" t="n">
        <v>1917</v>
      </c>
      <c r="C2333" s="1" t="n">
        <v>9</v>
      </c>
      <c r="D2333" s="1" t="s">
        <v>50</v>
      </c>
      <c r="E2333" s="1" t="s">
        <v>2</v>
      </c>
      <c r="F2333" s="1" t="n">
        <v>0.84</v>
      </c>
      <c r="G2333" s="1" t="n">
        <f aca="false">IF(E2333=E2332,F2333/F2332-1,"")</f>
        <v>0</v>
      </c>
    </row>
    <row r="2334" customFormat="false" ht="14.25" hidden="false" customHeight="true" outlineLevel="0" collapsed="false">
      <c r="A2334" s="26" t="n">
        <v>6484</v>
      </c>
      <c r="B2334" s="1" t="n">
        <v>1917</v>
      </c>
      <c r="C2334" s="1" t="n">
        <v>10</v>
      </c>
      <c r="D2334" s="1" t="s">
        <v>51</v>
      </c>
      <c r="E2334" s="1" t="s">
        <v>2</v>
      </c>
      <c r="F2334" s="1" t="n">
        <v>0.84</v>
      </c>
      <c r="G2334" s="1" t="n">
        <f aca="false">IF(E2334=E2333,F2334/F2333-1,"")</f>
        <v>0</v>
      </c>
    </row>
    <row r="2335" customFormat="false" ht="14.25" hidden="false" customHeight="true" outlineLevel="0" collapsed="false">
      <c r="A2335" s="26" t="n">
        <v>6515</v>
      </c>
      <c r="B2335" s="1" t="n">
        <v>1917</v>
      </c>
      <c r="C2335" s="1" t="n">
        <v>11</v>
      </c>
      <c r="D2335" s="1" t="s">
        <v>52</v>
      </c>
      <c r="E2335" s="1" t="s">
        <v>2</v>
      </c>
      <c r="F2335" s="1" t="n">
        <v>0.84</v>
      </c>
      <c r="G2335" s="1" t="n">
        <f aca="false">IF(E2335=E2334,F2335/F2334-1,"")</f>
        <v>0</v>
      </c>
    </row>
    <row r="2336" customFormat="false" ht="14.25" hidden="false" customHeight="true" outlineLevel="0" collapsed="false">
      <c r="A2336" s="26" t="n">
        <v>6545</v>
      </c>
      <c r="B2336" s="1" t="n">
        <v>1917</v>
      </c>
      <c r="C2336" s="1" t="n">
        <v>12</v>
      </c>
      <c r="D2336" s="1" t="s">
        <v>53</v>
      </c>
      <c r="E2336" s="1" t="s">
        <v>2</v>
      </c>
      <c r="F2336" s="1" t="n">
        <v>0.84</v>
      </c>
      <c r="G2336" s="1" t="n">
        <f aca="false">IF(E2336=E2335,F2336/F2335-1,"")</f>
        <v>0</v>
      </c>
    </row>
    <row r="2337" customFormat="false" ht="14.25" hidden="false" customHeight="true" outlineLevel="0" collapsed="false">
      <c r="A2337" s="26" t="n">
        <v>6576</v>
      </c>
      <c r="B2337" s="1" t="n">
        <v>1918</v>
      </c>
      <c r="C2337" s="1" t="n">
        <v>1</v>
      </c>
      <c r="D2337" s="1" t="s">
        <v>42</v>
      </c>
      <c r="E2337" s="1" t="s">
        <v>2</v>
      </c>
      <c r="F2337" s="1" t="n">
        <v>0.98</v>
      </c>
      <c r="G2337" s="1" t="n">
        <f aca="false">IF(E2337=E2336,F2337/F2336-1,"")</f>
        <v>0.166666666666667</v>
      </c>
    </row>
    <row r="2338" customFormat="false" ht="14.25" hidden="false" customHeight="true" outlineLevel="0" collapsed="false">
      <c r="A2338" s="26" t="n">
        <v>6607</v>
      </c>
      <c r="B2338" s="1" t="n">
        <v>1918</v>
      </c>
      <c r="C2338" s="1" t="n">
        <v>2</v>
      </c>
      <c r="D2338" s="1" t="s">
        <v>43</v>
      </c>
      <c r="E2338" s="1" t="s">
        <v>2</v>
      </c>
      <c r="F2338" s="1" t="n">
        <v>0.98</v>
      </c>
      <c r="G2338" s="1" t="n">
        <f aca="false">IF(E2338=E2337,F2338/F2337-1,"")</f>
        <v>0</v>
      </c>
    </row>
    <row r="2339" customFormat="false" ht="14.25" hidden="false" customHeight="true" outlineLevel="0" collapsed="false">
      <c r="A2339" s="26" t="n">
        <v>6635</v>
      </c>
      <c r="B2339" s="1" t="n">
        <v>1918</v>
      </c>
      <c r="C2339" s="1" t="n">
        <v>3</v>
      </c>
      <c r="D2339" s="1" t="s">
        <v>44</v>
      </c>
      <c r="E2339" s="1" t="s">
        <v>2</v>
      </c>
      <c r="F2339" s="1" t="n">
        <v>0.98</v>
      </c>
      <c r="G2339" s="1" t="n">
        <f aca="false">IF(E2339=E2338,F2339/F2338-1,"")</f>
        <v>0</v>
      </c>
    </row>
    <row r="2340" customFormat="false" ht="14.25" hidden="false" customHeight="true" outlineLevel="0" collapsed="false">
      <c r="A2340" s="26" t="n">
        <v>6666</v>
      </c>
      <c r="B2340" s="1" t="n">
        <v>1918</v>
      </c>
      <c r="C2340" s="1" t="n">
        <v>4</v>
      </c>
      <c r="D2340" s="1" t="s">
        <v>45</v>
      </c>
      <c r="E2340" s="1" t="s">
        <v>2</v>
      </c>
      <c r="F2340" s="1" t="n">
        <v>0.98</v>
      </c>
      <c r="G2340" s="1" t="n">
        <f aca="false">IF(E2340=E2339,F2340/F2339-1,"")</f>
        <v>0</v>
      </c>
    </row>
    <row r="2341" customFormat="false" ht="14.25" hidden="false" customHeight="true" outlineLevel="0" collapsed="false">
      <c r="A2341" s="26" t="n">
        <v>6696</v>
      </c>
      <c r="B2341" s="1" t="n">
        <v>1918</v>
      </c>
      <c r="C2341" s="1" t="n">
        <v>5</v>
      </c>
      <c r="D2341" s="1" t="s">
        <v>46</v>
      </c>
      <c r="E2341" s="1" t="s">
        <v>2</v>
      </c>
      <c r="F2341" s="1" t="n">
        <v>0.98</v>
      </c>
      <c r="G2341" s="1" t="n">
        <f aca="false">IF(E2341=E2340,F2341/F2340-1,"")</f>
        <v>0</v>
      </c>
    </row>
    <row r="2342" customFormat="false" ht="14.25" hidden="false" customHeight="true" outlineLevel="0" collapsed="false">
      <c r="A2342" s="26" t="n">
        <v>6727</v>
      </c>
      <c r="B2342" s="1" t="n">
        <v>1918</v>
      </c>
      <c r="C2342" s="1" t="n">
        <v>6</v>
      </c>
      <c r="D2342" s="1" t="s">
        <v>47</v>
      </c>
      <c r="E2342" s="1" t="s">
        <v>2</v>
      </c>
      <c r="F2342" s="1" t="n">
        <v>0.98</v>
      </c>
      <c r="G2342" s="1" t="n">
        <f aca="false">IF(E2342=E2341,F2342/F2341-1,"")</f>
        <v>0</v>
      </c>
    </row>
    <row r="2343" customFormat="false" ht="14.25" hidden="false" customHeight="true" outlineLevel="0" collapsed="false">
      <c r="A2343" s="26" t="n">
        <v>6757</v>
      </c>
      <c r="B2343" s="1" t="n">
        <v>1918</v>
      </c>
      <c r="C2343" s="1" t="n">
        <v>7</v>
      </c>
      <c r="D2343" s="1" t="s">
        <v>48</v>
      </c>
      <c r="E2343" s="1" t="s">
        <v>2</v>
      </c>
      <c r="F2343" s="1" t="n">
        <v>0.98</v>
      </c>
      <c r="G2343" s="1" t="n">
        <f aca="false">IF(E2343=E2342,F2343/F2342-1,"")</f>
        <v>0</v>
      </c>
    </row>
    <row r="2344" customFormat="false" ht="14.25" hidden="false" customHeight="true" outlineLevel="0" collapsed="false">
      <c r="A2344" s="26" t="n">
        <v>6788</v>
      </c>
      <c r="B2344" s="1" t="n">
        <v>1918</v>
      </c>
      <c r="C2344" s="1" t="n">
        <v>8</v>
      </c>
      <c r="D2344" s="1" t="s">
        <v>49</v>
      </c>
      <c r="E2344" s="1" t="s">
        <v>2</v>
      </c>
      <c r="F2344" s="1" t="n">
        <v>0.98</v>
      </c>
      <c r="G2344" s="1" t="n">
        <f aca="false">IF(E2344=E2343,F2344/F2343-1,"")</f>
        <v>0</v>
      </c>
    </row>
    <row r="2345" customFormat="false" ht="14.25" hidden="false" customHeight="true" outlineLevel="0" collapsed="false">
      <c r="A2345" s="26" t="n">
        <v>6819</v>
      </c>
      <c r="B2345" s="1" t="n">
        <v>1918</v>
      </c>
      <c r="C2345" s="1" t="n">
        <v>9</v>
      </c>
      <c r="D2345" s="1" t="s">
        <v>50</v>
      </c>
      <c r="E2345" s="1" t="s">
        <v>2</v>
      </c>
      <c r="F2345" s="1" t="n">
        <v>0.98</v>
      </c>
      <c r="G2345" s="1" t="n">
        <f aca="false">IF(E2345=E2344,F2345/F2344-1,"")</f>
        <v>0</v>
      </c>
    </row>
    <row r="2346" customFormat="false" ht="14.25" hidden="false" customHeight="true" outlineLevel="0" collapsed="false">
      <c r="A2346" s="26" t="n">
        <v>6849</v>
      </c>
      <c r="B2346" s="1" t="n">
        <v>1918</v>
      </c>
      <c r="C2346" s="1" t="n">
        <v>10</v>
      </c>
      <c r="D2346" s="1" t="s">
        <v>51</v>
      </c>
      <c r="E2346" s="1" t="s">
        <v>2</v>
      </c>
      <c r="F2346" s="1" t="n">
        <v>0.98</v>
      </c>
      <c r="G2346" s="1" t="n">
        <f aca="false">IF(E2346=E2345,F2346/F2345-1,"")</f>
        <v>0</v>
      </c>
    </row>
    <row r="2347" customFormat="false" ht="14.25" hidden="false" customHeight="true" outlineLevel="0" collapsed="false">
      <c r="A2347" s="26" t="n">
        <v>6880</v>
      </c>
      <c r="B2347" s="1" t="n">
        <v>1918</v>
      </c>
      <c r="C2347" s="1" t="n">
        <v>11</v>
      </c>
      <c r="D2347" s="1" t="s">
        <v>52</v>
      </c>
      <c r="E2347" s="1" t="s">
        <v>2</v>
      </c>
      <c r="F2347" s="1" t="n">
        <v>0.98</v>
      </c>
      <c r="G2347" s="1" t="n">
        <f aca="false">IF(E2347=E2346,F2347/F2346-1,"")</f>
        <v>0</v>
      </c>
    </row>
    <row r="2348" customFormat="false" ht="14.25" hidden="false" customHeight="true" outlineLevel="0" collapsed="false">
      <c r="A2348" s="26" t="n">
        <v>6910</v>
      </c>
      <c r="B2348" s="1" t="n">
        <v>1918</v>
      </c>
      <c r="C2348" s="1" t="n">
        <v>12</v>
      </c>
      <c r="D2348" s="1" t="s">
        <v>53</v>
      </c>
      <c r="E2348" s="1" t="s">
        <v>2</v>
      </c>
      <c r="F2348" s="1" t="n">
        <v>0.98</v>
      </c>
      <c r="G2348" s="1" t="n">
        <f aca="false">IF(E2348=E2347,F2348/F2347-1,"")</f>
        <v>0</v>
      </c>
    </row>
    <row r="2349" customFormat="false" ht="14.25" hidden="false" customHeight="true" outlineLevel="0" collapsed="false">
      <c r="A2349" s="26" t="n">
        <v>6941</v>
      </c>
      <c r="B2349" s="1" t="n">
        <v>1919</v>
      </c>
      <c r="C2349" s="1" t="n">
        <v>1</v>
      </c>
      <c r="D2349" s="1" t="s">
        <v>42</v>
      </c>
      <c r="E2349" s="1" t="s">
        <v>2</v>
      </c>
      <c r="F2349" s="1" t="n">
        <v>1.13</v>
      </c>
      <c r="G2349" s="1" t="n">
        <f aca="false">IF(E2349=E2348,F2349/F2348-1,"")</f>
        <v>0.153061224489796</v>
      </c>
    </row>
    <row r="2350" customFormat="false" ht="14.25" hidden="false" customHeight="true" outlineLevel="0" collapsed="false">
      <c r="A2350" s="26" t="n">
        <v>6972</v>
      </c>
      <c r="B2350" s="1" t="n">
        <v>1919</v>
      </c>
      <c r="C2350" s="1" t="n">
        <v>2</v>
      </c>
      <c r="D2350" s="1" t="s">
        <v>43</v>
      </c>
      <c r="E2350" s="1" t="s">
        <v>2</v>
      </c>
      <c r="F2350" s="1" t="n">
        <v>1.13</v>
      </c>
      <c r="G2350" s="1" t="n">
        <f aca="false">IF(E2350=E2349,F2350/F2349-1,"")</f>
        <v>0</v>
      </c>
    </row>
    <row r="2351" customFormat="false" ht="14.25" hidden="false" customHeight="true" outlineLevel="0" collapsed="false">
      <c r="A2351" s="26" t="n">
        <v>7000</v>
      </c>
      <c r="B2351" s="1" t="n">
        <v>1919</v>
      </c>
      <c r="C2351" s="1" t="n">
        <v>3</v>
      </c>
      <c r="D2351" s="1" t="s">
        <v>44</v>
      </c>
      <c r="E2351" s="1" t="s">
        <v>2</v>
      </c>
      <c r="F2351" s="1" t="n">
        <v>1.13</v>
      </c>
      <c r="G2351" s="1" t="n">
        <f aca="false">IF(E2351=E2350,F2351/F2350-1,"")</f>
        <v>0</v>
      </c>
    </row>
    <row r="2352" customFormat="false" ht="14.25" hidden="false" customHeight="true" outlineLevel="0" collapsed="false">
      <c r="A2352" s="26" t="n">
        <v>7031</v>
      </c>
      <c r="B2352" s="1" t="n">
        <v>1919</v>
      </c>
      <c r="C2352" s="1" t="n">
        <v>4</v>
      </c>
      <c r="D2352" s="1" t="s">
        <v>45</v>
      </c>
      <c r="E2352" s="1" t="s">
        <v>2</v>
      </c>
      <c r="F2352" s="1" t="n">
        <v>1.13</v>
      </c>
      <c r="G2352" s="1" t="n">
        <f aca="false">IF(E2352=E2351,F2352/F2351-1,"")</f>
        <v>0</v>
      </c>
    </row>
    <row r="2353" customFormat="false" ht="14.25" hidden="false" customHeight="true" outlineLevel="0" collapsed="false">
      <c r="A2353" s="26" t="n">
        <v>7061</v>
      </c>
      <c r="B2353" s="1" t="n">
        <v>1919</v>
      </c>
      <c r="C2353" s="1" t="n">
        <v>5</v>
      </c>
      <c r="D2353" s="1" t="s">
        <v>46</v>
      </c>
      <c r="E2353" s="1" t="s">
        <v>2</v>
      </c>
      <c r="F2353" s="1" t="n">
        <v>1.13</v>
      </c>
      <c r="G2353" s="1" t="n">
        <f aca="false">IF(E2353=E2352,F2353/F2352-1,"")</f>
        <v>0</v>
      </c>
    </row>
    <row r="2354" customFormat="false" ht="14.25" hidden="false" customHeight="true" outlineLevel="0" collapsed="false">
      <c r="A2354" s="26" t="n">
        <v>7092</v>
      </c>
      <c r="B2354" s="1" t="n">
        <v>1919</v>
      </c>
      <c r="C2354" s="1" t="n">
        <v>6</v>
      </c>
      <c r="D2354" s="1" t="s">
        <v>47</v>
      </c>
      <c r="E2354" s="1" t="s">
        <v>2</v>
      </c>
      <c r="F2354" s="1" t="n">
        <v>1.13</v>
      </c>
      <c r="G2354" s="1" t="n">
        <f aca="false">IF(E2354=E2353,F2354/F2353-1,"")</f>
        <v>0</v>
      </c>
    </row>
    <row r="2355" customFormat="false" ht="14.25" hidden="false" customHeight="true" outlineLevel="0" collapsed="false">
      <c r="A2355" s="26" t="n">
        <v>7122</v>
      </c>
      <c r="B2355" s="1" t="n">
        <v>1919</v>
      </c>
      <c r="C2355" s="1" t="n">
        <v>7</v>
      </c>
      <c r="D2355" s="1" t="s">
        <v>48</v>
      </c>
      <c r="E2355" s="1" t="s">
        <v>2</v>
      </c>
      <c r="F2355" s="1" t="n">
        <v>1.13</v>
      </c>
      <c r="G2355" s="1" t="n">
        <f aca="false">IF(E2355=E2354,F2355/F2354-1,"")</f>
        <v>0</v>
      </c>
    </row>
    <row r="2356" customFormat="false" ht="14.25" hidden="false" customHeight="true" outlineLevel="0" collapsed="false">
      <c r="A2356" s="26" t="n">
        <v>7153</v>
      </c>
      <c r="B2356" s="1" t="n">
        <v>1919</v>
      </c>
      <c r="C2356" s="1" t="n">
        <v>8</v>
      </c>
      <c r="D2356" s="1" t="s">
        <v>49</v>
      </c>
      <c r="E2356" s="1" t="s">
        <v>2</v>
      </c>
      <c r="F2356" s="1" t="n">
        <v>1.13</v>
      </c>
      <c r="G2356" s="1" t="n">
        <f aca="false">IF(E2356=E2355,F2356/F2355-1,"")</f>
        <v>0</v>
      </c>
    </row>
    <row r="2357" customFormat="false" ht="14.25" hidden="false" customHeight="true" outlineLevel="0" collapsed="false">
      <c r="A2357" s="26" t="n">
        <v>7184</v>
      </c>
      <c r="B2357" s="1" t="n">
        <v>1919</v>
      </c>
      <c r="C2357" s="1" t="n">
        <v>9</v>
      </c>
      <c r="D2357" s="1" t="s">
        <v>50</v>
      </c>
      <c r="E2357" s="1" t="s">
        <v>2</v>
      </c>
      <c r="F2357" s="1" t="n">
        <v>1.13</v>
      </c>
      <c r="G2357" s="1" t="n">
        <f aca="false">IF(E2357=E2356,F2357/F2356-1,"")</f>
        <v>0</v>
      </c>
    </row>
    <row r="2358" customFormat="false" ht="14.25" hidden="false" customHeight="true" outlineLevel="0" collapsed="false">
      <c r="A2358" s="26" t="n">
        <v>7214</v>
      </c>
      <c r="B2358" s="1" t="n">
        <v>1919</v>
      </c>
      <c r="C2358" s="1" t="n">
        <v>10</v>
      </c>
      <c r="D2358" s="1" t="s">
        <v>51</v>
      </c>
      <c r="E2358" s="1" t="s">
        <v>2</v>
      </c>
      <c r="F2358" s="1" t="n">
        <v>1.13</v>
      </c>
      <c r="G2358" s="1" t="n">
        <f aca="false">IF(E2358=E2357,F2358/F2357-1,"")</f>
        <v>0</v>
      </c>
    </row>
    <row r="2359" customFormat="false" ht="14.25" hidden="false" customHeight="true" outlineLevel="0" collapsed="false">
      <c r="A2359" s="26" t="n">
        <v>7245</v>
      </c>
      <c r="B2359" s="1" t="n">
        <v>1919</v>
      </c>
      <c r="C2359" s="1" t="n">
        <v>11</v>
      </c>
      <c r="D2359" s="1" t="s">
        <v>52</v>
      </c>
      <c r="E2359" s="1" t="s">
        <v>2</v>
      </c>
      <c r="F2359" s="1" t="n">
        <v>1.13</v>
      </c>
      <c r="G2359" s="1" t="n">
        <f aca="false">IF(E2359=E2358,F2359/F2358-1,"")</f>
        <v>0</v>
      </c>
    </row>
    <row r="2360" customFormat="false" ht="14.25" hidden="false" customHeight="true" outlineLevel="0" collapsed="false">
      <c r="A2360" s="26" t="n">
        <v>7275</v>
      </c>
      <c r="B2360" s="1" t="n">
        <v>1919</v>
      </c>
      <c r="C2360" s="1" t="n">
        <v>12</v>
      </c>
      <c r="D2360" s="1" t="s">
        <v>53</v>
      </c>
      <c r="E2360" s="1" t="s">
        <v>2</v>
      </c>
      <c r="F2360" s="1" t="n">
        <v>1.13</v>
      </c>
      <c r="G2360" s="1" t="n">
        <f aca="false">IF(E2360=E2359,F2360/F2359-1,"")</f>
        <v>0</v>
      </c>
    </row>
    <row r="2361" customFormat="false" ht="14.25" hidden="false" customHeight="true" outlineLevel="0" collapsed="false">
      <c r="A2361" s="26" t="n">
        <v>7306</v>
      </c>
      <c r="B2361" s="1" t="n">
        <v>1920</v>
      </c>
      <c r="C2361" s="1" t="n">
        <v>1</v>
      </c>
      <c r="D2361" s="1" t="s">
        <v>42</v>
      </c>
      <c r="E2361" s="1" t="s">
        <v>2</v>
      </c>
      <c r="F2361" s="1" t="n">
        <v>1.03</v>
      </c>
      <c r="G2361" s="1" t="n">
        <f aca="false">IF(E2361=E2360,F2361/F2360-1,"")</f>
        <v>-0.0884955752212389</v>
      </c>
    </row>
    <row r="2362" customFormat="false" ht="14.25" hidden="false" customHeight="true" outlineLevel="0" collapsed="false">
      <c r="A2362" s="26" t="n">
        <v>7337</v>
      </c>
      <c r="B2362" s="1" t="n">
        <v>1920</v>
      </c>
      <c r="C2362" s="1" t="n">
        <v>2</v>
      </c>
      <c r="D2362" s="1" t="s">
        <v>43</v>
      </c>
      <c r="E2362" s="1" t="s">
        <v>2</v>
      </c>
      <c r="F2362" s="1" t="n">
        <v>1.03</v>
      </c>
      <c r="G2362" s="1" t="n">
        <f aca="false">IF(E2362=E2361,F2362/F2361-1,"")</f>
        <v>0</v>
      </c>
    </row>
    <row r="2363" customFormat="false" ht="14.25" hidden="false" customHeight="true" outlineLevel="0" collapsed="false">
      <c r="A2363" s="26" t="n">
        <v>7366</v>
      </c>
      <c r="B2363" s="1" t="n">
        <v>1920</v>
      </c>
      <c r="C2363" s="1" t="n">
        <v>3</v>
      </c>
      <c r="D2363" s="1" t="s">
        <v>44</v>
      </c>
      <c r="E2363" s="1" t="s">
        <v>2</v>
      </c>
      <c r="F2363" s="1" t="n">
        <v>1.03</v>
      </c>
      <c r="G2363" s="1" t="n">
        <f aca="false">IF(E2363=E2362,F2363/F2362-1,"")</f>
        <v>0</v>
      </c>
    </row>
    <row r="2364" customFormat="false" ht="14.25" hidden="false" customHeight="true" outlineLevel="0" collapsed="false">
      <c r="A2364" s="26" t="n">
        <v>7397</v>
      </c>
      <c r="B2364" s="1" t="n">
        <v>1920</v>
      </c>
      <c r="C2364" s="1" t="n">
        <v>4</v>
      </c>
      <c r="D2364" s="1" t="s">
        <v>45</v>
      </c>
      <c r="E2364" s="1" t="s">
        <v>2</v>
      </c>
      <c r="F2364" s="1" t="n">
        <v>1.03</v>
      </c>
      <c r="G2364" s="1" t="n">
        <f aca="false">IF(E2364=E2363,F2364/F2363-1,"")</f>
        <v>0</v>
      </c>
    </row>
    <row r="2365" customFormat="false" ht="14.25" hidden="false" customHeight="true" outlineLevel="0" collapsed="false">
      <c r="A2365" s="26" t="n">
        <v>7427</v>
      </c>
      <c r="B2365" s="1" t="n">
        <v>1920</v>
      </c>
      <c r="C2365" s="1" t="n">
        <v>5</v>
      </c>
      <c r="D2365" s="1" t="s">
        <v>46</v>
      </c>
      <c r="E2365" s="1" t="s">
        <v>2</v>
      </c>
      <c r="F2365" s="1" t="n">
        <v>1.03</v>
      </c>
      <c r="G2365" s="1" t="n">
        <f aca="false">IF(E2365=E2364,F2365/F2364-1,"")</f>
        <v>0</v>
      </c>
    </row>
    <row r="2366" customFormat="false" ht="14.25" hidden="false" customHeight="true" outlineLevel="0" collapsed="false">
      <c r="A2366" s="26" t="n">
        <v>7458</v>
      </c>
      <c r="B2366" s="1" t="n">
        <v>1920</v>
      </c>
      <c r="C2366" s="1" t="n">
        <v>6</v>
      </c>
      <c r="D2366" s="1" t="s">
        <v>47</v>
      </c>
      <c r="E2366" s="1" t="s">
        <v>2</v>
      </c>
      <c r="F2366" s="1" t="n">
        <v>1.03</v>
      </c>
      <c r="G2366" s="1" t="n">
        <f aca="false">IF(E2366=E2365,F2366/F2365-1,"")</f>
        <v>0</v>
      </c>
    </row>
    <row r="2367" customFormat="false" ht="14.25" hidden="false" customHeight="true" outlineLevel="0" collapsed="false">
      <c r="A2367" s="26" t="n">
        <v>7488</v>
      </c>
      <c r="B2367" s="1" t="n">
        <v>1920</v>
      </c>
      <c r="C2367" s="1" t="n">
        <v>7</v>
      </c>
      <c r="D2367" s="1" t="s">
        <v>48</v>
      </c>
      <c r="E2367" s="1" t="s">
        <v>2</v>
      </c>
      <c r="F2367" s="1" t="n">
        <v>1.03</v>
      </c>
      <c r="G2367" s="1" t="n">
        <f aca="false">IF(E2367=E2366,F2367/F2366-1,"")</f>
        <v>0</v>
      </c>
    </row>
    <row r="2368" customFormat="false" ht="14.25" hidden="false" customHeight="true" outlineLevel="0" collapsed="false">
      <c r="A2368" s="26" t="n">
        <v>7519</v>
      </c>
      <c r="B2368" s="1" t="n">
        <v>1920</v>
      </c>
      <c r="C2368" s="1" t="n">
        <v>8</v>
      </c>
      <c r="D2368" s="1" t="s">
        <v>49</v>
      </c>
      <c r="E2368" s="1" t="s">
        <v>2</v>
      </c>
      <c r="F2368" s="1" t="n">
        <v>1.03</v>
      </c>
      <c r="G2368" s="1" t="n">
        <f aca="false">IF(E2368=E2367,F2368/F2367-1,"")</f>
        <v>0</v>
      </c>
    </row>
    <row r="2369" customFormat="false" ht="14.25" hidden="false" customHeight="true" outlineLevel="0" collapsed="false">
      <c r="A2369" s="26" t="n">
        <v>7550</v>
      </c>
      <c r="B2369" s="1" t="n">
        <v>1920</v>
      </c>
      <c r="C2369" s="1" t="n">
        <v>9</v>
      </c>
      <c r="D2369" s="1" t="s">
        <v>50</v>
      </c>
      <c r="E2369" s="1" t="s">
        <v>2</v>
      </c>
      <c r="F2369" s="1" t="n">
        <v>1.03</v>
      </c>
      <c r="G2369" s="1" t="n">
        <f aca="false">IF(E2369=E2368,F2369/F2368-1,"")</f>
        <v>0</v>
      </c>
    </row>
    <row r="2370" customFormat="false" ht="14.25" hidden="false" customHeight="true" outlineLevel="0" collapsed="false">
      <c r="A2370" s="26" t="n">
        <v>7580</v>
      </c>
      <c r="B2370" s="1" t="n">
        <v>1920</v>
      </c>
      <c r="C2370" s="1" t="n">
        <v>10</v>
      </c>
      <c r="D2370" s="1" t="s">
        <v>51</v>
      </c>
      <c r="E2370" s="1" t="s">
        <v>2</v>
      </c>
      <c r="F2370" s="1" t="n">
        <v>1.03</v>
      </c>
      <c r="G2370" s="1" t="n">
        <f aca="false">IF(E2370=E2369,F2370/F2369-1,"")</f>
        <v>0</v>
      </c>
    </row>
    <row r="2371" customFormat="false" ht="14.25" hidden="false" customHeight="true" outlineLevel="0" collapsed="false">
      <c r="A2371" s="26" t="n">
        <v>7611</v>
      </c>
      <c r="B2371" s="1" t="n">
        <v>1920</v>
      </c>
      <c r="C2371" s="1" t="n">
        <v>11</v>
      </c>
      <c r="D2371" s="1" t="s">
        <v>52</v>
      </c>
      <c r="E2371" s="1" t="s">
        <v>2</v>
      </c>
      <c r="F2371" s="1" t="n">
        <v>1.03</v>
      </c>
      <c r="G2371" s="1" t="n">
        <f aca="false">IF(E2371=E2370,F2371/F2370-1,"")</f>
        <v>0</v>
      </c>
    </row>
    <row r="2372" customFormat="false" ht="14.25" hidden="false" customHeight="true" outlineLevel="0" collapsed="false">
      <c r="A2372" s="26" t="n">
        <v>7641</v>
      </c>
      <c r="B2372" s="1" t="n">
        <v>1920</v>
      </c>
      <c r="C2372" s="1" t="n">
        <v>12</v>
      </c>
      <c r="D2372" s="1" t="s">
        <v>53</v>
      </c>
      <c r="E2372" s="1" t="s">
        <v>2</v>
      </c>
      <c r="F2372" s="1" t="n">
        <v>1.03</v>
      </c>
      <c r="G2372" s="1" t="n">
        <f aca="false">IF(E2372=E2371,F2372/F2371-1,"")</f>
        <v>0</v>
      </c>
    </row>
    <row r="2373" customFormat="false" ht="14.25" hidden="false" customHeight="true" outlineLevel="0" collapsed="false">
      <c r="A2373" s="26" t="n">
        <v>7672</v>
      </c>
      <c r="B2373" s="1" t="n">
        <v>1921</v>
      </c>
      <c r="C2373" s="1" t="n">
        <v>1</v>
      </c>
      <c r="D2373" s="1" t="s">
        <v>42</v>
      </c>
      <c r="E2373" s="1" t="s">
        <v>2</v>
      </c>
      <c r="F2373" s="1" t="n">
        <v>0.63</v>
      </c>
      <c r="G2373" s="1" t="n">
        <f aca="false">IF(E2373=E2372,F2373/F2372-1,"")</f>
        <v>-0.388349514563107</v>
      </c>
    </row>
    <row r="2374" customFormat="false" ht="14.25" hidden="false" customHeight="true" outlineLevel="0" collapsed="false">
      <c r="A2374" s="26" t="n">
        <v>7703</v>
      </c>
      <c r="B2374" s="1" t="n">
        <v>1921</v>
      </c>
      <c r="C2374" s="1" t="n">
        <v>2</v>
      </c>
      <c r="D2374" s="1" t="s">
        <v>43</v>
      </c>
      <c r="E2374" s="1" t="s">
        <v>2</v>
      </c>
      <c r="F2374" s="1" t="n">
        <v>0.63</v>
      </c>
      <c r="G2374" s="1" t="n">
        <f aca="false">IF(E2374=E2373,F2374/F2373-1,"")</f>
        <v>0</v>
      </c>
    </row>
    <row r="2375" customFormat="false" ht="14.25" hidden="false" customHeight="true" outlineLevel="0" collapsed="false">
      <c r="A2375" s="26" t="n">
        <v>7731</v>
      </c>
      <c r="B2375" s="1" t="n">
        <v>1921</v>
      </c>
      <c r="C2375" s="1" t="n">
        <v>3</v>
      </c>
      <c r="D2375" s="1" t="s">
        <v>44</v>
      </c>
      <c r="E2375" s="1" t="s">
        <v>2</v>
      </c>
      <c r="F2375" s="1" t="n">
        <v>0.63</v>
      </c>
      <c r="G2375" s="1" t="n">
        <f aca="false">IF(E2375=E2374,F2375/F2374-1,"")</f>
        <v>0</v>
      </c>
    </row>
    <row r="2376" customFormat="false" ht="14.25" hidden="false" customHeight="true" outlineLevel="0" collapsed="false">
      <c r="A2376" s="26" t="n">
        <v>7762</v>
      </c>
      <c r="B2376" s="1" t="n">
        <v>1921</v>
      </c>
      <c r="C2376" s="1" t="n">
        <v>4</v>
      </c>
      <c r="D2376" s="1" t="s">
        <v>45</v>
      </c>
      <c r="E2376" s="1" t="s">
        <v>2</v>
      </c>
      <c r="F2376" s="1" t="n">
        <v>0.63</v>
      </c>
      <c r="G2376" s="1" t="n">
        <f aca="false">IF(E2376=E2375,F2376/F2375-1,"")</f>
        <v>0</v>
      </c>
    </row>
    <row r="2377" customFormat="false" ht="14.25" hidden="false" customHeight="true" outlineLevel="0" collapsed="false">
      <c r="A2377" s="26" t="n">
        <v>7792</v>
      </c>
      <c r="B2377" s="1" t="n">
        <v>1921</v>
      </c>
      <c r="C2377" s="1" t="n">
        <v>5</v>
      </c>
      <c r="D2377" s="1" t="s">
        <v>46</v>
      </c>
      <c r="E2377" s="1" t="s">
        <v>2</v>
      </c>
      <c r="F2377" s="1" t="n">
        <v>0.63</v>
      </c>
      <c r="G2377" s="1" t="n">
        <f aca="false">IF(E2377=E2376,F2377/F2376-1,"")</f>
        <v>0</v>
      </c>
    </row>
    <row r="2378" customFormat="false" ht="14.25" hidden="false" customHeight="true" outlineLevel="0" collapsed="false">
      <c r="A2378" s="26" t="n">
        <v>7823</v>
      </c>
      <c r="B2378" s="1" t="n">
        <v>1921</v>
      </c>
      <c r="C2378" s="1" t="n">
        <v>6</v>
      </c>
      <c r="D2378" s="1" t="s">
        <v>47</v>
      </c>
      <c r="E2378" s="1" t="s">
        <v>2</v>
      </c>
      <c r="F2378" s="1" t="n">
        <v>0.63</v>
      </c>
      <c r="G2378" s="1" t="n">
        <f aca="false">IF(E2378=E2377,F2378/F2377-1,"")</f>
        <v>0</v>
      </c>
    </row>
    <row r="2379" customFormat="false" ht="14.25" hidden="false" customHeight="true" outlineLevel="0" collapsed="false">
      <c r="A2379" s="26" t="n">
        <v>7853</v>
      </c>
      <c r="B2379" s="1" t="n">
        <v>1921</v>
      </c>
      <c r="C2379" s="1" t="n">
        <v>7</v>
      </c>
      <c r="D2379" s="1" t="s">
        <v>48</v>
      </c>
      <c r="E2379" s="1" t="s">
        <v>2</v>
      </c>
      <c r="F2379" s="1" t="n">
        <v>0.63</v>
      </c>
      <c r="G2379" s="1" t="n">
        <f aca="false">IF(E2379=E2378,F2379/F2378-1,"")</f>
        <v>0</v>
      </c>
    </row>
    <row r="2380" customFormat="false" ht="14.25" hidden="false" customHeight="true" outlineLevel="0" collapsed="false">
      <c r="A2380" s="26" t="n">
        <v>7884</v>
      </c>
      <c r="B2380" s="1" t="n">
        <v>1921</v>
      </c>
      <c r="C2380" s="1" t="n">
        <v>8</v>
      </c>
      <c r="D2380" s="1" t="s">
        <v>49</v>
      </c>
      <c r="E2380" s="1" t="s">
        <v>2</v>
      </c>
      <c r="F2380" s="1" t="n">
        <v>0.63</v>
      </c>
      <c r="G2380" s="1" t="n">
        <f aca="false">IF(E2380=E2379,F2380/F2379-1,"")</f>
        <v>0</v>
      </c>
    </row>
    <row r="2381" customFormat="false" ht="14.25" hidden="false" customHeight="true" outlineLevel="0" collapsed="false">
      <c r="A2381" s="26" t="n">
        <v>7915</v>
      </c>
      <c r="B2381" s="1" t="n">
        <v>1921</v>
      </c>
      <c r="C2381" s="1" t="n">
        <v>9</v>
      </c>
      <c r="D2381" s="1" t="s">
        <v>50</v>
      </c>
      <c r="E2381" s="1" t="s">
        <v>2</v>
      </c>
      <c r="F2381" s="1" t="n">
        <v>0.63</v>
      </c>
      <c r="G2381" s="1" t="n">
        <f aca="false">IF(E2381=E2380,F2381/F2380-1,"")</f>
        <v>0</v>
      </c>
    </row>
    <row r="2382" customFormat="false" ht="14.25" hidden="false" customHeight="true" outlineLevel="0" collapsed="false">
      <c r="A2382" s="26" t="n">
        <v>7945</v>
      </c>
      <c r="B2382" s="1" t="n">
        <v>1921</v>
      </c>
      <c r="C2382" s="1" t="n">
        <v>10</v>
      </c>
      <c r="D2382" s="1" t="s">
        <v>51</v>
      </c>
      <c r="E2382" s="1" t="s">
        <v>2</v>
      </c>
      <c r="F2382" s="1" t="n">
        <v>0.63</v>
      </c>
      <c r="G2382" s="1" t="n">
        <f aca="false">IF(E2382=E2381,F2382/F2381-1,"")</f>
        <v>0</v>
      </c>
    </row>
    <row r="2383" customFormat="false" ht="14.25" hidden="false" customHeight="true" outlineLevel="0" collapsed="false">
      <c r="A2383" s="26" t="n">
        <v>7976</v>
      </c>
      <c r="B2383" s="1" t="n">
        <v>1921</v>
      </c>
      <c r="C2383" s="1" t="n">
        <v>11</v>
      </c>
      <c r="D2383" s="1" t="s">
        <v>52</v>
      </c>
      <c r="E2383" s="1" t="s">
        <v>2</v>
      </c>
      <c r="F2383" s="1" t="n">
        <v>0.63</v>
      </c>
      <c r="G2383" s="1" t="n">
        <f aca="false">IF(E2383=E2382,F2383/F2382-1,"")</f>
        <v>0</v>
      </c>
    </row>
    <row r="2384" customFormat="false" ht="14.25" hidden="false" customHeight="true" outlineLevel="0" collapsed="false">
      <c r="A2384" s="26" t="n">
        <v>8006</v>
      </c>
      <c r="B2384" s="1" t="n">
        <v>1921</v>
      </c>
      <c r="C2384" s="1" t="n">
        <v>12</v>
      </c>
      <c r="D2384" s="1" t="s">
        <v>53</v>
      </c>
      <c r="E2384" s="1" t="s">
        <v>2</v>
      </c>
      <c r="F2384" s="1" t="n">
        <v>0.63</v>
      </c>
      <c r="G2384" s="1" t="n">
        <f aca="false">IF(E2384=E2383,F2384/F2383-1,"")</f>
        <v>0</v>
      </c>
    </row>
    <row r="2385" customFormat="false" ht="14.25" hidden="false" customHeight="true" outlineLevel="0" collapsed="false">
      <c r="A2385" s="26" t="n">
        <v>8037</v>
      </c>
      <c r="B2385" s="1" t="n">
        <v>1922</v>
      </c>
      <c r="C2385" s="1" t="n">
        <v>1</v>
      </c>
      <c r="D2385" s="1" t="s">
        <v>42</v>
      </c>
      <c r="E2385" s="1" t="s">
        <v>2</v>
      </c>
      <c r="F2385" s="1" t="n">
        <v>0.68</v>
      </c>
      <c r="G2385" s="1" t="n">
        <f aca="false">IF(E2385=E2384,F2385/F2384-1,"")</f>
        <v>0.0793650793650795</v>
      </c>
    </row>
    <row r="2386" customFormat="false" ht="14.25" hidden="false" customHeight="true" outlineLevel="0" collapsed="false">
      <c r="A2386" s="26" t="n">
        <v>8068</v>
      </c>
      <c r="B2386" s="1" t="n">
        <v>1922</v>
      </c>
      <c r="C2386" s="1" t="n">
        <v>2</v>
      </c>
      <c r="D2386" s="1" t="s">
        <v>43</v>
      </c>
      <c r="E2386" s="1" t="s">
        <v>2</v>
      </c>
      <c r="F2386" s="1" t="n">
        <v>0.68</v>
      </c>
      <c r="G2386" s="1" t="n">
        <f aca="false">IF(E2386=E2385,F2386/F2385-1,"")</f>
        <v>0</v>
      </c>
    </row>
    <row r="2387" customFormat="false" ht="14.25" hidden="false" customHeight="true" outlineLevel="0" collapsed="false">
      <c r="A2387" s="26" t="n">
        <v>8096</v>
      </c>
      <c r="B2387" s="1" t="n">
        <v>1922</v>
      </c>
      <c r="C2387" s="1" t="n">
        <v>3</v>
      </c>
      <c r="D2387" s="1" t="s">
        <v>44</v>
      </c>
      <c r="E2387" s="1" t="s">
        <v>2</v>
      </c>
      <c r="F2387" s="1" t="n">
        <v>0.68</v>
      </c>
      <c r="G2387" s="1" t="n">
        <f aca="false">IF(E2387=E2386,F2387/F2386-1,"")</f>
        <v>0</v>
      </c>
    </row>
    <row r="2388" customFormat="false" ht="14.25" hidden="false" customHeight="true" outlineLevel="0" collapsed="false">
      <c r="A2388" s="26" t="n">
        <v>8127</v>
      </c>
      <c r="B2388" s="1" t="n">
        <v>1922</v>
      </c>
      <c r="C2388" s="1" t="n">
        <v>4</v>
      </c>
      <c r="D2388" s="1" t="s">
        <v>45</v>
      </c>
      <c r="E2388" s="1" t="s">
        <v>2</v>
      </c>
      <c r="F2388" s="1" t="n">
        <v>0.68</v>
      </c>
      <c r="G2388" s="1" t="n">
        <f aca="false">IF(E2388=E2387,F2388/F2387-1,"")</f>
        <v>0</v>
      </c>
    </row>
    <row r="2389" customFormat="false" ht="14.25" hidden="false" customHeight="true" outlineLevel="0" collapsed="false">
      <c r="A2389" s="26" t="n">
        <v>8157</v>
      </c>
      <c r="B2389" s="1" t="n">
        <v>1922</v>
      </c>
      <c r="C2389" s="1" t="n">
        <v>5</v>
      </c>
      <c r="D2389" s="1" t="s">
        <v>46</v>
      </c>
      <c r="E2389" s="1" t="s">
        <v>2</v>
      </c>
      <c r="F2389" s="1" t="n">
        <v>0.68</v>
      </c>
      <c r="G2389" s="1" t="n">
        <f aca="false">IF(E2389=E2388,F2389/F2388-1,"")</f>
        <v>0</v>
      </c>
    </row>
    <row r="2390" customFormat="false" ht="14.25" hidden="false" customHeight="true" outlineLevel="0" collapsed="false">
      <c r="A2390" s="26" t="n">
        <v>8188</v>
      </c>
      <c r="B2390" s="1" t="n">
        <v>1922</v>
      </c>
      <c r="C2390" s="1" t="n">
        <v>6</v>
      </c>
      <c r="D2390" s="1" t="s">
        <v>47</v>
      </c>
      <c r="E2390" s="1" t="s">
        <v>2</v>
      </c>
      <c r="F2390" s="1" t="n">
        <v>0.68</v>
      </c>
      <c r="G2390" s="1" t="n">
        <f aca="false">IF(E2390=E2389,F2390/F2389-1,"")</f>
        <v>0</v>
      </c>
    </row>
    <row r="2391" customFormat="false" ht="14.25" hidden="false" customHeight="true" outlineLevel="0" collapsed="false">
      <c r="A2391" s="26" t="n">
        <v>8218</v>
      </c>
      <c r="B2391" s="1" t="n">
        <v>1922</v>
      </c>
      <c r="C2391" s="1" t="n">
        <v>7</v>
      </c>
      <c r="D2391" s="1" t="s">
        <v>48</v>
      </c>
      <c r="E2391" s="1" t="s">
        <v>2</v>
      </c>
      <c r="F2391" s="1" t="n">
        <v>0.68</v>
      </c>
      <c r="G2391" s="1" t="n">
        <f aca="false">IF(E2391=E2390,F2391/F2390-1,"")</f>
        <v>0</v>
      </c>
    </row>
    <row r="2392" customFormat="false" ht="14.25" hidden="false" customHeight="true" outlineLevel="0" collapsed="false">
      <c r="A2392" s="26" t="n">
        <v>8249</v>
      </c>
      <c r="B2392" s="1" t="n">
        <v>1922</v>
      </c>
      <c r="C2392" s="1" t="n">
        <v>8</v>
      </c>
      <c r="D2392" s="1" t="s">
        <v>49</v>
      </c>
      <c r="E2392" s="1" t="s">
        <v>2</v>
      </c>
      <c r="F2392" s="1" t="n">
        <v>0.68</v>
      </c>
      <c r="G2392" s="1" t="n">
        <f aca="false">IF(E2392=E2391,F2392/F2391-1,"")</f>
        <v>0</v>
      </c>
    </row>
    <row r="2393" customFormat="false" ht="14.25" hidden="false" customHeight="true" outlineLevel="0" collapsed="false">
      <c r="A2393" s="26" t="n">
        <v>8280</v>
      </c>
      <c r="B2393" s="1" t="n">
        <v>1922</v>
      </c>
      <c r="C2393" s="1" t="n">
        <v>9</v>
      </c>
      <c r="D2393" s="1" t="s">
        <v>50</v>
      </c>
      <c r="E2393" s="1" t="s">
        <v>2</v>
      </c>
      <c r="F2393" s="1" t="n">
        <v>0.68</v>
      </c>
      <c r="G2393" s="1" t="n">
        <f aca="false">IF(E2393=E2392,F2393/F2392-1,"")</f>
        <v>0</v>
      </c>
    </row>
    <row r="2394" customFormat="false" ht="14.25" hidden="false" customHeight="true" outlineLevel="0" collapsed="false">
      <c r="A2394" s="26" t="n">
        <v>8310</v>
      </c>
      <c r="B2394" s="1" t="n">
        <v>1922</v>
      </c>
      <c r="C2394" s="1" t="n">
        <v>10</v>
      </c>
      <c r="D2394" s="1" t="s">
        <v>51</v>
      </c>
      <c r="E2394" s="1" t="s">
        <v>2</v>
      </c>
      <c r="F2394" s="1" t="n">
        <v>0.68</v>
      </c>
      <c r="G2394" s="1" t="n">
        <f aca="false">IF(E2394=E2393,F2394/F2393-1,"")</f>
        <v>0</v>
      </c>
    </row>
    <row r="2395" customFormat="false" ht="14.25" hidden="false" customHeight="true" outlineLevel="0" collapsed="false">
      <c r="A2395" s="26" t="n">
        <v>8341</v>
      </c>
      <c r="B2395" s="1" t="n">
        <v>1922</v>
      </c>
      <c r="C2395" s="1" t="n">
        <v>11</v>
      </c>
      <c r="D2395" s="1" t="s">
        <v>52</v>
      </c>
      <c r="E2395" s="1" t="s">
        <v>2</v>
      </c>
      <c r="F2395" s="1" t="n">
        <v>0.68</v>
      </c>
      <c r="G2395" s="1" t="n">
        <f aca="false">IF(E2395=E2394,F2395/F2394-1,"")</f>
        <v>0</v>
      </c>
    </row>
    <row r="2396" customFormat="false" ht="14.25" hidden="false" customHeight="true" outlineLevel="0" collapsed="false">
      <c r="A2396" s="26" t="n">
        <v>8371</v>
      </c>
      <c r="B2396" s="1" t="n">
        <v>1922</v>
      </c>
      <c r="C2396" s="1" t="n">
        <v>12</v>
      </c>
      <c r="D2396" s="1" t="s">
        <v>53</v>
      </c>
      <c r="E2396" s="1" t="s">
        <v>2</v>
      </c>
      <c r="F2396" s="1" t="n">
        <v>0.68</v>
      </c>
      <c r="G2396" s="1" t="n">
        <f aca="false">IF(E2396=E2395,F2396/F2395-1,"")</f>
        <v>0</v>
      </c>
    </row>
    <row r="2397" customFormat="false" ht="14.25" hidden="false" customHeight="true" outlineLevel="0" collapsed="false">
      <c r="A2397" s="26" t="n">
        <v>8402</v>
      </c>
      <c r="B2397" s="1" t="n">
        <v>1923</v>
      </c>
      <c r="C2397" s="1" t="n">
        <v>1</v>
      </c>
      <c r="D2397" s="1" t="s">
        <v>42</v>
      </c>
      <c r="E2397" s="1" t="s">
        <v>2</v>
      </c>
      <c r="F2397" s="1" t="n">
        <v>0.65</v>
      </c>
      <c r="G2397" s="1" t="n">
        <f aca="false">IF(E2397=E2396,F2397/F2396-1,"")</f>
        <v>-0.0441176470588236</v>
      </c>
    </row>
    <row r="2398" customFormat="false" ht="14.25" hidden="false" customHeight="true" outlineLevel="0" collapsed="false">
      <c r="A2398" s="26" t="n">
        <v>8433</v>
      </c>
      <c r="B2398" s="1" t="n">
        <v>1923</v>
      </c>
      <c r="C2398" s="1" t="n">
        <v>2</v>
      </c>
      <c r="D2398" s="1" t="s">
        <v>43</v>
      </c>
      <c r="E2398" s="1" t="s">
        <v>2</v>
      </c>
      <c r="F2398" s="1" t="n">
        <v>0.65</v>
      </c>
      <c r="G2398" s="1" t="n">
        <f aca="false">IF(E2398=E2397,F2398/F2397-1,"")</f>
        <v>0</v>
      </c>
    </row>
    <row r="2399" customFormat="false" ht="14.25" hidden="false" customHeight="true" outlineLevel="0" collapsed="false">
      <c r="A2399" s="26" t="n">
        <v>8461</v>
      </c>
      <c r="B2399" s="1" t="n">
        <v>1923</v>
      </c>
      <c r="C2399" s="1" t="n">
        <v>3</v>
      </c>
      <c r="D2399" s="1" t="s">
        <v>44</v>
      </c>
      <c r="E2399" s="1" t="s">
        <v>2</v>
      </c>
      <c r="F2399" s="1" t="n">
        <v>0.65</v>
      </c>
      <c r="G2399" s="1" t="n">
        <f aca="false">IF(E2399=E2398,F2399/F2398-1,"")</f>
        <v>0</v>
      </c>
    </row>
    <row r="2400" customFormat="false" ht="14.25" hidden="false" customHeight="true" outlineLevel="0" collapsed="false">
      <c r="A2400" s="26" t="n">
        <v>8492</v>
      </c>
      <c r="B2400" s="1" t="n">
        <v>1923</v>
      </c>
      <c r="C2400" s="1" t="n">
        <v>4</v>
      </c>
      <c r="D2400" s="1" t="s">
        <v>45</v>
      </c>
      <c r="E2400" s="1" t="s">
        <v>2</v>
      </c>
      <c r="F2400" s="1" t="n">
        <v>0.65</v>
      </c>
      <c r="G2400" s="1" t="n">
        <f aca="false">IF(E2400=E2399,F2400/F2399-1,"")</f>
        <v>0</v>
      </c>
    </row>
    <row r="2401" customFormat="false" ht="14.25" hidden="false" customHeight="true" outlineLevel="0" collapsed="false">
      <c r="A2401" s="26" t="n">
        <v>8522</v>
      </c>
      <c r="B2401" s="1" t="n">
        <v>1923</v>
      </c>
      <c r="C2401" s="1" t="n">
        <v>5</v>
      </c>
      <c r="D2401" s="1" t="s">
        <v>46</v>
      </c>
      <c r="E2401" s="1" t="s">
        <v>2</v>
      </c>
      <c r="F2401" s="1" t="n">
        <v>0.65</v>
      </c>
      <c r="G2401" s="1" t="n">
        <f aca="false">IF(E2401=E2400,F2401/F2400-1,"")</f>
        <v>0</v>
      </c>
    </row>
    <row r="2402" customFormat="false" ht="14.25" hidden="false" customHeight="true" outlineLevel="0" collapsed="false">
      <c r="A2402" s="26" t="n">
        <v>8553</v>
      </c>
      <c r="B2402" s="1" t="n">
        <v>1923</v>
      </c>
      <c r="C2402" s="1" t="n">
        <v>6</v>
      </c>
      <c r="D2402" s="1" t="s">
        <v>47</v>
      </c>
      <c r="E2402" s="1" t="s">
        <v>2</v>
      </c>
      <c r="F2402" s="1" t="n">
        <v>0.65</v>
      </c>
      <c r="G2402" s="1" t="n">
        <f aca="false">IF(E2402=E2401,F2402/F2401-1,"")</f>
        <v>0</v>
      </c>
    </row>
    <row r="2403" customFormat="false" ht="14.25" hidden="false" customHeight="true" outlineLevel="0" collapsed="false">
      <c r="A2403" s="26" t="n">
        <v>8583</v>
      </c>
      <c r="B2403" s="1" t="n">
        <v>1923</v>
      </c>
      <c r="C2403" s="1" t="n">
        <v>7</v>
      </c>
      <c r="D2403" s="1" t="s">
        <v>48</v>
      </c>
      <c r="E2403" s="1" t="s">
        <v>2</v>
      </c>
      <c r="F2403" s="1" t="n">
        <v>0.65</v>
      </c>
      <c r="G2403" s="1" t="n">
        <f aca="false">IF(E2403=E2402,F2403/F2402-1,"")</f>
        <v>0</v>
      </c>
    </row>
    <row r="2404" customFormat="false" ht="14.25" hidden="false" customHeight="true" outlineLevel="0" collapsed="false">
      <c r="A2404" s="26" t="n">
        <v>8614</v>
      </c>
      <c r="B2404" s="1" t="n">
        <v>1923</v>
      </c>
      <c r="C2404" s="1" t="n">
        <v>8</v>
      </c>
      <c r="D2404" s="1" t="s">
        <v>49</v>
      </c>
      <c r="E2404" s="1" t="s">
        <v>2</v>
      </c>
      <c r="F2404" s="1" t="n">
        <v>0.65</v>
      </c>
      <c r="G2404" s="1" t="n">
        <f aca="false">IF(E2404=E2403,F2404/F2403-1,"")</f>
        <v>0</v>
      </c>
    </row>
    <row r="2405" customFormat="false" ht="14.25" hidden="false" customHeight="true" outlineLevel="0" collapsed="false">
      <c r="A2405" s="26" t="n">
        <v>8645</v>
      </c>
      <c r="B2405" s="1" t="n">
        <v>1923</v>
      </c>
      <c r="C2405" s="1" t="n">
        <v>9</v>
      </c>
      <c r="D2405" s="1" t="s">
        <v>50</v>
      </c>
      <c r="E2405" s="1" t="s">
        <v>2</v>
      </c>
      <c r="F2405" s="1" t="n">
        <v>0.65</v>
      </c>
      <c r="G2405" s="1" t="n">
        <f aca="false">IF(E2405=E2404,F2405/F2404-1,"")</f>
        <v>0</v>
      </c>
    </row>
    <row r="2406" customFormat="false" ht="14.25" hidden="false" customHeight="true" outlineLevel="0" collapsed="false">
      <c r="A2406" s="26" t="n">
        <v>8675</v>
      </c>
      <c r="B2406" s="1" t="n">
        <v>1923</v>
      </c>
      <c r="C2406" s="1" t="n">
        <v>10</v>
      </c>
      <c r="D2406" s="1" t="s">
        <v>51</v>
      </c>
      <c r="E2406" s="1" t="s">
        <v>2</v>
      </c>
      <c r="F2406" s="1" t="n">
        <v>0.65</v>
      </c>
      <c r="G2406" s="1" t="n">
        <f aca="false">IF(E2406=E2405,F2406/F2405-1,"")</f>
        <v>0</v>
      </c>
    </row>
    <row r="2407" customFormat="false" ht="14.25" hidden="false" customHeight="true" outlineLevel="0" collapsed="false">
      <c r="A2407" s="26" t="n">
        <v>8706</v>
      </c>
      <c r="B2407" s="1" t="n">
        <v>1923</v>
      </c>
      <c r="C2407" s="1" t="n">
        <v>11</v>
      </c>
      <c r="D2407" s="1" t="s">
        <v>52</v>
      </c>
      <c r="E2407" s="1" t="s">
        <v>2</v>
      </c>
      <c r="F2407" s="1" t="n">
        <v>0.65</v>
      </c>
      <c r="G2407" s="1" t="n">
        <f aca="false">IF(E2407=E2406,F2407/F2406-1,"")</f>
        <v>0</v>
      </c>
    </row>
    <row r="2408" customFormat="false" ht="14.25" hidden="false" customHeight="true" outlineLevel="0" collapsed="false">
      <c r="A2408" s="26" t="n">
        <v>8736</v>
      </c>
      <c r="B2408" s="1" t="n">
        <v>1923</v>
      </c>
      <c r="C2408" s="1" t="n">
        <v>12</v>
      </c>
      <c r="D2408" s="1" t="s">
        <v>53</v>
      </c>
      <c r="E2408" s="1" t="s">
        <v>2</v>
      </c>
      <c r="F2408" s="1" t="n">
        <v>0.65</v>
      </c>
      <c r="G2408" s="1" t="n">
        <f aca="false">IF(E2408=E2407,F2408/F2407-1,"")</f>
        <v>0</v>
      </c>
    </row>
    <row r="2409" customFormat="false" ht="14.25" hidden="false" customHeight="true" outlineLevel="0" collapsed="false">
      <c r="A2409" s="26" t="n">
        <v>8767</v>
      </c>
      <c r="B2409" s="1" t="n">
        <v>1924</v>
      </c>
      <c r="C2409" s="1" t="n">
        <v>1</v>
      </c>
      <c r="D2409" s="1" t="s">
        <v>42</v>
      </c>
      <c r="E2409" s="1" t="s">
        <v>2</v>
      </c>
      <c r="F2409" s="1" t="n">
        <v>0.67</v>
      </c>
      <c r="G2409" s="1" t="n">
        <f aca="false">IF(E2409=E2408,F2409/F2408-1,"")</f>
        <v>0.0307692307692309</v>
      </c>
    </row>
    <row r="2410" customFormat="false" ht="14.25" hidden="false" customHeight="true" outlineLevel="0" collapsed="false">
      <c r="A2410" s="26" t="n">
        <v>8798</v>
      </c>
      <c r="B2410" s="1" t="n">
        <v>1924</v>
      </c>
      <c r="C2410" s="1" t="n">
        <v>2</v>
      </c>
      <c r="D2410" s="1" t="s">
        <v>43</v>
      </c>
      <c r="E2410" s="1" t="s">
        <v>2</v>
      </c>
      <c r="F2410" s="1" t="n">
        <v>0.67</v>
      </c>
      <c r="G2410" s="1" t="n">
        <f aca="false">IF(E2410=E2409,F2410/F2409-1,"")</f>
        <v>0</v>
      </c>
    </row>
    <row r="2411" customFormat="false" ht="14.25" hidden="false" customHeight="true" outlineLevel="0" collapsed="false">
      <c r="A2411" s="26" t="n">
        <v>8827</v>
      </c>
      <c r="B2411" s="1" t="n">
        <v>1924</v>
      </c>
      <c r="C2411" s="1" t="n">
        <v>3</v>
      </c>
      <c r="D2411" s="1" t="s">
        <v>44</v>
      </c>
      <c r="E2411" s="1" t="s">
        <v>2</v>
      </c>
      <c r="F2411" s="1" t="n">
        <v>0.67</v>
      </c>
      <c r="G2411" s="1" t="n">
        <f aca="false">IF(E2411=E2410,F2411/F2410-1,"")</f>
        <v>0</v>
      </c>
    </row>
    <row r="2412" customFormat="false" ht="14.25" hidden="false" customHeight="true" outlineLevel="0" collapsed="false">
      <c r="A2412" s="26" t="n">
        <v>8858</v>
      </c>
      <c r="B2412" s="1" t="n">
        <v>1924</v>
      </c>
      <c r="C2412" s="1" t="n">
        <v>4</v>
      </c>
      <c r="D2412" s="1" t="s">
        <v>45</v>
      </c>
      <c r="E2412" s="1" t="s">
        <v>2</v>
      </c>
      <c r="F2412" s="1" t="n">
        <v>0.67</v>
      </c>
      <c r="G2412" s="1" t="n">
        <f aca="false">IF(E2412=E2411,F2412/F2411-1,"")</f>
        <v>0</v>
      </c>
    </row>
    <row r="2413" customFormat="false" ht="14.25" hidden="false" customHeight="true" outlineLevel="0" collapsed="false">
      <c r="A2413" s="26" t="n">
        <v>8888</v>
      </c>
      <c r="B2413" s="1" t="n">
        <v>1924</v>
      </c>
      <c r="C2413" s="1" t="n">
        <v>5</v>
      </c>
      <c r="D2413" s="1" t="s">
        <v>46</v>
      </c>
      <c r="E2413" s="1" t="s">
        <v>2</v>
      </c>
      <c r="F2413" s="1" t="n">
        <v>0.67</v>
      </c>
      <c r="G2413" s="1" t="n">
        <f aca="false">IF(E2413=E2412,F2413/F2412-1,"")</f>
        <v>0</v>
      </c>
    </row>
    <row r="2414" customFormat="false" ht="14.25" hidden="false" customHeight="true" outlineLevel="0" collapsed="false">
      <c r="A2414" s="26" t="n">
        <v>8919</v>
      </c>
      <c r="B2414" s="1" t="n">
        <v>1924</v>
      </c>
      <c r="C2414" s="1" t="n">
        <v>6</v>
      </c>
      <c r="D2414" s="1" t="s">
        <v>47</v>
      </c>
      <c r="E2414" s="1" t="s">
        <v>2</v>
      </c>
      <c r="F2414" s="1" t="n">
        <v>0.67</v>
      </c>
      <c r="G2414" s="1" t="n">
        <f aca="false">IF(E2414=E2413,F2414/F2413-1,"")</f>
        <v>0</v>
      </c>
    </row>
    <row r="2415" customFormat="false" ht="14.25" hidden="false" customHeight="true" outlineLevel="0" collapsed="false">
      <c r="A2415" s="26" t="n">
        <v>8949</v>
      </c>
      <c r="B2415" s="1" t="n">
        <v>1924</v>
      </c>
      <c r="C2415" s="1" t="n">
        <v>7</v>
      </c>
      <c r="D2415" s="1" t="s">
        <v>48</v>
      </c>
      <c r="E2415" s="1" t="s">
        <v>2</v>
      </c>
      <c r="F2415" s="1" t="n">
        <v>0.67</v>
      </c>
      <c r="G2415" s="1" t="n">
        <f aca="false">IF(E2415=E2414,F2415/F2414-1,"")</f>
        <v>0</v>
      </c>
    </row>
    <row r="2416" customFormat="false" ht="14.25" hidden="false" customHeight="true" outlineLevel="0" collapsed="false">
      <c r="A2416" s="26" t="n">
        <v>8980</v>
      </c>
      <c r="B2416" s="1" t="n">
        <v>1924</v>
      </c>
      <c r="C2416" s="1" t="n">
        <v>8</v>
      </c>
      <c r="D2416" s="1" t="s">
        <v>49</v>
      </c>
      <c r="E2416" s="1" t="s">
        <v>2</v>
      </c>
      <c r="F2416" s="1" t="n">
        <v>0.67</v>
      </c>
      <c r="G2416" s="1" t="n">
        <f aca="false">IF(E2416=E2415,F2416/F2415-1,"")</f>
        <v>0</v>
      </c>
    </row>
    <row r="2417" customFormat="false" ht="14.25" hidden="false" customHeight="true" outlineLevel="0" collapsed="false">
      <c r="A2417" s="26" t="n">
        <v>9011</v>
      </c>
      <c r="B2417" s="1" t="n">
        <v>1924</v>
      </c>
      <c r="C2417" s="1" t="n">
        <v>9</v>
      </c>
      <c r="D2417" s="1" t="s">
        <v>50</v>
      </c>
      <c r="E2417" s="1" t="s">
        <v>2</v>
      </c>
      <c r="F2417" s="1" t="n">
        <v>0.67</v>
      </c>
      <c r="G2417" s="1" t="n">
        <f aca="false">IF(E2417=E2416,F2417/F2416-1,"")</f>
        <v>0</v>
      </c>
    </row>
    <row r="2418" customFormat="false" ht="14.25" hidden="false" customHeight="true" outlineLevel="0" collapsed="false">
      <c r="A2418" s="26" t="n">
        <v>9041</v>
      </c>
      <c r="B2418" s="1" t="n">
        <v>1924</v>
      </c>
      <c r="C2418" s="1" t="n">
        <v>10</v>
      </c>
      <c r="D2418" s="1" t="s">
        <v>51</v>
      </c>
      <c r="E2418" s="1" t="s">
        <v>2</v>
      </c>
      <c r="F2418" s="1" t="n">
        <v>0.67</v>
      </c>
      <c r="G2418" s="1" t="n">
        <f aca="false">IF(E2418=E2417,F2418/F2417-1,"")</f>
        <v>0</v>
      </c>
    </row>
    <row r="2419" customFormat="false" ht="14.25" hidden="false" customHeight="true" outlineLevel="0" collapsed="false">
      <c r="A2419" s="26" t="n">
        <v>9072</v>
      </c>
      <c r="B2419" s="1" t="n">
        <v>1924</v>
      </c>
      <c r="C2419" s="1" t="n">
        <v>11</v>
      </c>
      <c r="D2419" s="1" t="s">
        <v>52</v>
      </c>
      <c r="E2419" s="1" t="s">
        <v>2</v>
      </c>
      <c r="F2419" s="1" t="n">
        <v>0.67</v>
      </c>
      <c r="G2419" s="1" t="n">
        <f aca="false">IF(E2419=E2418,F2419/F2418-1,"")</f>
        <v>0</v>
      </c>
    </row>
    <row r="2420" customFormat="false" ht="14.25" hidden="false" customHeight="true" outlineLevel="0" collapsed="false">
      <c r="A2420" s="26" t="n">
        <v>9102</v>
      </c>
      <c r="B2420" s="1" t="n">
        <v>1924</v>
      </c>
      <c r="C2420" s="1" t="n">
        <v>12</v>
      </c>
      <c r="D2420" s="1" t="s">
        <v>53</v>
      </c>
      <c r="E2420" s="1" t="s">
        <v>2</v>
      </c>
      <c r="F2420" s="1" t="n">
        <v>0.67</v>
      </c>
      <c r="G2420" s="1" t="n">
        <f aca="false">IF(E2420=E2419,F2420/F2419-1,"")</f>
        <v>0</v>
      </c>
    </row>
    <row r="2421" customFormat="false" ht="14.25" hidden="false" customHeight="true" outlineLevel="0" collapsed="false">
      <c r="A2421" s="26" t="n">
        <v>9133</v>
      </c>
      <c r="B2421" s="1" t="n">
        <v>1925</v>
      </c>
      <c r="C2421" s="1" t="n">
        <v>1</v>
      </c>
      <c r="D2421" s="1" t="s">
        <v>42</v>
      </c>
      <c r="E2421" s="1" t="s">
        <v>2</v>
      </c>
      <c r="F2421" s="1" t="n">
        <v>0.69</v>
      </c>
      <c r="G2421" s="1" t="n">
        <f aca="false">IF(E2421=E2420,F2421/F2420-1,"")</f>
        <v>0.0298507462686566</v>
      </c>
    </row>
    <row r="2422" customFormat="false" ht="14.25" hidden="false" customHeight="true" outlineLevel="0" collapsed="false">
      <c r="A2422" s="26" t="n">
        <v>9164</v>
      </c>
      <c r="B2422" s="1" t="n">
        <v>1925</v>
      </c>
      <c r="C2422" s="1" t="n">
        <v>2</v>
      </c>
      <c r="D2422" s="1" t="s">
        <v>43</v>
      </c>
      <c r="E2422" s="1" t="s">
        <v>2</v>
      </c>
      <c r="F2422" s="1" t="n">
        <v>0.69</v>
      </c>
      <c r="G2422" s="1" t="n">
        <f aca="false">IF(E2422=E2421,F2422/F2421-1,"")</f>
        <v>0</v>
      </c>
    </row>
    <row r="2423" customFormat="false" ht="14.25" hidden="false" customHeight="true" outlineLevel="0" collapsed="false">
      <c r="A2423" s="26" t="n">
        <v>9192</v>
      </c>
      <c r="B2423" s="1" t="n">
        <v>1925</v>
      </c>
      <c r="C2423" s="1" t="n">
        <v>3</v>
      </c>
      <c r="D2423" s="1" t="s">
        <v>44</v>
      </c>
      <c r="E2423" s="1" t="s">
        <v>2</v>
      </c>
      <c r="F2423" s="1" t="n">
        <v>0.69</v>
      </c>
      <c r="G2423" s="1" t="n">
        <f aca="false">IF(E2423=E2422,F2423/F2422-1,"")</f>
        <v>0</v>
      </c>
    </row>
    <row r="2424" customFormat="false" ht="14.25" hidden="false" customHeight="true" outlineLevel="0" collapsed="false">
      <c r="A2424" s="26" t="n">
        <v>9223</v>
      </c>
      <c r="B2424" s="1" t="n">
        <v>1925</v>
      </c>
      <c r="C2424" s="1" t="n">
        <v>4</v>
      </c>
      <c r="D2424" s="1" t="s">
        <v>45</v>
      </c>
      <c r="E2424" s="1" t="s">
        <v>2</v>
      </c>
      <c r="F2424" s="1" t="n">
        <v>0.69</v>
      </c>
      <c r="G2424" s="1" t="n">
        <f aca="false">IF(E2424=E2423,F2424/F2423-1,"")</f>
        <v>0</v>
      </c>
    </row>
    <row r="2425" customFormat="false" ht="14.25" hidden="false" customHeight="true" outlineLevel="0" collapsed="false">
      <c r="A2425" s="26" t="n">
        <v>9253</v>
      </c>
      <c r="B2425" s="1" t="n">
        <v>1925</v>
      </c>
      <c r="C2425" s="1" t="n">
        <v>5</v>
      </c>
      <c r="D2425" s="1" t="s">
        <v>46</v>
      </c>
      <c r="E2425" s="1" t="s">
        <v>2</v>
      </c>
      <c r="F2425" s="1" t="n">
        <v>0.69</v>
      </c>
      <c r="G2425" s="1" t="n">
        <f aca="false">IF(E2425=E2424,F2425/F2424-1,"")</f>
        <v>0</v>
      </c>
    </row>
    <row r="2426" customFormat="false" ht="14.25" hidden="false" customHeight="true" outlineLevel="0" collapsed="false">
      <c r="A2426" s="26" t="n">
        <v>9284</v>
      </c>
      <c r="B2426" s="1" t="n">
        <v>1925</v>
      </c>
      <c r="C2426" s="1" t="n">
        <v>6</v>
      </c>
      <c r="D2426" s="1" t="s">
        <v>47</v>
      </c>
      <c r="E2426" s="1" t="s">
        <v>2</v>
      </c>
      <c r="F2426" s="1" t="n">
        <v>0.69</v>
      </c>
      <c r="G2426" s="1" t="n">
        <f aca="false">IF(E2426=E2425,F2426/F2425-1,"")</f>
        <v>0</v>
      </c>
    </row>
    <row r="2427" customFormat="false" ht="14.25" hidden="false" customHeight="true" outlineLevel="0" collapsed="false">
      <c r="A2427" s="26" t="n">
        <v>9314</v>
      </c>
      <c r="B2427" s="1" t="n">
        <v>1925</v>
      </c>
      <c r="C2427" s="1" t="n">
        <v>7</v>
      </c>
      <c r="D2427" s="1" t="s">
        <v>48</v>
      </c>
      <c r="E2427" s="1" t="s">
        <v>2</v>
      </c>
      <c r="F2427" s="1" t="n">
        <v>0.69</v>
      </c>
      <c r="G2427" s="1" t="n">
        <f aca="false">IF(E2427=E2426,F2427/F2426-1,"")</f>
        <v>0</v>
      </c>
    </row>
    <row r="2428" customFormat="false" ht="14.25" hidden="false" customHeight="true" outlineLevel="0" collapsed="false">
      <c r="A2428" s="26" t="n">
        <v>9345</v>
      </c>
      <c r="B2428" s="1" t="n">
        <v>1925</v>
      </c>
      <c r="C2428" s="1" t="n">
        <v>8</v>
      </c>
      <c r="D2428" s="1" t="s">
        <v>49</v>
      </c>
      <c r="E2428" s="1" t="s">
        <v>2</v>
      </c>
      <c r="F2428" s="1" t="n">
        <v>0.69</v>
      </c>
      <c r="G2428" s="1" t="n">
        <f aca="false">IF(E2428=E2427,F2428/F2427-1,"")</f>
        <v>0</v>
      </c>
    </row>
    <row r="2429" customFormat="false" ht="14.25" hidden="false" customHeight="true" outlineLevel="0" collapsed="false">
      <c r="A2429" s="26" t="n">
        <v>9376</v>
      </c>
      <c r="B2429" s="1" t="n">
        <v>1925</v>
      </c>
      <c r="C2429" s="1" t="n">
        <v>9</v>
      </c>
      <c r="D2429" s="1" t="s">
        <v>50</v>
      </c>
      <c r="E2429" s="1" t="s">
        <v>2</v>
      </c>
      <c r="F2429" s="1" t="n">
        <v>0.69</v>
      </c>
      <c r="G2429" s="1" t="n">
        <f aca="false">IF(E2429=E2428,F2429/F2428-1,"")</f>
        <v>0</v>
      </c>
    </row>
    <row r="2430" customFormat="false" ht="14.25" hidden="false" customHeight="true" outlineLevel="0" collapsed="false">
      <c r="A2430" s="26" t="n">
        <v>9406</v>
      </c>
      <c r="B2430" s="1" t="n">
        <v>1925</v>
      </c>
      <c r="C2430" s="1" t="n">
        <v>10</v>
      </c>
      <c r="D2430" s="1" t="s">
        <v>51</v>
      </c>
      <c r="E2430" s="1" t="s">
        <v>2</v>
      </c>
      <c r="F2430" s="1" t="n">
        <v>0.69</v>
      </c>
      <c r="G2430" s="1" t="n">
        <f aca="false">IF(E2430=E2429,F2430/F2429-1,"")</f>
        <v>0</v>
      </c>
    </row>
    <row r="2431" customFormat="false" ht="14.25" hidden="false" customHeight="true" outlineLevel="0" collapsed="false">
      <c r="A2431" s="26" t="n">
        <v>9437</v>
      </c>
      <c r="B2431" s="1" t="n">
        <v>1925</v>
      </c>
      <c r="C2431" s="1" t="n">
        <v>11</v>
      </c>
      <c r="D2431" s="1" t="s">
        <v>52</v>
      </c>
      <c r="E2431" s="1" t="s">
        <v>2</v>
      </c>
      <c r="F2431" s="1" t="n">
        <v>0.69</v>
      </c>
      <c r="G2431" s="1" t="n">
        <f aca="false">IF(E2431=E2430,F2431/F2430-1,"")</f>
        <v>0</v>
      </c>
    </row>
    <row r="2432" customFormat="false" ht="14.25" hidden="false" customHeight="true" outlineLevel="0" collapsed="false">
      <c r="A2432" s="26" t="n">
        <v>9467</v>
      </c>
      <c r="B2432" s="1" t="n">
        <v>1925</v>
      </c>
      <c r="C2432" s="1" t="n">
        <v>12</v>
      </c>
      <c r="D2432" s="1" t="s">
        <v>53</v>
      </c>
      <c r="E2432" s="1" t="s">
        <v>2</v>
      </c>
      <c r="F2432" s="1" t="n">
        <v>0.69</v>
      </c>
      <c r="G2432" s="1" t="n">
        <f aca="false">IF(E2432=E2431,F2432/F2431-1,"")</f>
        <v>0</v>
      </c>
    </row>
    <row r="2433" customFormat="false" ht="14.25" hidden="false" customHeight="true" outlineLevel="0" collapsed="false">
      <c r="A2433" s="26" t="n">
        <v>9498</v>
      </c>
      <c r="B2433" s="1" t="n">
        <v>1926</v>
      </c>
      <c r="C2433" s="1" t="n">
        <v>1</v>
      </c>
      <c r="D2433" s="1" t="s">
        <v>42</v>
      </c>
      <c r="E2433" s="1" t="s">
        <v>2</v>
      </c>
      <c r="F2433" s="1" t="n">
        <v>0.62</v>
      </c>
      <c r="G2433" s="1" t="n">
        <f aca="false">IF(E2433=E2432,F2433/F2432-1,"")</f>
        <v>-0.101449275362319</v>
      </c>
    </row>
    <row r="2434" customFormat="false" ht="14.25" hidden="false" customHeight="true" outlineLevel="0" collapsed="false">
      <c r="A2434" s="26" t="n">
        <v>9529</v>
      </c>
      <c r="B2434" s="1" t="n">
        <v>1926</v>
      </c>
      <c r="C2434" s="1" t="n">
        <v>2</v>
      </c>
      <c r="D2434" s="1" t="s">
        <v>43</v>
      </c>
      <c r="E2434" s="1" t="s">
        <v>2</v>
      </c>
      <c r="F2434" s="1" t="n">
        <v>0.62</v>
      </c>
      <c r="G2434" s="1" t="n">
        <f aca="false">IF(E2434=E2433,F2434/F2433-1,"")</f>
        <v>0</v>
      </c>
    </row>
    <row r="2435" customFormat="false" ht="14.25" hidden="false" customHeight="true" outlineLevel="0" collapsed="false">
      <c r="A2435" s="26" t="n">
        <v>9557</v>
      </c>
      <c r="B2435" s="1" t="n">
        <v>1926</v>
      </c>
      <c r="C2435" s="1" t="n">
        <v>3</v>
      </c>
      <c r="D2435" s="1" t="s">
        <v>44</v>
      </c>
      <c r="E2435" s="1" t="s">
        <v>2</v>
      </c>
      <c r="F2435" s="1" t="n">
        <v>0.62</v>
      </c>
      <c r="G2435" s="1" t="n">
        <f aca="false">IF(E2435=E2434,F2435/F2434-1,"")</f>
        <v>0</v>
      </c>
    </row>
    <row r="2436" customFormat="false" ht="14.25" hidden="false" customHeight="true" outlineLevel="0" collapsed="false">
      <c r="A2436" s="26" t="n">
        <v>9588</v>
      </c>
      <c r="B2436" s="1" t="n">
        <v>1926</v>
      </c>
      <c r="C2436" s="1" t="n">
        <v>4</v>
      </c>
      <c r="D2436" s="1" t="s">
        <v>45</v>
      </c>
      <c r="E2436" s="1" t="s">
        <v>2</v>
      </c>
      <c r="F2436" s="1" t="n">
        <v>0.62</v>
      </c>
      <c r="G2436" s="1" t="n">
        <f aca="false">IF(E2436=E2435,F2436/F2435-1,"")</f>
        <v>0</v>
      </c>
    </row>
    <row r="2437" customFormat="false" ht="14.25" hidden="false" customHeight="true" outlineLevel="0" collapsed="false">
      <c r="A2437" s="26" t="n">
        <v>9618</v>
      </c>
      <c r="B2437" s="1" t="n">
        <v>1926</v>
      </c>
      <c r="C2437" s="1" t="n">
        <v>5</v>
      </c>
      <c r="D2437" s="1" t="s">
        <v>46</v>
      </c>
      <c r="E2437" s="1" t="s">
        <v>2</v>
      </c>
      <c r="F2437" s="1" t="n">
        <v>0.62</v>
      </c>
      <c r="G2437" s="1" t="n">
        <f aca="false">IF(E2437=E2436,F2437/F2436-1,"")</f>
        <v>0</v>
      </c>
    </row>
    <row r="2438" customFormat="false" ht="14.25" hidden="false" customHeight="true" outlineLevel="0" collapsed="false">
      <c r="A2438" s="26" t="n">
        <v>9649</v>
      </c>
      <c r="B2438" s="1" t="n">
        <v>1926</v>
      </c>
      <c r="C2438" s="1" t="n">
        <v>6</v>
      </c>
      <c r="D2438" s="1" t="s">
        <v>47</v>
      </c>
      <c r="E2438" s="1" t="s">
        <v>2</v>
      </c>
      <c r="F2438" s="1" t="n">
        <v>0.62</v>
      </c>
      <c r="G2438" s="1" t="n">
        <f aca="false">IF(E2438=E2437,F2438/F2437-1,"")</f>
        <v>0</v>
      </c>
    </row>
    <row r="2439" customFormat="false" ht="14.25" hidden="false" customHeight="true" outlineLevel="0" collapsed="false">
      <c r="A2439" s="26" t="n">
        <v>9679</v>
      </c>
      <c r="B2439" s="1" t="n">
        <v>1926</v>
      </c>
      <c r="C2439" s="1" t="n">
        <v>7</v>
      </c>
      <c r="D2439" s="1" t="s">
        <v>48</v>
      </c>
      <c r="E2439" s="1" t="s">
        <v>2</v>
      </c>
      <c r="F2439" s="1" t="n">
        <v>0.62</v>
      </c>
      <c r="G2439" s="1" t="n">
        <f aca="false">IF(E2439=E2438,F2439/F2438-1,"")</f>
        <v>0</v>
      </c>
    </row>
    <row r="2440" customFormat="false" ht="14.25" hidden="false" customHeight="true" outlineLevel="0" collapsed="false">
      <c r="A2440" s="26" t="n">
        <v>9710</v>
      </c>
      <c r="B2440" s="1" t="n">
        <v>1926</v>
      </c>
      <c r="C2440" s="1" t="n">
        <v>8</v>
      </c>
      <c r="D2440" s="1" t="s">
        <v>49</v>
      </c>
      <c r="E2440" s="1" t="s">
        <v>2</v>
      </c>
      <c r="F2440" s="1" t="n">
        <v>0.62</v>
      </c>
      <c r="G2440" s="1" t="n">
        <f aca="false">IF(E2440=E2439,F2440/F2439-1,"")</f>
        <v>0</v>
      </c>
    </row>
    <row r="2441" customFormat="false" ht="14.25" hidden="false" customHeight="true" outlineLevel="0" collapsed="false">
      <c r="A2441" s="26" t="n">
        <v>9741</v>
      </c>
      <c r="B2441" s="1" t="n">
        <v>1926</v>
      </c>
      <c r="C2441" s="1" t="n">
        <v>9</v>
      </c>
      <c r="D2441" s="1" t="s">
        <v>50</v>
      </c>
      <c r="E2441" s="1" t="s">
        <v>2</v>
      </c>
      <c r="F2441" s="1" t="n">
        <v>0.62</v>
      </c>
      <c r="G2441" s="1" t="n">
        <f aca="false">IF(E2441=E2440,F2441/F2440-1,"")</f>
        <v>0</v>
      </c>
    </row>
    <row r="2442" customFormat="false" ht="14.25" hidden="false" customHeight="true" outlineLevel="0" collapsed="false">
      <c r="A2442" s="26" t="n">
        <v>9771</v>
      </c>
      <c r="B2442" s="1" t="n">
        <v>1926</v>
      </c>
      <c r="C2442" s="1" t="n">
        <v>10</v>
      </c>
      <c r="D2442" s="1" t="s">
        <v>51</v>
      </c>
      <c r="E2442" s="1" t="s">
        <v>2</v>
      </c>
      <c r="F2442" s="1" t="n">
        <v>0.62</v>
      </c>
      <c r="G2442" s="1" t="n">
        <f aca="false">IF(E2442=E2441,F2442/F2441-1,"")</f>
        <v>0</v>
      </c>
    </row>
    <row r="2443" customFormat="false" ht="14.25" hidden="false" customHeight="true" outlineLevel="0" collapsed="false">
      <c r="A2443" s="26" t="n">
        <v>9802</v>
      </c>
      <c r="B2443" s="1" t="n">
        <v>1926</v>
      </c>
      <c r="C2443" s="1" t="n">
        <v>11</v>
      </c>
      <c r="D2443" s="1" t="s">
        <v>52</v>
      </c>
      <c r="E2443" s="1" t="s">
        <v>2</v>
      </c>
      <c r="F2443" s="1" t="n">
        <v>0.62</v>
      </c>
      <c r="G2443" s="1" t="n">
        <f aca="false">IF(E2443=E2442,F2443/F2442-1,"")</f>
        <v>0</v>
      </c>
    </row>
    <row r="2444" customFormat="false" ht="14.25" hidden="false" customHeight="true" outlineLevel="0" collapsed="false">
      <c r="A2444" s="26" t="n">
        <v>9832</v>
      </c>
      <c r="B2444" s="1" t="n">
        <v>1926</v>
      </c>
      <c r="C2444" s="1" t="n">
        <v>12</v>
      </c>
      <c r="D2444" s="1" t="s">
        <v>53</v>
      </c>
      <c r="E2444" s="1" t="s">
        <v>2</v>
      </c>
      <c r="F2444" s="1" t="n">
        <v>0.62</v>
      </c>
      <c r="G2444" s="1" t="n">
        <f aca="false">IF(E2444=E2443,F2444/F2443-1,"")</f>
        <v>0</v>
      </c>
    </row>
    <row r="2445" customFormat="false" ht="14.25" hidden="false" customHeight="true" outlineLevel="0" collapsed="false">
      <c r="A2445" s="26" t="n">
        <v>9863</v>
      </c>
      <c r="B2445" s="1" t="n">
        <v>1927</v>
      </c>
      <c r="C2445" s="1" t="n">
        <v>1</v>
      </c>
      <c r="D2445" s="1" t="s">
        <v>42</v>
      </c>
      <c r="E2445" s="1" t="s">
        <v>2</v>
      </c>
      <c r="F2445" s="1" t="n">
        <v>0.57</v>
      </c>
      <c r="G2445" s="1" t="n">
        <f aca="false">IF(E2445=E2444,F2445/F2444-1,"")</f>
        <v>-0.0806451612903226</v>
      </c>
    </row>
    <row r="2446" customFormat="false" ht="14.25" hidden="false" customHeight="true" outlineLevel="0" collapsed="false">
      <c r="A2446" s="26" t="n">
        <v>9894</v>
      </c>
      <c r="B2446" s="1" t="n">
        <v>1927</v>
      </c>
      <c r="C2446" s="1" t="n">
        <v>2</v>
      </c>
      <c r="D2446" s="1" t="s">
        <v>43</v>
      </c>
      <c r="E2446" s="1" t="s">
        <v>2</v>
      </c>
      <c r="F2446" s="1" t="n">
        <v>0.57</v>
      </c>
      <c r="G2446" s="1" t="n">
        <f aca="false">IF(E2446=E2445,F2446/F2445-1,"")</f>
        <v>0</v>
      </c>
    </row>
    <row r="2447" customFormat="false" ht="14.25" hidden="false" customHeight="true" outlineLevel="0" collapsed="false">
      <c r="A2447" s="26" t="n">
        <v>9922</v>
      </c>
      <c r="B2447" s="1" t="n">
        <v>1927</v>
      </c>
      <c r="C2447" s="1" t="n">
        <v>3</v>
      </c>
      <c r="D2447" s="1" t="s">
        <v>44</v>
      </c>
      <c r="E2447" s="1" t="s">
        <v>2</v>
      </c>
      <c r="F2447" s="1" t="n">
        <v>0.57</v>
      </c>
      <c r="G2447" s="1" t="n">
        <f aca="false">IF(E2447=E2446,F2447/F2446-1,"")</f>
        <v>0</v>
      </c>
    </row>
    <row r="2448" customFormat="false" ht="14.25" hidden="false" customHeight="true" outlineLevel="0" collapsed="false">
      <c r="A2448" s="26" t="n">
        <v>9953</v>
      </c>
      <c r="B2448" s="1" t="n">
        <v>1927</v>
      </c>
      <c r="C2448" s="1" t="n">
        <v>4</v>
      </c>
      <c r="D2448" s="1" t="s">
        <v>45</v>
      </c>
      <c r="E2448" s="1" t="s">
        <v>2</v>
      </c>
      <c r="F2448" s="1" t="n">
        <v>0.57</v>
      </c>
      <c r="G2448" s="1" t="n">
        <f aca="false">IF(E2448=E2447,F2448/F2447-1,"")</f>
        <v>0</v>
      </c>
    </row>
    <row r="2449" customFormat="false" ht="14.25" hidden="false" customHeight="true" outlineLevel="0" collapsed="false">
      <c r="A2449" s="26" t="n">
        <v>9983</v>
      </c>
      <c r="B2449" s="1" t="n">
        <v>1927</v>
      </c>
      <c r="C2449" s="1" t="n">
        <v>5</v>
      </c>
      <c r="D2449" s="1" t="s">
        <v>46</v>
      </c>
      <c r="E2449" s="1" t="s">
        <v>2</v>
      </c>
      <c r="F2449" s="1" t="n">
        <v>0.57</v>
      </c>
      <c r="G2449" s="1" t="n">
        <f aca="false">IF(E2449=E2448,F2449/F2448-1,"")</f>
        <v>0</v>
      </c>
    </row>
    <row r="2450" customFormat="false" ht="14.25" hidden="false" customHeight="true" outlineLevel="0" collapsed="false">
      <c r="A2450" s="26" t="n">
        <v>10014</v>
      </c>
      <c r="B2450" s="1" t="n">
        <v>1927</v>
      </c>
      <c r="C2450" s="1" t="n">
        <v>6</v>
      </c>
      <c r="D2450" s="1" t="s">
        <v>47</v>
      </c>
      <c r="E2450" s="1" t="s">
        <v>2</v>
      </c>
      <c r="F2450" s="1" t="n">
        <v>0.57</v>
      </c>
      <c r="G2450" s="1" t="n">
        <f aca="false">IF(E2450=E2449,F2450/F2449-1,"")</f>
        <v>0</v>
      </c>
    </row>
    <row r="2451" customFormat="false" ht="14.25" hidden="false" customHeight="true" outlineLevel="0" collapsed="false">
      <c r="A2451" s="26" t="n">
        <v>10044</v>
      </c>
      <c r="B2451" s="1" t="n">
        <v>1927</v>
      </c>
      <c r="C2451" s="1" t="n">
        <v>7</v>
      </c>
      <c r="D2451" s="1" t="s">
        <v>48</v>
      </c>
      <c r="E2451" s="1" t="s">
        <v>2</v>
      </c>
      <c r="F2451" s="1" t="n">
        <v>0.57</v>
      </c>
      <c r="G2451" s="1" t="n">
        <f aca="false">IF(E2451=E2450,F2451/F2450-1,"")</f>
        <v>0</v>
      </c>
    </row>
    <row r="2452" customFormat="false" ht="14.25" hidden="false" customHeight="true" outlineLevel="0" collapsed="false">
      <c r="A2452" s="26" t="n">
        <v>10075</v>
      </c>
      <c r="B2452" s="1" t="n">
        <v>1927</v>
      </c>
      <c r="C2452" s="1" t="n">
        <v>8</v>
      </c>
      <c r="D2452" s="1" t="s">
        <v>49</v>
      </c>
      <c r="E2452" s="1" t="s">
        <v>2</v>
      </c>
      <c r="F2452" s="1" t="n">
        <v>0.57</v>
      </c>
      <c r="G2452" s="1" t="n">
        <f aca="false">IF(E2452=E2451,F2452/F2451-1,"")</f>
        <v>0</v>
      </c>
    </row>
    <row r="2453" customFormat="false" ht="14.25" hidden="false" customHeight="true" outlineLevel="0" collapsed="false">
      <c r="A2453" s="26" t="n">
        <v>10106</v>
      </c>
      <c r="B2453" s="1" t="n">
        <v>1927</v>
      </c>
      <c r="C2453" s="1" t="n">
        <v>9</v>
      </c>
      <c r="D2453" s="1" t="s">
        <v>50</v>
      </c>
      <c r="E2453" s="1" t="s">
        <v>2</v>
      </c>
      <c r="F2453" s="1" t="n">
        <v>0.57</v>
      </c>
      <c r="G2453" s="1" t="n">
        <f aca="false">IF(E2453=E2452,F2453/F2452-1,"")</f>
        <v>0</v>
      </c>
    </row>
    <row r="2454" customFormat="false" ht="14.25" hidden="false" customHeight="true" outlineLevel="0" collapsed="false">
      <c r="A2454" s="26" t="n">
        <v>10136</v>
      </c>
      <c r="B2454" s="1" t="n">
        <v>1927</v>
      </c>
      <c r="C2454" s="1" t="n">
        <v>10</v>
      </c>
      <c r="D2454" s="1" t="s">
        <v>51</v>
      </c>
      <c r="E2454" s="1" t="s">
        <v>2</v>
      </c>
      <c r="F2454" s="1" t="n">
        <v>0.57</v>
      </c>
      <c r="G2454" s="1" t="n">
        <f aca="false">IF(E2454=E2453,F2454/F2453-1,"")</f>
        <v>0</v>
      </c>
    </row>
    <row r="2455" customFormat="false" ht="14.25" hidden="false" customHeight="true" outlineLevel="0" collapsed="false">
      <c r="A2455" s="26" t="n">
        <v>10167</v>
      </c>
      <c r="B2455" s="1" t="n">
        <v>1927</v>
      </c>
      <c r="C2455" s="1" t="n">
        <v>11</v>
      </c>
      <c r="D2455" s="1" t="s">
        <v>52</v>
      </c>
      <c r="E2455" s="1" t="s">
        <v>2</v>
      </c>
      <c r="F2455" s="1" t="n">
        <v>0.57</v>
      </c>
      <c r="G2455" s="1" t="n">
        <f aca="false">IF(E2455=E2454,F2455/F2454-1,"")</f>
        <v>0</v>
      </c>
    </row>
    <row r="2456" customFormat="false" ht="14.25" hidden="false" customHeight="true" outlineLevel="0" collapsed="false">
      <c r="A2456" s="26" t="n">
        <v>10197</v>
      </c>
      <c r="B2456" s="1" t="n">
        <v>1927</v>
      </c>
      <c r="C2456" s="1" t="n">
        <v>12</v>
      </c>
      <c r="D2456" s="1" t="s">
        <v>53</v>
      </c>
      <c r="E2456" s="1" t="s">
        <v>2</v>
      </c>
      <c r="F2456" s="1" t="n">
        <v>0.57</v>
      </c>
      <c r="G2456" s="1" t="n">
        <f aca="false">IF(E2456=E2455,F2456/F2455-1,"")</f>
        <v>0</v>
      </c>
    </row>
    <row r="2457" customFormat="false" ht="14.25" hidden="false" customHeight="true" outlineLevel="0" collapsed="false">
      <c r="A2457" s="26" t="n">
        <v>10228</v>
      </c>
      <c r="B2457" s="1" t="n">
        <v>1928</v>
      </c>
      <c r="C2457" s="1" t="n">
        <v>1</v>
      </c>
      <c r="D2457" s="1" t="s">
        <v>42</v>
      </c>
      <c r="E2457" s="1" t="s">
        <v>2</v>
      </c>
      <c r="F2457" s="1" t="n">
        <v>0.58</v>
      </c>
      <c r="G2457" s="1" t="n">
        <f aca="false">IF(E2457=E2456,F2457/F2456-1,"")</f>
        <v>0.0175438596491229</v>
      </c>
    </row>
    <row r="2458" customFormat="false" ht="14.25" hidden="false" customHeight="true" outlineLevel="0" collapsed="false">
      <c r="A2458" s="26" t="n">
        <v>10259</v>
      </c>
      <c r="B2458" s="1" t="n">
        <v>1928</v>
      </c>
      <c r="C2458" s="1" t="n">
        <v>2</v>
      </c>
      <c r="D2458" s="1" t="s">
        <v>43</v>
      </c>
      <c r="E2458" s="1" t="s">
        <v>2</v>
      </c>
      <c r="F2458" s="1" t="n">
        <v>0.58</v>
      </c>
      <c r="G2458" s="1" t="n">
        <f aca="false">IF(E2458=E2457,F2458/F2457-1,"")</f>
        <v>0</v>
      </c>
    </row>
    <row r="2459" customFormat="false" ht="14.25" hidden="false" customHeight="true" outlineLevel="0" collapsed="false">
      <c r="A2459" s="26" t="n">
        <v>10288</v>
      </c>
      <c r="B2459" s="1" t="n">
        <v>1928</v>
      </c>
      <c r="C2459" s="1" t="n">
        <v>3</v>
      </c>
      <c r="D2459" s="1" t="s">
        <v>44</v>
      </c>
      <c r="E2459" s="1" t="s">
        <v>2</v>
      </c>
      <c r="F2459" s="1" t="n">
        <v>0.58</v>
      </c>
      <c r="G2459" s="1" t="n">
        <f aca="false">IF(E2459=E2458,F2459/F2458-1,"")</f>
        <v>0</v>
      </c>
    </row>
    <row r="2460" customFormat="false" ht="14.25" hidden="false" customHeight="true" outlineLevel="0" collapsed="false">
      <c r="A2460" s="26" t="n">
        <v>10319</v>
      </c>
      <c r="B2460" s="1" t="n">
        <v>1928</v>
      </c>
      <c r="C2460" s="1" t="n">
        <v>4</v>
      </c>
      <c r="D2460" s="1" t="s">
        <v>45</v>
      </c>
      <c r="E2460" s="1" t="s">
        <v>2</v>
      </c>
      <c r="F2460" s="1" t="n">
        <v>0.58</v>
      </c>
      <c r="G2460" s="1" t="n">
        <f aca="false">IF(E2460=E2459,F2460/F2459-1,"")</f>
        <v>0</v>
      </c>
    </row>
    <row r="2461" customFormat="false" ht="14.25" hidden="false" customHeight="true" outlineLevel="0" collapsed="false">
      <c r="A2461" s="26" t="n">
        <v>10349</v>
      </c>
      <c r="B2461" s="1" t="n">
        <v>1928</v>
      </c>
      <c r="C2461" s="1" t="n">
        <v>5</v>
      </c>
      <c r="D2461" s="1" t="s">
        <v>46</v>
      </c>
      <c r="E2461" s="1" t="s">
        <v>2</v>
      </c>
      <c r="F2461" s="1" t="n">
        <v>0.58</v>
      </c>
      <c r="G2461" s="1" t="n">
        <f aca="false">IF(E2461=E2460,F2461/F2460-1,"")</f>
        <v>0</v>
      </c>
    </row>
    <row r="2462" customFormat="false" ht="14.25" hidden="false" customHeight="true" outlineLevel="0" collapsed="false">
      <c r="A2462" s="26" t="n">
        <v>10380</v>
      </c>
      <c r="B2462" s="1" t="n">
        <v>1928</v>
      </c>
      <c r="C2462" s="1" t="n">
        <v>6</v>
      </c>
      <c r="D2462" s="1" t="s">
        <v>47</v>
      </c>
      <c r="E2462" s="1" t="s">
        <v>2</v>
      </c>
      <c r="F2462" s="1" t="n">
        <v>0.58</v>
      </c>
      <c r="G2462" s="1" t="n">
        <f aca="false">IF(E2462=E2461,F2462/F2461-1,"")</f>
        <v>0</v>
      </c>
    </row>
    <row r="2463" customFormat="false" ht="14.25" hidden="false" customHeight="true" outlineLevel="0" collapsed="false">
      <c r="A2463" s="26" t="n">
        <v>10410</v>
      </c>
      <c r="B2463" s="1" t="n">
        <v>1928</v>
      </c>
      <c r="C2463" s="1" t="n">
        <v>7</v>
      </c>
      <c r="D2463" s="1" t="s">
        <v>48</v>
      </c>
      <c r="E2463" s="1" t="s">
        <v>2</v>
      </c>
      <c r="F2463" s="1" t="n">
        <v>0.58</v>
      </c>
      <c r="G2463" s="1" t="n">
        <f aca="false">IF(E2463=E2462,F2463/F2462-1,"")</f>
        <v>0</v>
      </c>
    </row>
    <row r="2464" customFormat="false" ht="14.25" hidden="false" customHeight="true" outlineLevel="0" collapsed="false">
      <c r="A2464" s="26" t="n">
        <v>10441</v>
      </c>
      <c r="B2464" s="1" t="n">
        <v>1928</v>
      </c>
      <c r="C2464" s="1" t="n">
        <v>8</v>
      </c>
      <c r="D2464" s="1" t="s">
        <v>49</v>
      </c>
      <c r="E2464" s="1" t="s">
        <v>2</v>
      </c>
      <c r="F2464" s="1" t="n">
        <v>0.58</v>
      </c>
      <c r="G2464" s="1" t="n">
        <f aca="false">IF(E2464=E2463,F2464/F2463-1,"")</f>
        <v>0</v>
      </c>
    </row>
    <row r="2465" customFormat="false" ht="14.25" hidden="false" customHeight="true" outlineLevel="0" collapsed="false">
      <c r="A2465" s="26" t="n">
        <v>10472</v>
      </c>
      <c r="B2465" s="1" t="n">
        <v>1928</v>
      </c>
      <c r="C2465" s="1" t="n">
        <v>9</v>
      </c>
      <c r="D2465" s="1" t="s">
        <v>50</v>
      </c>
      <c r="E2465" s="1" t="s">
        <v>2</v>
      </c>
      <c r="F2465" s="1" t="n">
        <v>0.58</v>
      </c>
      <c r="G2465" s="1" t="n">
        <f aca="false">IF(E2465=E2464,F2465/F2464-1,"")</f>
        <v>0</v>
      </c>
    </row>
    <row r="2466" customFormat="false" ht="14.25" hidden="false" customHeight="true" outlineLevel="0" collapsed="false">
      <c r="A2466" s="26" t="n">
        <v>10502</v>
      </c>
      <c r="B2466" s="1" t="n">
        <v>1928</v>
      </c>
      <c r="C2466" s="1" t="n">
        <v>10</v>
      </c>
      <c r="D2466" s="1" t="s">
        <v>51</v>
      </c>
      <c r="E2466" s="1" t="s">
        <v>2</v>
      </c>
      <c r="F2466" s="1" t="n">
        <v>0.58</v>
      </c>
      <c r="G2466" s="1" t="n">
        <f aca="false">IF(E2466=E2465,F2466/F2465-1,"")</f>
        <v>0</v>
      </c>
    </row>
    <row r="2467" customFormat="false" ht="14.25" hidden="false" customHeight="true" outlineLevel="0" collapsed="false">
      <c r="A2467" s="26" t="n">
        <v>10533</v>
      </c>
      <c r="B2467" s="1" t="n">
        <v>1928</v>
      </c>
      <c r="C2467" s="1" t="n">
        <v>11</v>
      </c>
      <c r="D2467" s="1" t="s">
        <v>52</v>
      </c>
      <c r="E2467" s="1" t="s">
        <v>2</v>
      </c>
      <c r="F2467" s="1" t="n">
        <v>0.58</v>
      </c>
      <c r="G2467" s="1" t="n">
        <f aca="false">IF(E2467=E2466,F2467/F2466-1,"")</f>
        <v>0</v>
      </c>
    </row>
    <row r="2468" customFormat="false" ht="14.25" hidden="false" customHeight="true" outlineLevel="0" collapsed="false">
      <c r="A2468" s="26" t="n">
        <v>10563</v>
      </c>
      <c r="B2468" s="1" t="n">
        <v>1928</v>
      </c>
      <c r="C2468" s="1" t="n">
        <v>12</v>
      </c>
      <c r="D2468" s="1" t="s">
        <v>53</v>
      </c>
      <c r="E2468" s="1" t="s">
        <v>2</v>
      </c>
      <c r="F2468" s="1" t="n">
        <v>0.58</v>
      </c>
      <c r="G2468" s="1" t="n">
        <f aca="false">IF(E2468=E2467,F2468/F2467-1,"")</f>
        <v>0</v>
      </c>
    </row>
    <row r="2469" customFormat="false" ht="14.25" hidden="false" customHeight="true" outlineLevel="0" collapsed="false">
      <c r="A2469" s="26" t="n">
        <v>10594</v>
      </c>
      <c r="B2469" s="1" t="n">
        <v>1929</v>
      </c>
      <c r="C2469" s="1" t="n">
        <v>1</v>
      </c>
      <c r="D2469" s="1" t="s">
        <v>42</v>
      </c>
      <c r="E2469" s="1" t="s">
        <v>2</v>
      </c>
      <c r="F2469" s="1" t="n">
        <v>0.53</v>
      </c>
      <c r="G2469" s="1" t="n">
        <f aca="false">IF(E2469=E2468,F2469/F2468-1,"")</f>
        <v>-0.086206896551724</v>
      </c>
    </row>
    <row r="2470" customFormat="false" ht="14.25" hidden="false" customHeight="true" outlineLevel="0" collapsed="false">
      <c r="A2470" s="26" t="n">
        <v>10625</v>
      </c>
      <c r="B2470" s="1" t="n">
        <v>1929</v>
      </c>
      <c r="C2470" s="1" t="n">
        <v>2</v>
      </c>
      <c r="D2470" s="1" t="s">
        <v>43</v>
      </c>
      <c r="E2470" s="1" t="s">
        <v>2</v>
      </c>
      <c r="F2470" s="1" t="n">
        <v>0.53</v>
      </c>
      <c r="G2470" s="1" t="n">
        <f aca="false">IF(E2470=E2469,F2470/F2469-1,"")</f>
        <v>0</v>
      </c>
    </row>
    <row r="2471" customFormat="false" ht="14.25" hidden="false" customHeight="true" outlineLevel="0" collapsed="false">
      <c r="A2471" s="26" t="n">
        <v>10653</v>
      </c>
      <c r="B2471" s="1" t="n">
        <v>1929</v>
      </c>
      <c r="C2471" s="1" t="n">
        <v>3</v>
      </c>
      <c r="D2471" s="1" t="s">
        <v>44</v>
      </c>
      <c r="E2471" s="1" t="s">
        <v>2</v>
      </c>
      <c r="F2471" s="1" t="n">
        <v>0.53</v>
      </c>
      <c r="G2471" s="1" t="n">
        <f aca="false">IF(E2471=E2470,F2471/F2470-1,"")</f>
        <v>0</v>
      </c>
    </row>
    <row r="2472" customFormat="false" ht="14.25" hidden="false" customHeight="true" outlineLevel="0" collapsed="false">
      <c r="A2472" s="26" t="n">
        <v>10684</v>
      </c>
      <c r="B2472" s="1" t="n">
        <v>1929</v>
      </c>
      <c r="C2472" s="1" t="n">
        <v>4</v>
      </c>
      <c r="D2472" s="1" t="s">
        <v>45</v>
      </c>
      <c r="E2472" s="1" t="s">
        <v>2</v>
      </c>
      <c r="F2472" s="1" t="n">
        <v>0.53</v>
      </c>
      <c r="G2472" s="1" t="n">
        <f aca="false">IF(E2472=E2471,F2472/F2471-1,"")</f>
        <v>0</v>
      </c>
    </row>
    <row r="2473" customFormat="false" ht="14.25" hidden="false" customHeight="true" outlineLevel="0" collapsed="false">
      <c r="A2473" s="26" t="n">
        <v>10714</v>
      </c>
      <c r="B2473" s="1" t="n">
        <v>1929</v>
      </c>
      <c r="C2473" s="1" t="n">
        <v>5</v>
      </c>
      <c r="D2473" s="1" t="s">
        <v>46</v>
      </c>
      <c r="E2473" s="1" t="s">
        <v>2</v>
      </c>
      <c r="F2473" s="1" t="n">
        <v>0.53</v>
      </c>
      <c r="G2473" s="1" t="n">
        <f aca="false">IF(E2473=E2472,F2473/F2472-1,"")</f>
        <v>0</v>
      </c>
    </row>
    <row r="2474" customFormat="false" ht="14.25" hidden="false" customHeight="true" outlineLevel="0" collapsed="false">
      <c r="A2474" s="26" t="n">
        <v>10745</v>
      </c>
      <c r="B2474" s="1" t="n">
        <v>1929</v>
      </c>
      <c r="C2474" s="1" t="n">
        <v>6</v>
      </c>
      <c r="D2474" s="1" t="s">
        <v>47</v>
      </c>
      <c r="E2474" s="1" t="s">
        <v>2</v>
      </c>
      <c r="F2474" s="1" t="n">
        <v>0.53</v>
      </c>
      <c r="G2474" s="1" t="n">
        <f aca="false">IF(E2474=E2473,F2474/F2473-1,"")</f>
        <v>0</v>
      </c>
    </row>
    <row r="2475" customFormat="false" ht="14.25" hidden="false" customHeight="true" outlineLevel="0" collapsed="false">
      <c r="A2475" s="26" t="n">
        <v>10775</v>
      </c>
      <c r="B2475" s="1" t="n">
        <v>1929</v>
      </c>
      <c r="C2475" s="1" t="n">
        <v>7</v>
      </c>
      <c r="D2475" s="1" t="s">
        <v>48</v>
      </c>
      <c r="E2475" s="1" t="s">
        <v>2</v>
      </c>
      <c r="F2475" s="1" t="n">
        <v>0.53</v>
      </c>
      <c r="G2475" s="1" t="n">
        <f aca="false">IF(E2475=E2474,F2475/F2474-1,"")</f>
        <v>0</v>
      </c>
    </row>
    <row r="2476" customFormat="false" ht="14.25" hidden="false" customHeight="true" outlineLevel="0" collapsed="false">
      <c r="A2476" s="26" t="n">
        <v>10806</v>
      </c>
      <c r="B2476" s="1" t="n">
        <v>1929</v>
      </c>
      <c r="C2476" s="1" t="n">
        <v>8</v>
      </c>
      <c r="D2476" s="1" t="s">
        <v>49</v>
      </c>
      <c r="E2476" s="1" t="s">
        <v>2</v>
      </c>
      <c r="F2476" s="1" t="n">
        <v>0.53</v>
      </c>
      <c r="G2476" s="1" t="n">
        <f aca="false">IF(E2476=E2475,F2476/F2475-1,"")</f>
        <v>0</v>
      </c>
    </row>
    <row r="2477" customFormat="false" ht="14.25" hidden="false" customHeight="true" outlineLevel="0" collapsed="false">
      <c r="A2477" s="26" t="n">
        <v>10837</v>
      </c>
      <c r="B2477" s="1" t="n">
        <v>1929</v>
      </c>
      <c r="C2477" s="1" t="n">
        <v>9</v>
      </c>
      <c r="D2477" s="1" t="s">
        <v>50</v>
      </c>
      <c r="E2477" s="1" t="s">
        <v>2</v>
      </c>
      <c r="F2477" s="1" t="n">
        <v>0.53</v>
      </c>
      <c r="G2477" s="1" t="n">
        <f aca="false">IF(E2477=E2476,F2477/F2476-1,"")</f>
        <v>0</v>
      </c>
    </row>
    <row r="2478" customFormat="false" ht="14.25" hidden="false" customHeight="true" outlineLevel="0" collapsed="false">
      <c r="A2478" s="26" t="n">
        <v>10867</v>
      </c>
      <c r="B2478" s="1" t="n">
        <v>1929</v>
      </c>
      <c r="C2478" s="1" t="n">
        <v>10</v>
      </c>
      <c r="D2478" s="1" t="s">
        <v>51</v>
      </c>
      <c r="E2478" s="1" t="s">
        <v>2</v>
      </c>
      <c r="F2478" s="1" t="n">
        <v>0.53</v>
      </c>
      <c r="G2478" s="1" t="n">
        <f aca="false">IF(E2478=E2477,F2478/F2477-1,"")</f>
        <v>0</v>
      </c>
    </row>
    <row r="2479" customFormat="false" ht="14.25" hidden="false" customHeight="true" outlineLevel="0" collapsed="false">
      <c r="A2479" s="26" t="n">
        <v>10898</v>
      </c>
      <c r="B2479" s="1" t="n">
        <v>1929</v>
      </c>
      <c r="C2479" s="1" t="n">
        <v>11</v>
      </c>
      <c r="D2479" s="1" t="s">
        <v>52</v>
      </c>
      <c r="E2479" s="1" t="s">
        <v>2</v>
      </c>
      <c r="F2479" s="1" t="n">
        <v>0.53</v>
      </c>
      <c r="G2479" s="1" t="n">
        <f aca="false">IF(E2479=E2478,F2479/F2478-1,"")</f>
        <v>0</v>
      </c>
    </row>
    <row r="2480" customFormat="false" ht="14.25" hidden="false" customHeight="true" outlineLevel="0" collapsed="false">
      <c r="A2480" s="26" t="n">
        <v>10928</v>
      </c>
      <c r="B2480" s="1" t="n">
        <v>1929</v>
      </c>
      <c r="C2480" s="1" t="n">
        <v>12</v>
      </c>
      <c r="D2480" s="1" t="s">
        <v>53</v>
      </c>
      <c r="E2480" s="1" t="s">
        <v>2</v>
      </c>
      <c r="F2480" s="1" t="n">
        <v>0.53</v>
      </c>
      <c r="G2480" s="1" t="n">
        <f aca="false">IF(E2480=E2479,F2480/F2479-1,"")</f>
        <v>0</v>
      </c>
    </row>
    <row r="2481" customFormat="false" ht="14.25" hidden="false" customHeight="true" outlineLevel="0" collapsed="false">
      <c r="A2481" s="26" t="n">
        <v>10959</v>
      </c>
      <c r="B2481" s="1" t="n">
        <v>1930</v>
      </c>
      <c r="C2481" s="1" t="n">
        <v>1</v>
      </c>
      <c r="D2481" s="1" t="s">
        <v>42</v>
      </c>
      <c r="E2481" s="1" t="s">
        <v>2</v>
      </c>
      <c r="F2481" s="1" t="n">
        <v>0.38</v>
      </c>
      <c r="G2481" s="1" t="n">
        <f aca="false">IF(E2481=E2480,F2481/F2480-1,"")</f>
        <v>-0.283018867924528</v>
      </c>
    </row>
    <row r="2482" customFormat="false" ht="14.25" hidden="false" customHeight="true" outlineLevel="0" collapsed="false">
      <c r="A2482" s="26" t="n">
        <v>10990</v>
      </c>
      <c r="B2482" s="1" t="n">
        <v>1930</v>
      </c>
      <c r="C2482" s="1" t="n">
        <v>2</v>
      </c>
      <c r="D2482" s="1" t="s">
        <v>43</v>
      </c>
      <c r="E2482" s="1" t="s">
        <v>2</v>
      </c>
      <c r="F2482" s="1" t="n">
        <v>0.38</v>
      </c>
      <c r="G2482" s="1" t="n">
        <f aca="false">IF(E2482=E2481,F2482/F2481-1,"")</f>
        <v>0</v>
      </c>
    </row>
    <row r="2483" customFormat="false" ht="14.25" hidden="false" customHeight="true" outlineLevel="0" collapsed="false">
      <c r="A2483" s="26" t="n">
        <v>11018</v>
      </c>
      <c r="B2483" s="1" t="n">
        <v>1930</v>
      </c>
      <c r="C2483" s="1" t="n">
        <v>3</v>
      </c>
      <c r="D2483" s="1" t="s">
        <v>44</v>
      </c>
      <c r="E2483" s="1" t="s">
        <v>2</v>
      </c>
      <c r="F2483" s="1" t="n">
        <v>0.38</v>
      </c>
      <c r="G2483" s="1" t="n">
        <f aca="false">IF(E2483=E2482,F2483/F2482-1,"")</f>
        <v>0</v>
      </c>
    </row>
    <row r="2484" customFormat="false" ht="14.25" hidden="false" customHeight="true" outlineLevel="0" collapsed="false">
      <c r="A2484" s="26" t="n">
        <v>11049</v>
      </c>
      <c r="B2484" s="1" t="n">
        <v>1930</v>
      </c>
      <c r="C2484" s="1" t="n">
        <v>4</v>
      </c>
      <c r="D2484" s="1" t="s">
        <v>45</v>
      </c>
      <c r="E2484" s="1" t="s">
        <v>2</v>
      </c>
      <c r="F2484" s="1" t="n">
        <v>0.38</v>
      </c>
      <c r="G2484" s="1" t="n">
        <f aca="false">IF(E2484=E2483,F2484/F2483-1,"")</f>
        <v>0</v>
      </c>
    </row>
    <row r="2485" customFormat="false" ht="14.25" hidden="false" customHeight="true" outlineLevel="0" collapsed="false">
      <c r="A2485" s="26" t="n">
        <v>11079</v>
      </c>
      <c r="B2485" s="1" t="n">
        <v>1930</v>
      </c>
      <c r="C2485" s="1" t="n">
        <v>5</v>
      </c>
      <c r="D2485" s="1" t="s">
        <v>46</v>
      </c>
      <c r="E2485" s="1" t="s">
        <v>2</v>
      </c>
      <c r="F2485" s="1" t="n">
        <v>0.38</v>
      </c>
      <c r="G2485" s="1" t="n">
        <f aca="false">IF(E2485=E2484,F2485/F2484-1,"")</f>
        <v>0</v>
      </c>
    </row>
    <row r="2486" customFormat="false" ht="14.25" hidden="false" customHeight="true" outlineLevel="0" collapsed="false">
      <c r="A2486" s="26" t="n">
        <v>11110</v>
      </c>
      <c r="B2486" s="1" t="n">
        <v>1930</v>
      </c>
      <c r="C2486" s="1" t="n">
        <v>6</v>
      </c>
      <c r="D2486" s="1" t="s">
        <v>47</v>
      </c>
      <c r="E2486" s="1" t="s">
        <v>2</v>
      </c>
      <c r="F2486" s="1" t="n">
        <v>0.38</v>
      </c>
      <c r="G2486" s="1" t="n">
        <f aca="false">IF(E2486=E2485,F2486/F2485-1,"")</f>
        <v>0</v>
      </c>
    </row>
    <row r="2487" customFormat="false" ht="14.25" hidden="false" customHeight="true" outlineLevel="0" collapsed="false">
      <c r="A2487" s="26" t="n">
        <v>11140</v>
      </c>
      <c r="B2487" s="1" t="n">
        <v>1930</v>
      </c>
      <c r="C2487" s="1" t="n">
        <v>7</v>
      </c>
      <c r="D2487" s="1" t="s">
        <v>48</v>
      </c>
      <c r="E2487" s="1" t="s">
        <v>2</v>
      </c>
      <c r="F2487" s="1" t="n">
        <v>0.38</v>
      </c>
      <c r="G2487" s="1" t="n">
        <f aca="false">IF(E2487=E2486,F2487/F2486-1,"")</f>
        <v>0</v>
      </c>
    </row>
    <row r="2488" customFormat="false" ht="14.25" hidden="false" customHeight="true" outlineLevel="0" collapsed="false">
      <c r="A2488" s="26" t="n">
        <v>11171</v>
      </c>
      <c r="B2488" s="1" t="n">
        <v>1930</v>
      </c>
      <c r="C2488" s="1" t="n">
        <v>8</v>
      </c>
      <c r="D2488" s="1" t="s">
        <v>49</v>
      </c>
      <c r="E2488" s="1" t="s">
        <v>2</v>
      </c>
      <c r="F2488" s="1" t="n">
        <v>0.38</v>
      </c>
      <c r="G2488" s="1" t="n">
        <f aca="false">IF(E2488=E2487,F2488/F2487-1,"")</f>
        <v>0</v>
      </c>
    </row>
    <row r="2489" customFormat="false" ht="14.25" hidden="false" customHeight="true" outlineLevel="0" collapsed="false">
      <c r="A2489" s="26" t="n">
        <v>11202</v>
      </c>
      <c r="B2489" s="1" t="n">
        <v>1930</v>
      </c>
      <c r="C2489" s="1" t="n">
        <v>9</v>
      </c>
      <c r="D2489" s="1" t="s">
        <v>50</v>
      </c>
      <c r="E2489" s="1" t="s">
        <v>2</v>
      </c>
      <c r="F2489" s="1" t="n">
        <v>0.38</v>
      </c>
      <c r="G2489" s="1" t="n">
        <f aca="false">IF(E2489=E2488,F2489/F2488-1,"")</f>
        <v>0</v>
      </c>
    </row>
    <row r="2490" customFormat="false" ht="14.25" hidden="false" customHeight="true" outlineLevel="0" collapsed="false">
      <c r="A2490" s="26" t="n">
        <v>11232</v>
      </c>
      <c r="B2490" s="1" t="n">
        <v>1930</v>
      </c>
      <c r="C2490" s="1" t="n">
        <v>10</v>
      </c>
      <c r="D2490" s="1" t="s">
        <v>51</v>
      </c>
      <c r="E2490" s="1" t="s">
        <v>2</v>
      </c>
      <c r="F2490" s="1" t="n">
        <v>0.38</v>
      </c>
      <c r="G2490" s="1" t="n">
        <f aca="false">IF(E2490=E2489,F2490/F2489-1,"")</f>
        <v>0</v>
      </c>
    </row>
    <row r="2491" customFormat="false" ht="14.25" hidden="false" customHeight="true" outlineLevel="0" collapsed="false">
      <c r="A2491" s="26" t="n">
        <v>11263</v>
      </c>
      <c r="B2491" s="1" t="n">
        <v>1930</v>
      </c>
      <c r="C2491" s="1" t="n">
        <v>11</v>
      </c>
      <c r="D2491" s="1" t="s">
        <v>52</v>
      </c>
      <c r="E2491" s="1" t="s">
        <v>2</v>
      </c>
      <c r="F2491" s="1" t="n">
        <v>0.38</v>
      </c>
      <c r="G2491" s="1" t="n">
        <f aca="false">IF(E2491=E2490,F2491/F2490-1,"")</f>
        <v>0</v>
      </c>
    </row>
    <row r="2492" customFormat="false" ht="14.25" hidden="false" customHeight="true" outlineLevel="0" collapsed="false">
      <c r="A2492" s="26" t="n">
        <v>11293</v>
      </c>
      <c r="B2492" s="1" t="n">
        <v>1930</v>
      </c>
      <c r="C2492" s="1" t="n">
        <v>12</v>
      </c>
      <c r="D2492" s="1" t="s">
        <v>53</v>
      </c>
      <c r="E2492" s="1" t="s">
        <v>2</v>
      </c>
      <c r="F2492" s="1" t="n">
        <v>0.38</v>
      </c>
      <c r="G2492" s="1" t="n">
        <f aca="false">IF(E2492=E2491,F2492/F2491-1,"")</f>
        <v>0</v>
      </c>
    </row>
    <row r="2493" customFormat="false" ht="14.25" hidden="false" customHeight="true" outlineLevel="0" collapsed="false">
      <c r="A2493" s="26" t="n">
        <v>11324</v>
      </c>
      <c r="B2493" s="1" t="n">
        <v>1931</v>
      </c>
      <c r="C2493" s="1" t="n">
        <v>1</v>
      </c>
      <c r="D2493" s="1" t="s">
        <v>42</v>
      </c>
      <c r="E2493" s="1" t="s">
        <v>2</v>
      </c>
      <c r="F2493" s="1" t="n">
        <v>0.29</v>
      </c>
      <c r="G2493" s="1" t="n">
        <f aca="false">IF(E2493=E2492,F2493/F2492-1,"")</f>
        <v>-0.236842105263158</v>
      </c>
    </row>
    <row r="2494" customFormat="false" ht="14.25" hidden="false" customHeight="true" outlineLevel="0" collapsed="false">
      <c r="A2494" s="26" t="n">
        <v>11355</v>
      </c>
      <c r="B2494" s="1" t="n">
        <v>1931</v>
      </c>
      <c r="C2494" s="1" t="n">
        <v>2</v>
      </c>
      <c r="D2494" s="1" t="s">
        <v>43</v>
      </c>
      <c r="E2494" s="1" t="s">
        <v>2</v>
      </c>
      <c r="F2494" s="1" t="n">
        <v>0.29</v>
      </c>
      <c r="G2494" s="1" t="n">
        <f aca="false">IF(E2494=E2493,F2494/F2493-1,"")</f>
        <v>0</v>
      </c>
    </row>
    <row r="2495" customFormat="false" ht="14.25" hidden="false" customHeight="true" outlineLevel="0" collapsed="false">
      <c r="A2495" s="26" t="n">
        <v>11383</v>
      </c>
      <c r="B2495" s="1" t="n">
        <v>1931</v>
      </c>
      <c r="C2495" s="1" t="n">
        <v>3</v>
      </c>
      <c r="D2495" s="1" t="s">
        <v>44</v>
      </c>
      <c r="E2495" s="1" t="s">
        <v>2</v>
      </c>
      <c r="F2495" s="1" t="n">
        <v>0.29</v>
      </c>
      <c r="G2495" s="1" t="n">
        <f aca="false">IF(E2495=E2494,F2495/F2494-1,"")</f>
        <v>0</v>
      </c>
    </row>
    <row r="2496" customFormat="false" ht="14.25" hidden="false" customHeight="true" outlineLevel="0" collapsed="false">
      <c r="A2496" s="26" t="n">
        <v>11414</v>
      </c>
      <c r="B2496" s="1" t="n">
        <v>1931</v>
      </c>
      <c r="C2496" s="1" t="n">
        <v>4</v>
      </c>
      <c r="D2496" s="1" t="s">
        <v>45</v>
      </c>
      <c r="E2496" s="1" t="s">
        <v>2</v>
      </c>
      <c r="F2496" s="1" t="n">
        <v>0.29</v>
      </c>
      <c r="G2496" s="1" t="n">
        <f aca="false">IF(E2496=E2495,F2496/F2495-1,"")</f>
        <v>0</v>
      </c>
    </row>
    <row r="2497" customFormat="false" ht="14.25" hidden="false" customHeight="true" outlineLevel="0" collapsed="false">
      <c r="A2497" s="26" t="n">
        <v>11444</v>
      </c>
      <c r="B2497" s="1" t="n">
        <v>1931</v>
      </c>
      <c r="C2497" s="1" t="n">
        <v>5</v>
      </c>
      <c r="D2497" s="1" t="s">
        <v>46</v>
      </c>
      <c r="E2497" s="1" t="s">
        <v>2</v>
      </c>
      <c r="F2497" s="1" t="n">
        <v>0.29</v>
      </c>
      <c r="G2497" s="1" t="n">
        <f aca="false">IF(E2497=E2496,F2497/F2496-1,"")</f>
        <v>0</v>
      </c>
    </row>
    <row r="2498" customFormat="false" ht="14.25" hidden="false" customHeight="true" outlineLevel="0" collapsed="false">
      <c r="A2498" s="26" t="n">
        <v>11475</v>
      </c>
      <c r="B2498" s="1" t="n">
        <v>1931</v>
      </c>
      <c r="C2498" s="1" t="n">
        <v>6</v>
      </c>
      <c r="D2498" s="1" t="s">
        <v>47</v>
      </c>
      <c r="E2498" s="1" t="s">
        <v>2</v>
      </c>
      <c r="F2498" s="1" t="n">
        <v>0.29</v>
      </c>
      <c r="G2498" s="1" t="n">
        <f aca="false">IF(E2498=E2497,F2498/F2497-1,"")</f>
        <v>0</v>
      </c>
    </row>
    <row r="2499" customFormat="false" ht="14.25" hidden="false" customHeight="true" outlineLevel="0" collapsed="false">
      <c r="A2499" s="26" t="n">
        <v>11505</v>
      </c>
      <c r="B2499" s="1" t="n">
        <v>1931</v>
      </c>
      <c r="C2499" s="1" t="n">
        <v>7</v>
      </c>
      <c r="D2499" s="1" t="s">
        <v>48</v>
      </c>
      <c r="E2499" s="1" t="s">
        <v>2</v>
      </c>
      <c r="F2499" s="1" t="n">
        <v>0.29</v>
      </c>
      <c r="G2499" s="1" t="n">
        <f aca="false">IF(E2499=E2498,F2499/F2498-1,"")</f>
        <v>0</v>
      </c>
    </row>
    <row r="2500" customFormat="false" ht="14.25" hidden="false" customHeight="true" outlineLevel="0" collapsed="false">
      <c r="A2500" s="26" t="n">
        <v>11536</v>
      </c>
      <c r="B2500" s="1" t="n">
        <v>1931</v>
      </c>
      <c r="C2500" s="1" t="n">
        <v>8</v>
      </c>
      <c r="D2500" s="1" t="s">
        <v>49</v>
      </c>
      <c r="E2500" s="1" t="s">
        <v>2</v>
      </c>
      <c r="F2500" s="1" t="n">
        <v>0.29</v>
      </c>
      <c r="G2500" s="1" t="n">
        <f aca="false">IF(E2500=E2499,F2500/F2499-1,"")</f>
        <v>0</v>
      </c>
    </row>
    <row r="2501" customFormat="false" ht="14.25" hidden="false" customHeight="true" outlineLevel="0" collapsed="false">
      <c r="A2501" s="26" t="n">
        <v>11567</v>
      </c>
      <c r="B2501" s="1" t="n">
        <v>1931</v>
      </c>
      <c r="C2501" s="1" t="n">
        <v>9</v>
      </c>
      <c r="D2501" s="1" t="s">
        <v>50</v>
      </c>
      <c r="E2501" s="1" t="s">
        <v>2</v>
      </c>
      <c r="F2501" s="1" t="n">
        <v>0.29</v>
      </c>
      <c r="G2501" s="1" t="n">
        <f aca="false">IF(E2501=E2500,F2501/F2500-1,"")</f>
        <v>0</v>
      </c>
    </row>
    <row r="2502" customFormat="false" ht="14.25" hidden="false" customHeight="true" outlineLevel="0" collapsed="false">
      <c r="A2502" s="26" t="n">
        <v>11597</v>
      </c>
      <c r="B2502" s="1" t="n">
        <v>1931</v>
      </c>
      <c r="C2502" s="1" t="n">
        <v>10</v>
      </c>
      <c r="D2502" s="1" t="s">
        <v>51</v>
      </c>
      <c r="E2502" s="1" t="s">
        <v>2</v>
      </c>
      <c r="F2502" s="1" t="n">
        <v>0.29</v>
      </c>
      <c r="G2502" s="1" t="n">
        <f aca="false">IF(E2502=E2501,F2502/F2501-1,"")</f>
        <v>0</v>
      </c>
    </row>
    <row r="2503" customFormat="false" ht="14.25" hidden="false" customHeight="true" outlineLevel="0" collapsed="false">
      <c r="A2503" s="26" t="n">
        <v>11628</v>
      </c>
      <c r="B2503" s="1" t="n">
        <v>1931</v>
      </c>
      <c r="C2503" s="1" t="n">
        <v>11</v>
      </c>
      <c r="D2503" s="1" t="s">
        <v>52</v>
      </c>
      <c r="E2503" s="1" t="s">
        <v>2</v>
      </c>
      <c r="F2503" s="1" t="n">
        <v>0.29</v>
      </c>
      <c r="G2503" s="1" t="n">
        <f aca="false">IF(E2503=E2502,F2503/F2502-1,"")</f>
        <v>0</v>
      </c>
    </row>
    <row r="2504" customFormat="false" ht="14.25" hidden="false" customHeight="true" outlineLevel="0" collapsed="false">
      <c r="A2504" s="26" t="n">
        <v>11658</v>
      </c>
      <c r="B2504" s="1" t="n">
        <v>1931</v>
      </c>
      <c r="C2504" s="1" t="n">
        <v>12</v>
      </c>
      <c r="D2504" s="1" t="s">
        <v>53</v>
      </c>
      <c r="E2504" s="1" t="s">
        <v>2</v>
      </c>
      <c r="F2504" s="1" t="n">
        <v>0.29</v>
      </c>
      <c r="G2504" s="1" t="n">
        <f aca="false">IF(E2504=E2503,F2504/F2503-1,"")</f>
        <v>0</v>
      </c>
    </row>
    <row r="2505" customFormat="false" ht="14.25" hidden="false" customHeight="true" outlineLevel="0" collapsed="false">
      <c r="A2505" s="26" t="n">
        <v>11689</v>
      </c>
      <c r="B2505" s="1" t="n">
        <v>1932</v>
      </c>
      <c r="C2505" s="1" t="n">
        <v>1</v>
      </c>
      <c r="D2505" s="1" t="s">
        <v>42</v>
      </c>
      <c r="E2505" s="1" t="s">
        <v>2</v>
      </c>
      <c r="F2505" s="1" t="n">
        <v>0.28</v>
      </c>
      <c r="G2505" s="1" t="n">
        <f aca="false">IF(E2505=E2504,F2505/F2504-1,"")</f>
        <v>-0.0344827586206895</v>
      </c>
    </row>
    <row r="2506" customFormat="false" ht="14.25" hidden="false" customHeight="true" outlineLevel="0" collapsed="false">
      <c r="A2506" s="26" t="n">
        <v>11720</v>
      </c>
      <c r="B2506" s="1" t="n">
        <v>1932</v>
      </c>
      <c r="C2506" s="1" t="n">
        <v>2</v>
      </c>
      <c r="D2506" s="1" t="s">
        <v>43</v>
      </c>
      <c r="E2506" s="1" t="s">
        <v>2</v>
      </c>
      <c r="F2506" s="1" t="n">
        <v>0.28</v>
      </c>
      <c r="G2506" s="1" t="n">
        <f aca="false">IF(E2506=E2505,F2506/F2505-1,"")</f>
        <v>0</v>
      </c>
    </row>
    <row r="2507" customFormat="false" ht="14.25" hidden="false" customHeight="true" outlineLevel="0" collapsed="false">
      <c r="A2507" s="26" t="n">
        <v>11749</v>
      </c>
      <c r="B2507" s="1" t="n">
        <v>1932</v>
      </c>
      <c r="C2507" s="1" t="n">
        <v>3</v>
      </c>
      <c r="D2507" s="1" t="s">
        <v>44</v>
      </c>
      <c r="E2507" s="1" t="s">
        <v>2</v>
      </c>
      <c r="F2507" s="1" t="n">
        <v>0.28</v>
      </c>
      <c r="G2507" s="1" t="n">
        <f aca="false">IF(E2507=E2506,F2507/F2506-1,"")</f>
        <v>0</v>
      </c>
    </row>
    <row r="2508" customFormat="false" ht="14.25" hidden="false" customHeight="true" outlineLevel="0" collapsed="false">
      <c r="A2508" s="26" t="n">
        <v>11780</v>
      </c>
      <c r="B2508" s="1" t="n">
        <v>1932</v>
      </c>
      <c r="C2508" s="1" t="n">
        <v>4</v>
      </c>
      <c r="D2508" s="1" t="s">
        <v>45</v>
      </c>
      <c r="E2508" s="1" t="s">
        <v>2</v>
      </c>
      <c r="F2508" s="1" t="n">
        <v>0.28</v>
      </c>
      <c r="G2508" s="1" t="n">
        <f aca="false">IF(E2508=E2507,F2508/F2507-1,"")</f>
        <v>0</v>
      </c>
    </row>
    <row r="2509" customFormat="false" ht="14.25" hidden="false" customHeight="true" outlineLevel="0" collapsed="false">
      <c r="A2509" s="26" t="n">
        <v>11810</v>
      </c>
      <c r="B2509" s="1" t="n">
        <v>1932</v>
      </c>
      <c r="C2509" s="1" t="n">
        <v>5</v>
      </c>
      <c r="D2509" s="1" t="s">
        <v>46</v>
      </c>
      <c r="E2509" s="1" t="s">
        <v>2</v>
      </c>
      <c r="F2509" s="1" t="n">
        <v>0.28</v>
      </c>
      <c r="G2509" s="1" t="n">
        <f aca="false">IF(E2509=E2508,F2509/F2508-1,"")</f>
        <v>0</v>
      </c>
    </row>
    <row r="2510" customFormat="false" ht="14.25" hidden="false" customHeight="true" outlineLevel="0" collapsed="false">
      <c r="A2510" s="26" t="n">
        <v>11841</v>
      </c>
      <c r="B2510" s="1" t="n">
        <v>1932</v>
      </c>
      <c r="C2510" s="1" t="n">
        <v>6</v>
      </c>
      <c r="D2510" s="1" t="s">
        <v>47</v>
      </c>
      <c r="E2510" s="1" t="s">
        <v>2</v>
      </c>
      <c r="F2510" s="1" t="n">
        <v>0.28</v>
      </c>
      <c r="G2510" s="1" t="n">
        <f aca="false">IF(E2510=E2509,F2510/F2509-1,"")</f>
        <v>0</v>
      </c>
    </row>
    <row r="2511" customFormat="false" ht="14.25" hidden="false" customHeight="true" outlineLevel="0" collapsed="false">
      <c r="A2511" s="26" t="n">
        <v>11871</v>
      </c>
      <c r="B2511" s="1" t="n">
        <v>1932</v>
      </c>
      <c r="C2511" s="1" t="n">
        <v>7</v>
      </c>
      <c r="D2511" s="1" t="s">
        <v>48</v>
      </c>
      <c r="E2511" s="1" t="s">
        <v>2</v>
      </c>
      <c r="F2511" s="1" t="n">
        <v>0.28</v>
      </c>
      <c r="G2511" s="1" t="n">
        <f aca="false">IF(E2511=E2510,F2511/F2510-1,"")</f>
        <v>0</v>
      </c>
    </row>
    <row r="2512" customFormat="false" ht="14.25" hidden="false" customHeight="true" outlineLevel="0" collapsed="false">
      <c r="A2512" s="26" t="n">
        <v>11902</v>
      </c>
      <c r="B2512" s="1" t="n">
        <v>1932</v>
      </c>
      <c r="C2512" s="1" t="n">
        <v>8</v>
      </c>
      <c r="D2512" s="1" t="s">
        <v>49</v>
      </c>
      <c r="E2512" s="1" t="s">
        <v>2</v>
      </c>
      <c r="F2512" s="1" t="n">
        <v>0.28</v>
      </c>
      <c r="G2512" s="1" t="n">
        <f aca="false">IF(E2512=E2511,F2512/F2511-1,"")</f>
        <v>0</v>
      </c>
    </row>
    <row r="2513" customFormat="false" ht="14.25" hidden="false" customHeight="true" outlineLevel="0" collapsed="false">
      <c r="A2513" s="26" t="n">
        <v>11933</v>
      </c>
      <c r="B2513" s="1" t="n">
        <v>1932</v>
      </c>
      <c r="C2513" s="1" t="n">
        <v>9</v>
      </c>
      <c r="D2513" s="1" t="s">
        <v>50</v>
      </c>
      <c r="E2513" s="1" t="s">
        <v>2</v>
      </c>
      <c r="F2513" s="1" t="n">
        <v>0.28</v>
      </c>
      <c r="G2513" s="1" t="n">
        <f aca="false">IF(E2513=E2512,F2513/F2512-1,"")</f>
        <v>0</v>
      </c>
    </row>
    <row r="2514" customFormat="false" ht="14.25" hidden="false" customHeight="true" outlineLevel="0" collapsed="false">
      <c r="A2514" s="26" t="n">
        <v>11963</v>
      </c>
      <c r="B2514" s="1" t="n">
        <v>1932</v>
      </c>
      <c r="C2514" s="1" t="n">
        <v>10</v>
      </c>
      <c r="D2514" s="1" t="s">
        <v>51</v>
      </c>
      <c r="E2514" s="1" t="s">
        <v>2</v>
      </c>
      <c r="F2514" s="1" t="n">
        <v>0.28</v>
      </c>
      <c r="G2514" s="1" t="n">
        <f aca="false">IF(E2514=E2513,F2514/F2513-1,"")</f>
        <v>0</v>
      </c>
    </row>
    <row r="2515" customFormat="false" ht="14.25" hidden="false" customHeight="true" outlineLevel="0" collapsed="false">
      <c r="A2515" s="26" t="n">
        <v>11994</v>
      </c>
      <c r="B2515" s="1" t="n">
        <v>1932</v>
      </c>
      <c r="C2515" s="1" t="n">
        <v>11</v>
      </c>
      <c r="D2515" s="1" t="s">
        <v>52</v>
      </c>
      <c r="E2515" s="1" t="s">
        <v>2</v>
      </c>
      <c r="F2515" s="1" t="n">
        <v>0.28</v>
      </c>
      <c r="G2515" s="1" t="n">
        <f aca="false">IF(E2515=E2514,F2515/F2514-1,"")</f>
        <v>0</v>
      </c>
    </row>
    <row r="2516" customFormat="false" ht="14.25" hidden="false" customHeight="true" outlineLevel="0" collapsed="false">
      <c r="A2516" s="26" t="n">
        <v>12024</v>
      </c>
      <c r="B2516" s="1" t="n">
        <v>1932</v>
      </c>
      <c r="C2516" s="1" t="n">
        <v>12</v>
      </c>
      <c r="D2516" s="1" t="s">
        <v>53</v>
      </c>
      <c r="E2516" s="1" t="s">
        <v>2</v>
      </c>
      <c r="F2516" s="1" t="n">
        <v>0.28</v>
      </c>
      <c r="G2516" s="1" t="n">
        <f aca="false">IF(E2516=E2515,F2516/F2515-1,"")</f>
        <v>0</v>
      </c>
    </row>
    <row r="2517" customFormat="false" ht="14.25" hidden="false" customHeight="true" outlineLevel="0" collapsed="false">
      <c r="A2517" s="26" t="n">
        <v>12055</v>
      </c>
      <c r="B2517" s="1" t="n">
        <v>1933</v>
      </c>
      <c r="C2517" s="1" t="n">
        <v>1</v>
      </c>
      <c r="D2517" s="1" t="s">
        <v>42</v>
      </c>
      <c r="E2517" s="1" t="s">
        <v>2</v>
      </c>
      <c r="F2517" s="1" t="n">
        <v>0.35</v>
      </c>
      <c r="G2517" s="1" t="n">
        <f aca="false">IF(E2517=E2516,F2517/F2516-1,"")</f>
        <v>0.25</v>
      </c>
    </row>
    <row r="2518" customFormat="false" ht="14.25" hidden="false" customHeight="true" outlineLevel="0" collapsed="false">
      <c r="A2518" s="26" t="n">
        <v>12086</v>
      </c>
      <c r="B2518" s="1" t="n">
        <v>1933</v>
      </c>
      <c r="C2518" s="1" t="n">
        <v>2</v>
      </c>
      <c r="D2518" s="1" t="s">
        <v>43</v>
      </c>
      <c r="E2518" s="1" t="s">
        <v>2</v>
      </c>
      <c r="F2518" s="1" t="n">
        <v>0.35</v>
      </c>
      <c r="G2518" s="1" t="n">
        <f aca="false">IF(E2518=E2517,F2518/F2517-1,"")</f>
        <v>0</v>
      </c>
    </row>
    <row r="2519" customFormat="false" ht="14.25" hidden="false" customHeight="true" outlineLevel="0" collapsed="false">
      <c r="A2519" s="26" t="n">
        <v>12114</v>
      </c>
      <c r="B2519" s="1" t="n">
        <v>1933</v>
      </c>
      <c r="C2519" s="1" t="n">
        <v>3</v>
      </c>
      <c r="D2519" s="1" t="s">
        <v>44</v>
      </c>
      <c r="E2519" s="1" t="s">
        <v>2</v>
      </c>
      <c r="F2519" s="1" t="n">
        <v>0.35</v>
      </c>
      <c r="G2519" s="1" t="n">
        <f aca="false">IF(E2519=E2518,F2519/F2518-1,"")</f>
        <v>0</v>
      </c>
    </row>
    <row r="2520" customFormat="false" ht="14.25" hidden="false" customHeight="true" outlineLevel="0" collapsed="false">
      <c r="A2520" s="26" t="n">
        <v>12145</v>
      </c>
      <c r="B2520" s="1" t="n">
        <v>1933</v>
      </c>
      <c r="C2520" s="1" t="n">
        <v>4</v>
      </c>
      <c r="D2520" s="1" t="s">
        <v>45</v>
      </c>
      <c r="E2520" s="1" t="s">
        <v>2</v>
      </c>
      <c r="F2520" s="1" t="n">
        <v>0.35</v>
      </c>
      <c r="G2520" s="1" t="n">
        <f aca="false">IF(E2520=E2519,F2520/F2519-1,"")</f>
        <v>0</v>
      </c>
    </row>
    <row r="2521" customFormat="false" ht="14.25" hidden="false" customHeight="true" outlineLevel="0" collapsed="false">
      <c r="A2521" s="26" t="n">
        <v>12175</v>
      </c>
      <c r="B2521" s="1" t="n">
        <v>1933</v>
      </c>
      <c r="C2521" s="1" t="n">
        <v>5</v>
      </c>
      <c r="D2521" s="1" t="s">
        <v>46</v>
      </c>
      <c r="E2521" s="1" t="s">
        <v>2</v>
      </c>
      <c r="F2521" s="1" t="n">
        <v>0.35</v>
      </c>
      <c r="G2521" s="1" t="n">
        <f aca="false">IF(E2521=E2520,F2521/F2520-1,"")</f>
        <v>0</v>
      </c>
    </row>
    <row r="2522" customFormat="false" ht="14.25" hidden="false" customHeight="true" outlineLevel="0" collapsed="false">
      <c r="A2522" s="26" t="n">
        <v>12206</v>
      </c>
      <c r="B2522" s="1" t="n">
        <v>1933</v>
      </c>
      <c r="C2522" s="1" t="n">
        <v>6</v>
      </c>
      <c r="D2522" s="1" t="s">
        <v>47</v>
      </c>
      <c r="E2522" s="1" t="s">
        <v>2</v>
      </c>
      <c r="F2522" s="1" t="n">
        <v>0.35</v>
      </c>
      <c r="G2522" s="1" t="n">
        <f aca="false">IF(E2522=E2521,F2522/F2521-1,"")</f>
        <v>0</v>
      </c>
    </row>
    <row r="2523" customFormat="false" ht="14.25" hidden="false" customHeight="true" outlineLevel="0" collapsed="false">
      <c r="A2523" s="26" t="n">
        <v>12236</v>
      </c>
      <c r="B2523" s="1" t="n">
        <v>1933</v>
      </c>
      <c r="C2523" s="1" t="n">
        <v>7</v>
      </c>
      <c r="D2523" s="1" t="s">
        <v>48</v>
      </c>
      <c r="E2523" s="1" t="s">
        <v>2</v>
      </c>
      <c r="F2523" s="1" t="n">
        <v>0.35</v>
      </c>
      <c r="G2523" s="1" t="n">
        <f aca="false">IF(E2523=E2522,F2523/F2522-1,"")</f>
        <v>0</v>
      </c>
    </row>
    <row r="2524" customFormat="false" ht="14.25" hidden="false" customHeight="true" outlineLevel="0" collapsed="false">
      <c r="A2524" s="26" t="n">
        <v>12267</v>
      </c>
      <c r="B2524" s="1" t="n">
        <v>1933</v>
      </c>
      <c r="C2524" s="1" t="n">
        <v>8</v>
      </c>
      <c r="D2524" s="1" t="s">
        <v>49</v>
      </c>
      <c r="E2524" s="1" t="s">
        <v>2</v>
      </c>
      <c r="F2524" s="1" t="n">
        <v>0.35</v>
      </c>
      <c r="G2524" s="1" t="n">
        <f aca="false">IF(E2524=E2523,F2524/F2523-1,"")</f>
        <v>0</v>
      </c>
    </row>
    <row r="2525" customFormat="false" ht="14.25" hidden="false" customHeight="true" outlineLevel="0" collapsed="false">
      <c r="A2525" s="26" t="n">
        <v>12298</v>
      </c>
      <c r="B2525" s="1" t="n">
        <v>1933</v>
      </c>
      <c r="C2525" s="1" t="n">
        <v>9</v>
      </c>
      <c r="D2525" s="1" t="s">
        <v>50</v>
      </c>
      <c r="E2525" s="1" t="s">
        <v>2</v>
      </c>
      <c r="F2525" s="1" t="n">
        <v>0.35</v>
      </c>
      <c r="G2525" s="1" t="n">
        <f aca="false">IF(E2525=E2524,F2525/F2524-1,"")</f>
        <v>0</v>
      </c>
    </row>
    <row r="2526" customFormat="false" ht="14.25" hidden="false" customHeight="true" outlineLevel="0" collapsed="false">
      <c r="A2526" s="26" t="n">
        <v>12328</v>
      </c>
      <c r="B2526" s="1" t="n">
        <v>1933</v>
      </c>
      <c r="C2526" s="1" t="n">
        <v>10</v>
      </c>
      <c r="D2526" s="1" t="s">
        <v>51</v>
      </c>
      <c r="E2526" s="1" t="s">
        <v>2</v>
      </c>
      <c r="F2526" s="1" t="n">
        <v>0.35</v>
      </c>
      <c r="G2526" s="1" t="n">
        <f aca="false">IF(E2526=E2525,F2526/F2525-1,"")</f>
        <v>0</v>
      </c>
    </row>
    <row r="2527" customFormat="false" ht="14.25" hidden="false" customHeight="true" outlineLevel="0" collapsed="false">
      <c r="A2527" s="26" t="n">
        <v>12359</v>
      </c>
      <c r="B2527" s="1" t="n">
        <v>1933</v>
      </c>
      <c r="C2527" s="1" t="n">
        <v>11</v>
      </c>
      <c r="D2527" s="1" t="s">
        <v>52</v>
      </c>
      <c r="E2527" s="1" t="s">
        <v>2</v>
      </c>
      <c r="F2527" s="1" t="n">
        <v>0.35</v>
      </c>
      <c r="G2527" s="1" t="n">
        <f aca="false">IF(E2527=E2526,F2527/F2526-1,"")</f>
        <v>0</v>
      </c>
    </row>
    <row r="2528" customFormat="false" ht="14.25" hidden="false" customHeight="true" outlineLevel="0" collapsed="false">
      <c r="A2528" s="26" t="n">
        <v>12389</v>
      </c>
      <c r="B2528" s="1" t="n">
        <v>1933</v>
      </c>
      <c r="C2528" s="1" t="n">
        <v>12</v>
      </c>
      <c r="D2528" s="1" t="s">
        <v>53</v>
      </c>
      <c r="E2528" s="1" t="s">
        <v>2</v>
      </c>
      <c r="F2528" s="1" t="n">
        <v>0.35</v>
      </c>
      <c r="G2528" s="1" t="n">
        <f aca="false">IF(E2528=E2527,F2528/F2527-1,"")</f>
        <v>0</v>
      </c>
    </row>
    <row r="2529" customFormat="false" ht="14.25" hidden="false" customHeight="true" outlineLevel="0" collapsed="false">
      <c r="A2529" s="26" t="n">
        <v>12420</v>
      </c>
      <c r="B2529" s="1" t="n">
        <v>1934</v>
      </c>
      <c r="C2529" s="1" t="n">
        <v>1</v>
      </c>
      <c r="D2529" s="1" t="s">
        <v>42</v>
      </c>
      <c r="E2529" s="1" t="s">
        <v>2</v>
      </c>
      <c r="F2529" s="1" t="n">
        <v>0.48</v>
      </c>
      <c r="G2529" s="1" t="n">
        <f aca="false">IF(E2529=E2528,F2529/F2528-1,"")</f>
        <v>0.371428571428571</v>
      </c>
    </row>
    <row r="2530" customFormat="false" ht="14.25" hidden="false" customHeight="true" outlineLevel="0" collapsed="false">
      <c r="A2530" s="26" t="n">
        <v>12451</v>
      </c>
      <c r="B2530" s="1" t="n">
        <v>1934</v>
      </c>
      <c r="C2530" s="1" t="n">
        <v>2</v>
      </c>
      <c r="D2530" s="1" t="s">
        <v>43</v>
      </c>
      <c r="E2530" s="1" t="s">
        <v>2</v>
      </c>
      <c r="F2530" s="1" t="n">
        <v>0.48</v>
      </c>
      <c r="G2530" s="1" t="n">
        <f aca="false">IF(E2530=E2529,F2530/F2529-1,"")</f>
        <v>0</v>
      </c>
    </row>
    <row r="2531" customFormat="false" ht="14.25" hidden="false" customHeight="true" outlineLevel="0" collapsed="false">
      <c r="A2531" s="26" t="n">
        <v>12479</v>
      </c>
      <c r="B2531" s="1" t="n">
        <v>1934</v>
      </c>
      <c r="C2531" s="1" t="n">
        <v>3</v>
      </c>
      <c r="D2531" s="1" t="s">
        <v>44</v>
      </c>
      <c r="E2531" s="1" t="s">
        <v>2</v>
      </c>
      <c r="F2531" s="1" t="n">
        <v>0.48</v>
      </c>
      <c r="G2531" s="1" t="n">
        <f aca="false">IF(E2531=E2530,F2531/F2530-1,"")</f>
        <v>0</v>
      </c>
    </row>
    <row r="2532" customFormat="false" ht="14.25" hidden="false" customHeight="true" outlineLevel="0" collapsed="false">
      <c r="A2532" s="26" t="n">
        <v>12510</v>
      </c>
      <c r="B2532" s="1" t="n">
        <v>1934</v>
      </c>
      <c r="C2532" s="1" t="n">
        <v>4</v>
      </c>
      <c r="D2532" s="1" t="s">
        <v>45</v>
      </c>
      <c r="E2532" s="1" t="s">
        <v>2</v>
      </c>
      <c r="F2532" s="1" t="n">
        <v>0.48</v>
      </c>
      <c r="G2532" s="1" t="n">
        <f aca="false">IF(E2532=E2531,F2532/F2531-1,"")</f>
        <v>0</v>
      </c>
    </row>
    <row r="2533" customFormat="false" ht="14.25" hidden="false" customHeight="true" outlineLevel="0" collapsed="false">
      <c r="A2533" s="26" t="n">
        <v>12540</v>
      </c>
      <c r="B2533" s="1" t="n">
        <v>1934</v>
      </c>
      <c r="C2533" s="1" t="n">
        <v>5</v>
      </c>
      <c r="D2533" s="1" t="s">
        <v>46</v>
      </c>
      <c r="E2533" s="1" t="s">
        <v>2</v>
      </c>
      <c r="F2533" s="1" t="n">
        <v>0.48</v>
      </c>
      <c r="G2533" s="1" t="n">
        <f aca="false">IF(E2533=E2532,F2533/F2532-1,"")</f>
        <v>0</v>
      </c>
    </row>
    <row r="2534" customFormat="false" ht="14.25" hidden="false" customHeight="true" outlineLevel="0" collapsed="false">
      <c r="A2534" s="26" t="n">
        <v>12571</v>
      </c>
      <c r="B2534" s="1" t="n">
        <v>1934</v>
      </c>
      <c r="C2534" s="1" t="n">
        <v>6</v>
      </c>
      <c r="D2534" s="1" t="s">
        <v>47</v>
      </c>
      <c r="E2534" s="1" t="s">
        <v>2</v>
      </c>
      <c r="F2534" s="1" t="n">
        <v>0.48</v>
      </c>
      <c r="G2534" s="1" t="n">
        <f aca="false">IF(E2534=E2533,F2534/F2533-1,"")</f>
        <v>0</v>
      </c>
    </row>
    <row r="2535" customFormat="false" ht="14.25" hidden="false" customHeight="true" outlineLevel="0" collapsed="false">
      <c r="A2535" s="26" t="n">
        <v>12601</v>
      </c>
      <c r="B2535" s="1" t="n">
        <v>1934</v>
      </c>
      <c r="C2535" s="1" t="n">
        <v>7</v>
      </c>
      <c r="D2535" s="1" t="s">
        <v>48</v>
      </c>
      <c r="E2535" s="1" t="s">
        <v>2</v>
      </c>
      <c r="F2535" s="1" t="n">
        <v>0.48</v>
      </c>
      <c r="G2535" s="1" t="n">
        <f aca="false">IF(E2535=E2534,F2535/F2534-1,"")</f>
        <v>0</v>
      </c>
    </row>
    <row r="2536" customFormat="false" ht="14.25" hidden="false" customHeight="true" outlineLevel="0" collapsed="false">
      <c r="A2536" s="26" t="n">
        <v>12632</v>
      </c>
      <c r="B2536" s="1" t="n">
        <v>1934</v>
      </c>
      <c r="C2536" s="1" t="n">
        <v>8</v>
      </c>
      <c r="D2536" s="1" t="s">
        <v>49</v>
      </c>
      <c r="E2536" s="1" t="s">
        <v>2</v>
      </c>
      <c r="F2536" s="1" t="n">
        <v>0.48</v>
      </c>
      <c r="G2536" s="1" t="n">
        <f aca="false">IF(E2536=E2535,F2536/F2535-1,"")</f>
        <v>0</v>
      </c>
    </row>
    <row r="2537" customFormat="false" ht="14.25" hidden="false" customHeight="true" outlineLevel="0" collapsed="false">
      <c r="A2537" s="26" t="n">
        <v>12663</v>
      </c>
      <c r="B2537" s="1" t="n">
        <v>1934</v>
      </c>
      <c r="C2537" s="1" t="n">
        <v>9</v>
      </c>
      <c r="D2537" s="1" t="s">
        <v>50</v>
      </c>
      <c r="E2537" s="1" t="s">
        <v>2</v>
      </c>
      <c r="F2537" s="1" t="n">
        <v>0.48</v>
      </c>
      <c r="G2537" s="1" t="n">
        <f aca="false">IF(E2537=E2536,F2537/F2536-1,"")</f>
        <v>0</v>
      </c>
    </row>
    <row r="2538" customFormat="false" ht="14.25" hidden="false" customHeight="true" outlineLevel="0" collapsed="false">
      <c r="A2538" s="26" t="n">
        <v>12693</v>
      </c>
      <c r="B2538" s="1" t="n">
        <v>1934</v>
      </c>
      <c r="C2538" s="1" t="n">
        <v>10</v>
      </c>
      <c r="D2538" s="1" t="s">
        <v>51</v>
      </c>
      <c r="E2538" s="1" t="s">
        <v>2</v>
      </c>
      <c r="F2538" s="1" t="n">
        <v>0.48</v>
      </c>
      <c r="G2538" s="1" t="n">
        <f aca="false">IF(E2538=E2537,F2538/F2537-1,"")</f>
        <v>0</v>
      </c>
    </row>
    <row r="2539" customFormat="false" ht="14.25" hidden="false" customHeight="true" outlineLevel="0" collapsed="false">
      <c r="A2539" s="26" t="n">
        <v>12724</v>
      </c>
      <c r="B2539" s="1" t="n">
        <v>1934</v>
      </c>
      <c r="C2539" s="1" t="n">
        <v>11</v>
      </c>
      <c r="D2539" s="1" t="s">
        <v>52</v>
      </c>
      <c r="E2539" s="1" t="s">
        <v>2</v>
      </c>
      <c r="F2539" s="1" t="n">
        <v>0.48</v>
      </c>
      <c r="G2539" s="1" t="n">
        <f aca="false">IF(E2539=E2538,F2539/F2538-1,"")</f>
        <v>0</v>
      </c>
    </row>
    <row r="2540" customFormat="false" ht="14.25" hidden="false" customHeight="true" outlineLevel="0" collapsed="false">
      <c r="A2540" s="26" t="n">
        <v>12754</v>
      </c>
      <c r="B2540" s="1" t="n">
        <v>1934</v>
      </c>
      <c r="C2540" s="1" t="n">
        <v>12</v>
      </c>
      <c r="D2540" s="1" t="s">
        <v>53</v>
      </c>
      <c r="E2540" s="1" t="s">
        <v>2</v>
      </c>
      <c r="F2540" s="1" t="n">
        <v>0.48</v>
      </c>
      <c r="G2540" s="1" t="n">
        <f aca="false">IF(E2540=E2539,F2540/F2539-1,"")</f>
        <v>0</v>
      </c>
    </row>
    <row r="2541" customFormat="false" ht="14.25" hidden="false" customHeight="true" outlineLevel="0" collapsed="false">
      <c r="A2541" s="26" t="n">
        <v>12785</v>
      </c>
      <c r="B2541" s="1" t="n">
        <v>1935</v>
      </c>
      <c r="C2541" s="1" t="n">
        <v>1</v>
      </c>
      <c r="D2541" s="1" t="s">
        <v>42</v>
      </c>
      <c r="E2541" s="1" t="s">
        <v>2</v>
      </c>
      <c r="F2541" s="1" t="n">
        <v>0.64</v>
      </c>
      <c r="G2541" s="1" t="n">
        <f aca="false">IF(E2541=E2540,F2541/F2540-1,"")</f>
        <v>0.333333333333334</v>
      </c>
    </row>
    <row r="2542" customFormat="false" ht="14.25" hidden="false" customHeight="true" outlineLevel="0" collapsed="false">
      <c r="A2542" s="26" t="n">
        <v>12816</v>
      </c>
      <c r="B2542" s="1" t="n">
        <v>1935</v>
      </c>
      <c r="C2542" s="1" t="n">
        <v>2</v>
      </c>
      <c r="D2542" s="1" t="s">
        <v>43</v>
      </c>
      <c r="E2542" s="1" t="s">
        <v>2</v>
      </c>
      <c r="F2542" s="1" t="n">
        <v>0.64</v>
      </c>
      <c r="G2542" s="1" t="n">
        <f aca="false">IF(E2542=E2541,F2542/F2541-1,"")</f>
        <v>0</v>
      </c>
    </row>
    <row r="2543" customFormat="false" ht="14.25" hidden="false" customHeight="true" outlineLevel="0" collapsed="false">
      <c r="A2543" s="26" t="n">
        <v>12844</v>
      </c>
      <c r="B2543" s="1" t="n">
        <v>1935</v>
      </c>
      <c r="C2543" s="1" t="n">
        <v>3</v>
      </c>
      <c r="D2543" s="1" t="s">
        <v>44</v>
      </c>
      <c r="E2543" s="1" t="s">
        <v>2</v>
      </c>
      <c r="F2543" s="1" t="n">
        <v>0.64</v>
      </c>
      <c r="G2543" s="1" t="n">
        <f aca="false">IF(E2543=E2542,F2543/F2542-1,"")</f>
        <v>0</v>
      </c>
    </row>
    <row r="2544" customFormat="false" ht="14.25" hidden="false" customHeight="true" outlineLevel="0" collapsed="false">
      <c r="A2544" s="26" t="n">
        <v>12875</v>
      </c>
      <c r="B2544" s="1" t="n">
        <v>1935</v>
      </c>
      <c r="C2544" s="1" t="n">
        <v>4</v>
      </c>
      <c r="D2544" s="1" t="s">
        <v>45</v>
      </c>
      <c r="E2544" s="1" t="s">
        <v>2</v>
      </c>
      <c r="F2544" s="1" t="n">
        <v>0.64</v>
      </c>
      <c r="G2544" s="1" t="n">
        <f aca="false">IF(E2544=E2543,F2544/F2543-1,"")</f>
        <v>0</v>
      </c>
    </row>
    <row r="2545" customFormat="false" ht="14.25" hidden="false" customHeight="true" outlineLevel="0" collapsed="false">
      <c r="A2545" s="26" t="n">
        <v>12905</v>
      </c>
      <c r="B2545" s="1" t="n">
        <v>1935</v>
      </c>
      <c r="C2545" s="1" t="n">
        <v>5</v>
      </c>
      <c r="D2545" s="1" t="s">
        <v>46</v>
      </c>
      <c r="E2545" s="1" t="s">
        <v>2</v>
      </c>
      <c r="F2545" s="1" t="n">
        <v>0.64</v>
      </c>
      <c r="G2545" s="1" t="n">
        <f aca="false">IF(E2545=E2544,F2545/F2544-1,"")</f>
        <v>0</v>
      </c>
    </row>
    <row r="2546" customFormat="false" ht="14.25" hidden="false" customHeight="true" outlineLevel="0" collapsed="false">
      <c r="A2546" s="26" t="n">
        <v>12936</v>
      </c>
      <c r="B2546" s="1" t="n">
        <v>1935</v>
      </c>
      <c r="C2546" s="1" t="n">
        <v>6</v>
      </c>
      <c r="D2546" s="1" t="s">
        <v>47</v>
      </c>
      <c r="E2546" s="1" t="s">
        <v>2</v>
      </c>
      <c r="F2546" s="1" t="n">
        <v>0.64</v>
      </c>
      <c r="G2546" s="1" t="n">
        <f aca="false">IF(E2546=E2545,F2546/F2545-1,"")</f>
        <v>0</v>
      </c>
    </row>
    <row r="2547" customFormat="false" ht="14.25" hidden="false" customHeight="true" outlineLevel="0" collapsed="false">
      <c r="A2547" s="26" t="n">
        <v>12966</v>
      </c>
      <c r="B2547" s="1" t="n">
        <v>1935</v>
      </c>
      <c r="C2547" s="1" t="n">
        <v>7</v>
      </c>
      <c r="D2547" s="1" t="s">
        <v>48</v>
      </c>
      <c r="E2547" s="1" t="s">
        <v>2</v>
      </c>
      <c r="F2547" s="1" t="n">
        <v>0.64</v>
      </c>
      <c r="G2547" s="1" t="n">
        <f aca="false">IF(E2547=E2546,F2547/F2546-1,"")</f>
        <v>0</v>
      </c>
    </row>
    <row r="2548" customFormat="false" ht="14.25" hidden="false" customHeight="true" outlineLevel="0" collapsed="false">
      <c r="A2548" s="26" t="n">
        <v>12997</v>
      </c>
      <c r="B2548" s="1" t="n">
        <v>1935</v>
      </c>
      <c r="C2548" s="1" t="n">
        <v>8</v>
      </c>
      <c r="D2548" s="1" t="s">
        <v>49</v>
      </c>
      <c r="E2548" s="1" t="s">
        <v>2</v>
      </c>
      <c r="F2548" s="1" t="n">
        <v>0.64</v>
      </c>
      <c r="G2548" s="1" t="n">
        <f aca="false">IF(E2548=E2547,F2548/F2547-1,"")</f>
        <v>0</v>
      </c>
    </row>
    <row r="2549" customFormat="false" ht="14.25" hidden="false" customHeight="true" outlineLevel="0" collapsed="false">
      <c r="A2549" s="26" t="n">
        <v>13028</v>
      </c>
      <c r="B2549" s="1" t="n">
        <v>1935</v>
      </c>
      <c r="C2549" s="1" t="n">
        <v>9</v>
      </c>
      <c r="D2549" s="1" t="s">
        <v>50</v>
      </c>
      <c r="E2549" s="1" t="s">
        <v>2</v>
      </c>
      <c r="F2549" s="1" t="n">
        <v>0.64</v>
      </c>
      <c r="G2549" s="1" t="n">
        <f aca="false">IF(E2549=E2548,F2549/F2548-1,"")</f>
        <v>0</v>
      </c>
    </row>
    <row r="2550" customFormat="false" ht="14.25" hidden="false" customHeight="true" outlineLevel="0" collapsed="false">
      <c r="A2550" s="26" t="n">
        <v>13058</v>
      </c>
      <c r="B2550" s="1" t="n">
        <v>1935</v>
      </c>
      <c r="C2550" s="1" t="n">
        <v>10</v>
      </c>
      <c r="D2550" s="1" t="s">
        <v>51</v>
      </c>
      <c r="E2550" s="1" t="s">
        <v>2</v>
      </c>
      <c r="F2550" s="1" t="n">
        <v>0.64</v>
      </c>
      <c r="G2550" s="1" t="n">
        <f aca="false">IF(E2550=E2549,F2550/F2549-1,"")</f>
        <v>0</v>
      </c>
    </row>
    <row r="2551" customFormat="false" ht="14.25" hidden="false" customHeight="true" outlineLevel="0" collapsed="false">
      <c r="A2551" s="26" t="n">
        <v>13089</v>
      </c>
      <c r="B2551" s="1" t="n">
        <v>1935</v>
      </c>
      <c r="C2551" s="1" t="n">
        <v>11</v>
      </c>
      <c r="D2551" s="1" t="s">
        <v>52</v>
      </c>
      <c r="E2551" s="1" t="s">
        <v>2</v>
      </c>
      <c r="F2551" s="1" t="n">
        <v>0.64</v>
      </c>
      <c r="G2551" s="1" t="n">
        <f aca="false">IF(E2551=E2550,F2551/F2550-1,"")</f>
        <v>0</v>
      </c>
    </row>
    <row r="2552" customFormat="false" ht="14.25" hidden="false" customHeight="true" outlineLevel="0" collapsed="false">
      <c r="A2552" s="26" t="n">
        <v>13119</v>
      </c>
      <c r="B2552" s="1" t="n">
        <v>1935</v>
      </c>
      <c r="C2552" s="1" t="n">
        <v>12</v>
      </c>
      <c r="D2552" s="1" t="s">
        <v>53</v>
      </c>
      <c r="E2552" s="1" t="s">
        <v>2</v>
      </c>
      <c r="F2552" s="1" t="n">
        <v>0.64</v>
      </c>
      <c r="G2552" s="1" t="n">
        <f aca="false">IF(E2552=E2551,F2552/F2551-1,"")</f>
        <v>0</v>
      </c>
    </row>
    <row r="2553" customFormat="false" ht="14.25" hidden="false" customHeight="true" outlineLevel="0" collapsed="false">
      <c r="A2553" s="26" t="n">
        <v>13150</v>
      </c>
      <c r="B2553" s="1" t="n">
        <v>1936</v>
      </c>
      <c r="C2553" s="1" t="n">
        <v>1</v>
      </c>
      <c r="D2553" s="1" t="s">
        <v>42</v>
      </c>
      <c r="E2553" s="1" t="s">
        <v>2</v>
      </c>
      <c r="F2553" s="1" t="n">
        <v>0.45</v>
      </c>
      <c r="G2553" s="1" t="n">
        <f aca="false">IF(E2553=E2552,F2553/F2552-1,"")</f>
        <v>-0.296875</v>
      </c>
    </row>
    <row r="2554" customFormat="false" ht="14.25" hidden="false" customHeight="true" outlineLevel="0" collapsed="false">
      <c r="A2554" s="26" t="n">
        <v>13181</v>
      </c>
      <c r="B2554" s="1" t="n">
        <v>1936</v>
      </c>
      <c r="C2554" s="1" t="n">
        <v>2</v>
      </c>
      <c r="D2554" s="1" t="s">
        <v>43</v>
      </c>
      <c r="E2554" s="1" t="s">
        <v>2</v>
      </c>
      <c r="F2554" s="1" t="n">
        <v>0.45</v>
      </c>
      <c r="G2554" s="1" t="n">
        <f aca="false">IF(E2554=E2553,F2554/F2553-1,"")</f>
        <v>0</v>
      </c>
    </row>
    <row r="2555" customFormat="false" ht="14.25" hidden="false" customHeight="true" outlineLevel="0" collapsed="false">
      <c r="A2555" s="26" t="n">
        <v>13210</v>
      </c>
      <c r="B2555" s="1" t="n">
        <v>1936</v>
      </c>
      <c r="C2555" s="1" t="n">
        <v>3</v>
      </c>
      <c r="D2555" s="1" t="s">
        <v>44</v>
      </c>
      <c r="E2555" s="1" t="s">
        <v>2</v>
      </c>
      <c r="F2555" s="1" t="n">
        <v>0.45</v>
      </c>
      <c r="G2555" s="1" t="n">
        <f aca="false">IF(E2555=E2554,F2555/F2554-1,"")</f>
        <v>0</v>
      </c>
    </row>
    <row r="2556" customFormat="false" ht="14.25" hidden="false" customHeight="true" outlineLevel="0" collapsed="false">
      <c r="A2556" s="26" t="n">
        <v>13241</v>
      </c>
      <c r="B2556" s="1" t="n">
        <v>1936</v>
      </c>
      <c r="C2556" s="1" t="n">
        <v>4</v>
      </c>
      <c r="D2556" s="1" t="s">
        <v>45</v>
      </c>
      <c r="E2556" s="1" t="s">
        <v>2</v>
      </c>
      <c r="F2556" s="1" t="n">
        <v>0.45</v>
      </c>
      <c r="G2556" s="1" t="n">
        <f aca="false">IF(E2556=E2555,F2556/F2555-1,"")</f>
        <v>0</v>
      </c>
    </row>
    <row r="2557" customFormat="false" ht="14.25" hidden="false" customHeight="true" outlineLevel="0" collapsed="false">
      <c r="A2557" s="26" t="n">
        <v>13271</v>
      </c>
      <c r="B2557" s="1" t="n">
        <v>1936</v>
      </c>
      <c r="C2557" s="1" t="n">
        <v>5</v>
      </c>
      <c r="D2557" s="1" t="s">
        <v>46</v>
      </c>
      <c r="E2557" s="1" t="s">
        <v>2</v>
      </c>
      <c r="F2557" s="1" t="n">
        <v>0.45</v>
      </c>
      <c r="G2557" s="1" t="n">
        <f aca="false">IF(E2557=E2556,F2557/F2556-1,"")</f>
        <v>0</v>
      </c>
    </row>
    <row r="2558" customFormat="false" ht="14.25" hidden="false" customHeight="true" outlineLevel="0" collapsed="false">
      <c r="A2558" s="26" t="n">
        <v>13302</v>
      </c>
      <c r="B2558" s="1" t="n">
        <v>1936</v>
      </c>
      <c r="C2558" s="1" t="n">
        <v>6</v>
      </c>
      <c r="D2558" s="1" t="s">
        <v>47</v>
      </c>
      <c r="E2558" s="1" t="s">
        <v>2</v>
      </c>
      <c r="F2558" s="1" t="n">
        <v>0.45</v>
      </c>
      <c r="G2558" s="1" t="n">
        <f aca="false">IF(E2558=E2557,F2558/F2557-1,"")</f>
        <v>0</v>
      </c>
    </row>
    <row r="2559" customFormat="false" ht="14.25" hidden="false" customHeight="true" outlineLevel="0" collapsed="false">
      <c r="A2559" s="26" t="n">
        <v>13332</v>
      </c>
      <c r="B2559" s="1" t="n">
        <v>1936</v>
      </c>
      <c r="C2559" s="1" t="n">
        <v>7</v>
      </c>
      <c r="D2559" s="1" t="s">
        <v>48</v>
      </c>
      <c r="E2559" s="1" t="s">
        <v>2</v>
      </c>
      <c r="F2559" s="1" t="n">
        <v>0.45</v>
      </c>
      <c r="G2559" s="1" t="n">
        <f aca="false">IF(E2559=E2558,F2559/F2558-1,"")</f>
        <v>0</v>
      </c>
    </row>
    <row r="2560" customFormat="false" ht="14.25" hidden="false" customHeight="true" outlineLevel="0" collapsed="false">
      <c r="A2560" s="26" t="n">
        <v>13363</v>
      </c>
      <c r="B2560" s="1" t="n">
        <v>1936</v>
      </c>
      <c r="C2560" s="1" t="n">
        <v>8</v>
      </c>
      <c r="D2560" s="1" t="s">
        <v>49</v>
      </c>
      <c r="E2560" s="1" t="s">
        <v>2</v>
      </c>
      <c r="F2560" s="1" t="n">
        <v>0.45</v>
      </c>
      <c r="G2560" s="1" t="n">
        <f aca="false">IF(E2560=E2559,F2560/F2559-1,"")</f>
        <v>0</v>
      </c>
    </row>
    <row r="2561" customFormat="false" ht="14.25" hidden="false" customHeight="true" outlineLevel="0" collapsed="false">
      <c r="A2561" s="26" t="n">
        <v>13394</v>
      </c>
      <c r="B2561" s="1" t="n">
        <v>1936</v>
      </c>
      <c r="C2561" s="1" t="n">
        <v>9</v>
      </c>
      <c r="D2561" s="1" t="s">
        <v>50</v>
      </c>
      <c r="E2561" s="1" t="s">
        <v>2</v>
      </c>
      <c r="F2561" s="1" t="n">
        <v>0.45</v>
      </c>
      <c r="G2561" s="1" t="n">
        <f aca="false">IF(E2561=E2560,F2561/F2560-1,"")</f>
        <v>0</v>
      </c>
    </row>
    <row r="2562" customFormat="false" ht="14.25" hidden="false" customHeight="true" outlineLevel="0" collapsed="false">
      <c r="A2562" s="26" t="n">
        <v>13424</v>
      </c>
      <c r="B2562" s="1" t="n">
        <v>1936</v>
      </c>
      <c r="C2562" s="1" t="n">
        <v>10</v>
      </c>
      <c r="D2562" s="1" t="s">
        <v>51</v>
      </c>
      <c r="E2562" s="1" t="s">
        <v>2</v>
      </c>
      <c r="F2562" s="1" t="n">
        <v>0.45</v>
      </c>
      <c r="G2562" s="1" t="n">
        <f aca="false">IF(E2562=E2561,F2562/F2561-1,"")</f>
        <v>0</v>
      </c>
    </row>
    <row r="2563" customFormat="false" ht="14.25" hidden="false" customHeight="true" outlineLevel="0" collapsed="false">
      <c r="A2563" s="26" t="n">
        <v>13455</v>
      </c>
      <c r="B2563" s="1" t="n">
        <v>1936</v>
      </c>
      <c r="C2563" s="1" t="n">
        <v>11</v>
      </c>
      <c r="D2563" s="1" t="s">
        <v>52</v>
      </c>
      <c r="E2563" s="1" t="s">
        <v>2</v>
      </c>
      <c r="F2563" s="1" t="n">
        <v>0.45</v>
      </c>
      <c r="G2563" s="1" t="n">
        <f aca="false">IF(E2563=E2562,F2563/F2562-1,"")</f>
        <v>0</v>
      </c>
    </row>
    <row r="2564" customFormat="false" ht="14.25" hidden="false" customHeight="true" outlineLevel="0" collapsed="false">
      <c r="A2564" s="26" t="n">
        <v>13485</v>
      </c>
      <c r="B2564" s="1" t="n">
        <v>1936</v>
      </c>
      <c r="C2564" s="1" t="n">
        <v>12</v>
      </c>
      <c r="D2564" s="1" t="s">
        <v>53</v>
      </c>
      <c r="E2564" s="1" t="s">
        <v>2</v>
      </c>
      <c r="F2564" s="1" t="n">
        <v>0.45</v>
      </c>
      <c r="G2564" s="1" t="n">
        <f aca="false">IF(E2564=E2563,F2564/F2563-1,"")</f>
        <v>0</v>
      </c>
    </row>
    <row r="2565" customFormat="false" ht="14.25" hidden="false" customHeight="true" outlineLevel="0" collapsed="false">
      <c r="A2565" s="26" t="n">
        <v>13516</v>
      </c>
      <c r="B2565" s="1" t="n">
        <v>1937</v>
      </c>
      <c r="C2565" s="1" t="n">
        <v>1</v>
      </c>
      <c r="D2565" s="1" t="s">
        <v>42</v>
      </c>
      <c r="E2565" s="1" t="s">
        <v>2</v>
      </c>
      <c r="F2565" s="1" t="n">
        <v>0.45</v>
      </c>
      <c r="G2565" s="1" t="n">
        <f aca="false">IF(E2565=E2564,F2565/F2564-1,"")</f>
        <v>0</v>
      </c>
    </row>
    <row r="2566" customFormat="false" ht="14.25" hidden="false" customHeight="true" outlineLevel="0" collapsed="false">
      <c r="A2566" s="26" t="n">
        <v>13547</v>
      </c>
      <c r="B2566" s="1" t="n">
        <v>1937</v>
      </c>
      <c r="C2566" s="1" t="n">
        <v>2</v>
      </c>
      <c r="D2566" s="1" t="s">
        <v>43</v>
      </c>
      <c r="E2566" s="1" t="s">
        <v>2</v>
      </c>
      <c r="F2566" s="1" t="n">
        <v>0.45</v>
      </c>
      <c r="G2566" s="1" t="n">
        <f aca="false">IF(E2566=E2565,F2566/F2565-1,"")</f>
        <v>0</v>
      </c>
    </row>
    <row r="2567" customFormat="false" ht="14.25" hidden="false" customHeight="true" outlineLevel="0" collapsed="false">
      <c r="A2567" s="26" t="n">
        <v>13575</v>
      </c>
      <c r="B2567" s="1" t="n">
        <v>1937</v>
      </c>
      <c r="C2567" s="1" t="n">
        <v>3</v>
      </c>
      <c r="D2567" s="1" t="s">
        <v>44</v>
      </c>
      <c r="E2567" s="1" t="s">
        <v>2</v>
      </c>
      <c r="F2567" s="1" t="n">
        <v>0.45</v>
      </c>
      <c r="G2567" s="1" t="n">
        <f aca="false">IF(E2567=E2566,F2567/F2566-1,"")</f>
        <v>0</v>
      </c>
    </row>
    <row r="2568" customFormat="false" ht="14.25" hidden="false" customHeight="true" outlineLevel="0" collapsed="false">
      <c r="A2568" s="26" t="n">
        <v>13606</v>
      </c>
      <c r="B2568" s="1" t="n">
        <v>1937</v>
      </c>
      <c r="C2568" s="1" t="n">
        <v>4</v>
      </c>
      <c r="D2568" s="1" t="s">
        <v>45</v>
      </c>
      <c r="E2568" s="1" t="s">
        <v>2</v>
      </c>
      <c r="F2568" s="1" t="n">
        <v>0.45</v>
      </c>
      <c r="G2568" s="1" t="n">
        <f aca="false">IF(E2568=E2567,F2568/F2567-1,"")</f>
        <v>0</v>
      </c>
    </row>
    <row r="2569" customFormat="false" ht="14.25" hidden="false" customHeight="true" outlineLevel="0" collapsed="false">
      <c r="A2569" s="26" t="n">
        <v>13636</v>
      </c>
      <c r="B2569" s="1" t="n">
        <v>1937</v>
      </c>
      <c r="C2569" s="1" t="n">
        <v>5</v>
      </c>
      <c r="D2569" s="1" t="s">
        <v>46</v>
      </c>
      <c r="E2569" s="1" t="s">
        <v>2</v>
      </c>
      <c r="F2569" s="1" t="n">
        <v>0.45</v>
      </c>
      <c r="G2569" s="1" t="n">
        <f aca="false">IF(E2569=E2568,F2569/F2568-1,"")</f>
        <v>0</v>
      </c>
    </row>
    <row r="2570" customFormat="false" ht="14.25" hidden="false" customHeight="true" outlineLevel="0" collapsed="false">
      <c r="A2570" s="26" t="n">
        <v>13667</v>
      </c>
      <c r="B2570" s="1" t="n">
        <v>1937</v>
      </c>
      <c r="C2570" s="1" t="n">
        <v>6</v>
      </c>
      <c r="D2570" s="1" t="s">
        <v>47</v>
      </c>
      <c r="E2570" s="1" t="s">
        <v>2</v>
      </c>
      <c r="F2570" s="1" t="n">
        <v>0.45</v>
      </c>
      <c r="G2570" s="1" t="n">
        <f aca="false">IF(E2570=E2569,F2570/F2569-1,"")</f>
        <v>0</v>
      </c>
    </row>
    <row r="2571" customFormat="false" ht="14.25" hidden="false" customHeight="true" outlineLevel="0" collapsed="false">
      <c r="A2571" s="26" t="n">
        <v>13697</v>
      </c>
      <c r="B2571" s="1" t="n">
        <v>1937</v>
      </c>
      <c r="C2571" s="1" t="n">
        <v>7</v>
      </c>
      <c r="D2571" s="1" t="s">
        <v>48</v>
      </c>
      <c r="E2571" s="1" t="s">
        <v>2</v>
      </c>
      <c r="F2571" s="1" t="n">
        <v>0.45</v>
      </c>
      <c r="G2571" s="1" t="n">
        <f aca="false">IF(E2571=E2570,F2571/F2570-1,"")</f>
        <v>0</v>
      </c>
    </row>
    <row r="2572" customFormat="false" ht="14.25" hidden="false" customHeight="true" outlineLevel="0" collapsed="false">
      <c r="A2572" s="26" t="n">
        <v>13728</v>
      </c>
      <c r="B2572" s="1" t="n">
        <v>1937</v>
      </c>
      <c r="C2572" s="1" t="n">
        <v>8</v>
      </c>
      <c r="D2572" s="1" t="s">
        <v>49</v>
      </c>
      <c r="E2572" s="1" t="s">
        <v>2</v>
      </c>
      <c r="F2572" s="1" t="n">
        <v>0.45</v>
      </c>
      <c r="G2572" s="1" t="n">
        <f aca="false">IF(E2572=E2571,F2572/F2571-1,"")</f>
        <v>0</v>
      </c>
    </row>
    <row r="2573" customFormat="false" ht="14.25" hidden="false" customHeight="true" outlineLevel="0" collapsed="false">
      <c r="A2573" s="26" t="n">
        <v>13759</v>
      </c>
      <c r="B2573" s="1" t="n">
        <v>1937</v>
      </c>
      <c r="C2573" s="1" t="n">
        <v>9</v>
      </c>
      <c r="D2573" s="1" t="s">
        <v>50</v>
      </c>
      <c r="E2573" s="1" t="s">
        <v>2</v>
      </c>
      <c r="F2573" s="1" t="n">
        <v>0.45</v>
      </c>
      <c r="G2573" s="1" t="n">
        <f aca="false">IF(E2573=E2572,F2573/F2572-1,"")</f>
        <v>0</v>
      </c>
    </row>
    <row r="2574" customFormat="false" ht="14.25" hidden="false" customHeight="true" outlineLevel="0" collapsed="false">
      <c r="A2574" s="26" t="n">
        <v>13789</v>
      </c>
      <c r="B2574" s="1" t="n">
        <v>1937</v>
      </c>
      <c r="C2574" s="1" t="n">
        <v>10</v>
      </c>
      <c r="D2574" s="1" t="s">
        <v>51</v>
      </c>
      <c r="E2574" s="1" t="s">
        <v>2</v>
      </c>
      <c r="F2574" s="1" t="n">
        <v>0.45</v>
      </c>
      <c r="G2574" s="1" t="n">
        <f aca="false">IF(E2574=E2573,F2574/F2573-1,"")</f>
        <v>0</v>
      </c>
    </row>
    <row r="2575" customFormat="false" ht="14.25" hidden="false" customHeight="true" outlineLevel="0" collapsed="false">
      <c r="A2575" s="26" t="n">
        <v>13820</v>
      </c>
      <c r="B2575" s="1" t="n">
        <v>1937</v>
      </c>
      <c r="C2575" s="1" t="n">
        <v>11</v>
      </c>
      <c r="D2575" s="1" t="s">
        <v>52</v>
      </c>
      <c r="E2575" s="1" t="s">
        <v>2</v>
      </c>
      <c r="F2575" s="1" t="n">
        <v>0.45</v>
      </c>
      <c r="G2575" s="1" t="n">
        <f aca="false">IF(E2575=E2574,F2575/F2574-1,"")</f>
        <v>0</v>
      </c>
    </row>
    <row r="2576" customFormat="false" ht="14.25" hidden="false" customHeight="true" outlineLevel="0" collapsed="false">
      <c r="A2576" s="26" t="n">
        <v>13850</v>
      </c>
      <c r="B2576" s="1" t="n">
        <v>1937</v>
      </c>
      <c r="C2576" s="1" t="n">
        <v>12</v>
      </c>
      <c r="D2576" s="1" t="s">
        <v>53</v>
      </c>
      <c r="E2576" s="1" t="s">
        <v>2</v>
      </c>
      <c r="F2576" s="1" t="n">
        <v>0.45</v>
      </c>
      <c r="G2576" s="1" t="n">
        <f aca="false">IF(E2576=E2575,F2576/F2575-1,"")</f>
        <v>0</v>
      </c>
    </row>
    <row r="2577" customFormat="false" ht="14.25" hidden="false" customHeight="true" outlineLevel="0" collapsed="false">
      <c r="A2577" s="26" t="n">
        <v>13881</v>
      </c>
      <c r="B2577" s="1" t="n">
        <v>1938</v>
      </c>
      <c r="C2577" s="1" t="n">
        <v>1</v>
      </c>
      <c r="D2577" s="1" t="s">
        <v>42</v>
      </c>
      <c r="E2577" s="1" t="s">
        <v>2</v>
      </c>
      <c r="F2577" s="1" t="n">
        <v>0.43</v>
      </c>
      <c r="G2577" s="1" t="n">
        <f aca="false">IF(E2577=E2576,F2577/F2576-1,"")</f>
        <v>-0.0444444444444445</v>
      </c>
    </row>
    <row r="2578" customFormat="false" ht="14.25" hidden="false" customHeight="true" outlineLevel="0" collapsed="false">
      <c r="A2578" s="26" t="n">
        <v>13912</v>
      </c>
      <c r="B2578" s="1" t="n">
        <v>1938</v>
      </c>
      <c r="C2578" s="1" t="n">
        <v>2</v>
      </c>
      <c r="D2578" s="1" t="s">
        <v>43</v>
      </c>
      <c r="E2578" s="1" t="s">
        <v>2</v>
      </c>
      <c r="F2578" s="1" t="n">
        <v>0.43</v>
      </c>
      <c r="G2578" s="1" t="n">
        <f aca="false">IF(E2578=E2577,F2578/F2577-1,"")</f>
        <v>0</v>
      </c>
    </row>
    <row r="2579" customFormat="false" ht="14.25" hidden="false" customHeight="true" outlineLevel="0" collapsed="false">
      <c r="A2579" s="26" t="n">
        <v>13940</v>
      </c>
      <c r="B2579" s="1" t="n">
        <v>1938</v>
      </c>
      <c r="C2579" s="1" t="n">
        <v>3</v>
      </c>
      <c r="D2579" s="1" t="s">
        <v>44</v>
      </c>
      <c r="E2579" s="1" t="s">
        <v>2</v>
      </c>
      <c r="F2579" s="1" t="n">
        <v>0.43</v>
      </c>
      <c r="G2579" s="1" t="n">
        <f aca="false">IF(E2579=E2578,F2579/F2578-1,"")</f>
        <v>0</v>
      </c>
    </row>
    <row r="2580" customFormat="false" ht="14.25" hidden="false" customHeight="true" outlineLevel="0" collapsed="false">
      <c r="A2580" s="26" t="n">
        <v>13971</v>
      </c>
      <c r="B2580" s="1" t="n">
        <v>1938</v>
      </c>
      <c r="C2580" s="1" t="n">
        <v>4</v>
      </c>
      <c r="D2580" s="1" t="s">
        <v>45</v>
      </c>
      <c r="E2580" s="1" t="s">
        <v>2</v>
      </c>
      <c r="F2580" s="1" t="n">
        <v>0.43</v>
      </c>
      <c r="G2580" s="1" t="n">
        <f aca="false">IF(E2580=E2579,F2580/F2579-1,"")</f>
        <v>0</v>
      </c>
    </row>
    <row r="2581" customFormat="false" ht="14.25" hidden="false" customHeight="true" outlineLevel="0" collapsed="false">
      <c r="A2581" s="26" t="n">
        <v>14001</v>
      </c>
      <c r="B2581" s="1" t="n">
        <v>1938</v>
      </c>
      <c r="C2581" s="1" t="n">
        <v>5</v>
      </c>
      <c r="D2581" s="1" t="s">
        <v>46</v>
      </c>
      <c r="E2581" s="1" t="s">
        <v>2</v>
      </c>
      <c r="F2581" s="1" t="n">
        <v>0.43</v>
      </c>
      <c r="G2581" s="1" t="n">
        <f aca="false">IF(E2581=E2580,F2581/F2580-1,"")</f>
        <v>0</v>
      </c>
    </row>
    <row r="2582" customFormat="false" ht="14.25" hidden="false" customHeight="true" outlineLevel="0" collapsed="false">
      <c r="A2582" s="26" t="n">
        <v>14032</v>
      </c>
      <c r="B2582" s="1" t="n">
        <v>1938</v>
      </c>
      <c r="C2582" s="1" t="n">
        <v>6</v>
      </c>
      <c r="D2582" s="1" t="s">
        <v>47</v>
      </c>
      <c r="E2582" s="1" t="s">
        <v>2</v>
      </c>
      <c r="F2582" s="1" t="n">
        <v>0.43</v>
      </c>
      <c r="G2582" s="1" t="n">
        <f aca="false">IF(E2582=E2581,F2582/F2581-1,"")</f>
        <v>0</v>
      </c>
    </row>
    <row r="2583" customFormat="false" ht="14.25" hidden="false" customHeight="true" outlineLevel="0" collapsed="false">
      <c r="A2583" s="26" t="n">
        <v>14062</v>
      </c>
      <c r="B2583" s="1" t="n">
        <v>1938</v>
      </c>
      <c r="C2583" s="1" t="n">
        <v>7</v>
      </c>
      <c r="D2583" s="1" t="s">
        <v>48</v>
      </c>
      <c r="E2583" s="1" t="s">
        <v>2</v>
      </c>
      <c r="F2583" s="1" t="n">
        <v>0.43</v>
      </c>
      <c r="G2583" s="1" t="n">
        <f aca="false">IF(E2583=E2582,F2583/F2582-1,"")</f>
        <v>0</v>
      </c>
    </row>
    <row r="2584" customFormat="false" ht="14.25" hidden="false" customHeight="true" outlineLevel="0" collapsed="false">
      <c r="A2584" s="26" t="n">
        <v>14093</v>
      </c>
      <c r="B2584" s="1" t="n">
        <v>1938</v>
      </c>
      <c r="C2584" s="1" t="n">
        <v>8</v>
      </c>
      <c r="D2584" s="1" t="s">
        <v>49</v>
      </c>
      <c r="E2584" s="1" t="s">
        <v>2</v>
      </c>
      <c r="F2584" s="1" t="n">
        <v>0.43</v>
      </c>
      <c r="G2584" s="1" t="n">
        <f aca="false">IF(E2584=E2583,F2584/F2583-1,"")</f>
        <v>0</v>
      </c>
    </row>
    <row r="2585" customFormat="false" ht="14.25" hidden="false" customHeight="true" outlineLevel="0" collapsed="false">
      <c r="A2585" s="26" t="n">
        <v>14124</v>
      </c>
      <c r="B2585" s="1" t="n">
        <v>1938</v>
      </c>
      <c r="C2585" s="1" t="n">
        <v>9</v>
      </c>
      <c r="D2585" s="1" t="s">
        <v>50</v>
      </c>
      <c r="E2585" s="1" t="s">
        <v>2</v>
      </c>
      <c r="F2585" s="1" t="n">
        <v>0.43</v>
      </c>
      <c r="G2585" s="1" t="n">
        <f aca="false">IF(E2585=E2584,F2585/F2584-1,"")</f>
        <v>0</v>
      </c>
    </row>
    <row r="2586" customFormat="false" ht="14.25" hidden="false" customHeight="true" outlineLevel="0" collapsed="false">
      <c r="A2586" s="26" t="n">
        <v>14154</v>
      </c>
      <c r="B2586" s="1" t="n">
        <v>1938</v>
      </c>
      <c r="C2586" s="1" t="n">
        <v>10</v>
      </c>
      <c r="D2586" s="1" t="s">
        <v>51</v>
      </c>
      <c r="E2586" s="1" t="s">
        <v>2</v>
      </c>
      <c r="F2586" s="1" t="n">
        <v>0.43</v>
      </c>
      <c r="G2586" s="1" t="n">
        <f aca="false">IF(E2586=E2585,F2586/F2585-1,"")</f>
        <v>0</v>
      </c>
    </row>
    <row r="2587" customFormat="false" ht="14.25" hidden="false" customHeight="true" outlineLevel="0" collapsed="false">
      <c r="A2587" s="26" t="n">
        <v>14185</v>
      </c>
      <c r="B2587" s="1" t="n">
        <v>1938</v>
      </c>
      <c r="C2587" s="1" t="n">
        <v>11</v>
      </c>
      <c r="D2587" s="1" t="s">
        <v>52</v>
      </c>
      <c r="E2587" s="1" t="s">
        <v>2</v>
      </c>
      <c r="F2587" s="1" t="n">
        <v>0.43</v>
      </c>
      <c r="G2587" s="1" t="n">
        <f aca="false">IF(E2587=E2586,F2587/F2586-1,"")</f>
        <v>0</v>
      </c>
    </row>
    <row r="2588" customFormat="false" ht="14.25" hidden="false" customHeight="true" outlineLevel="0" collapsed="false">
      <c r="A2588" s="26" t="n">
        <v>14215</v>
      </c>
      <c r="B2588" s="1" t="n">
        <v>1938</v>
      </c>
      <c r="C2588" s="1" t="n">
        <v>12</v>
      </c>
      <c r="D2588" s="1" t="s">
        <v>53</v>
      </c>
      <c r="E2588" s="1" t="s">
        <v>2</v>
      </c>
      <c r="F2588" s="1" t="n">
        <v>0.43</v>
      </c>
      <c r="G2588" s="1" t="n">
        <f aca="false">IF(E2588=E2587,F2588/F2587-1,"")</f>
        <v>0</v>
      </c>
    </row>
    <row r="2589" customFormat="false" ht="14.25" hidden="false" customHeight="true" outlineLevel="0" collapsed="false">
      <c r="A2589" s="26" t="n">
        <v>14246</v>
      </c>
      <c r="B2589" s="1" t="n">
        <v>1939</v>
      </c>
      <c r="C2589" s="1" t="n">
        <v>1</v>
      </c>
      <c r="D2589" s="1" t="s">
        <v>42</v>
      </c>
      <c r="E2589" s="1" t="s">
        <v>2</v>
      </c>
      <c r="F2589" s="1" t="n">
        <v>0.39</v>
      </c>
      <c r="G2589" s="1" t="n">
        <f aca="false">IF(E2589=E2588,F2589/F2588-1,"")</f>
        <v>-0.0930232558139534</v>
      </c>
    </row>
    <row r="2590" customFormat="false" ht="14.25" hidden="false" customHeight="true" outlineLevel="0" collapsed="false">
      <c r="A2590" s="26" t="n">
        <v>14277</v>
      </c>
      <c r="B2590" s="1" t="n">
        <v>1939</v>
      </c>
      <c r="C2590" s="1" t="n">
        <v>2</v>
      </c>
      <c r="D2590" s="1" t="s">
        <v>43</v>
      </c>
      <c r="E2590" s="1" t="s">
        <v>2</v>
      </c>
      <c r="F2590" s="1" t="n">
        <v>0.39</v>
      </c>
      <c r="G2590" s="1" t="n">
        <f aca="false">IF(E2590=E2589,F2590/F2589-1,"")</f>
        <v>0</v>
      </c>
    </row>
    <row r="2591" customFormat="false" ht="14.25" hidden="false" customHeight="true" outlineLevel="0" collapsed="false">
      <c r="A2591" s="26" t="n">
        <v>14305</v>
      </c>
      <c r="B2591" s="1" t="n">
        <v>1939</v>
      </c>
      <c r="C2591" s="1" t="n">
        <v>3</v>
      </c>
      <c r="D2591" s="1" t="s">
        <v>44</v>
      </c>
      <c r="E2591" s="1" t="s">
        <v>2</v>
      </c>
      <c r="F2591" s="1" t="n">
        <v>0.39</v>
      </c>
      <c r="G2591" s="1" t="n">
        <f aca="false">IF(E2591=E2590,F2591/F2590-1,"")</f>
        <v>0</v>
      </c>
    </row>
    <row r="2592" customFormat="false" ht="14.25" hidden="false" customHeight="true" outlineLevel="0" collapsed="false">
      <c r="A2592" s="26" t="n">
        <v>14336</v>
      </c>
      <c r="B2592" s="1" t="n">
        <v>1939</v>
      </c>
      <c r="C2592" s="1" t="n">
        <v>4</v>
      </c>
      <c r="D2592" s="1" t="s">
        <v>45</v>
      </c>
      <c r="E2592" s="1" t="s">
        <v>2</v>
      </c>
      <c r="F2592" s="1" t="n">
        <v>0.39</v>
      </c>
      <c r="G2592" s="1" t="n">
        <f aca="false">IF(E2592=E2591,F2592/F2591-1,"")</f>
        <v>0</v>
      </c>
    </row>
    <row r="2593" customFormat="false" ht="14.25" hidden="false" customHeight="true" outlineLevel="0" collapsed="false">
      <c r="A2593" s="26" t="n">
        <v>14366</v>
      </c>
      <c r="B2593" s="1" t="n">
        <v>1939</v>
      </c>
      <c r="C2593" s="1" t="n">
        <v>5</v>
      </c>
      <c r="D2593" s="1" t="s">
        <v>46</v>
      </c>
      <c r="E2593" s="1" t="s">
        <v>2</v>
      </c>
      <c r="F2593" s="1" t="n">
        <v>0.39</v>
      </c>
      <c r="G2593" s="1" t="n">
        <f aca="false">IF(E2593=E2592,F2593/F2592-1,"")</f>
        <v>0</v>
      </c>
    </row>
    <row r="2594" customFormat="false" ht="14.25" hidden="false" customHeight="true" outlineLevel="0" collapsed="false">
      <c r="A2594" s="26" t="n">
        <v>14397</v>
      </c>
      <c r="B2594" s="1" t="n">
        <v>1939</v>
      </c>
      <c r="C2594" s="1" t="n">
        <v>6</v>
      </c>
      <c r="D2594" s="1" t="s">
        <v>47</v>
      </c>
      <c r="E2594" s="1" t="s">
        <v>2</v>
      </c>
      <c r="F2594" s="1" t="n">
        <v>0.39</v>
      </c>
      <c r="G2594" s="1" t="n">
        <f aca="false">IF(E2594=E2593,F2594/F2593-1,"")</f>
        <v>0</v>
      </c>
    </row>
    <row r="2595" customFormat="false" ht="14.25" hidden="false" customHeight="true" outlineLevel="0" collapsed="false">
      <c r="A2595" s="26" t="n">
        <v>14427</v>
      </c>
      <c r="B2595" s="1" t="n">
        <v>1939</v>
      </c>
      <c r="C2595" s="1" t="n">
        <v>7</v>
      </c>
      <c r="D2595" s="1" t="s">
        <v>48</v>
      </c>
      <c r="E2595" s="1" t="s">
        <v>2</v>
      </c>
      <c r="F2595" s="1" t="n">
        <v>0.39</v>
      </c>
      <c r="G2595" s="1" t="n">
        <f aca="false">IF(E2595=E2594,F2595/F2594-1,"")</f>
        <v>0</v>
      </c>
    </row>
    <row r="2596" customFormat="false" ht="14.25" hidden="false" customHeight="true" outlineLevel="0" collapsed="false">
      <c r="A2596" s="26" t="n">
        <v>14458</v>
      </c>
      <c r="B2596" s="1" t="n">
        <v>1939</v>
      </c>
      <c r="C2596" s="1" t="n">
        <v>8</v>
      </c>
      <c r="D2596" s="1" t="s">
        <v>49</v>
      </c>
      <c r="E2596" s="1" t="s">
        <v>2</v>
      </c>
      <c r="F2596" s="1" t="n">
        <v>0.39</v>
      </c>
      <c r="G2596" s="1" t="n">
        <f aca="false">IF(E2596=E2595,F2596/F2595-1,"")</f>
        <v>0</v>
      </c>
    </row>
    <row r="2597" customFormat="false" ht="14.25" hidden="false" customHeight="true" outlineLevel="0" collapsed="false">
      <c r="A2597" s="26" t="n">
        <v>14489</v>
      </c>
      <c r="B2597" s="1" t="n">
        <v>1939</v>
      </c>
      <c r="C2597" s="1" t="n">
        <v>9</v>
      </c>
      <c r="D2597" s="1" t="s">
        <v>50</v>
      </c>
      <c r="E2597" s="1" t="s">
        <v>2</v>
      </c>
      <c r="F2597" s="1" t="n">
        <v>0.39</v>
      </c>
      <c r="G2597" s="1" t="n">
        <f aca="false">IF(E2597=E2596,F2597/F2596-1,"")</f>
        <v>0</v>
      </c>
    </row>
    <row r="2598" customFormat="false" ht="14.25" hidden="false" customHeight="true" outlineLevel="0" collapsed="false">
      <c r="A2598" s="26" t="n">
        <v>14519</v>
      </c>
      <c r="B2598" s="1" t="n">
        <v>1939</v>
      </c>
      <c r="C2598" s="1" t="n">
        <v>10</v>
      </c>
      <c r="D2598" s="1" t="s">
        <v>51</v>
      </c>
      <c r="E2598" s="1" t="s">
        <v>2</v>
      </c>
      <c r="F2598" s="1" t="n">
        <v>0.39</v>
      </c>
      <c r="G2598" s="1" t="n">
        <f aca="false">IF(E2598=E2597,F2598/F2597-1,"")</f>
        <v>0</v>
      </c>
    </row>
    <row r="2599" customFormat="false" ht="14.25" hidden="false" customHeight="true" outlineLevel="0" collapsed="false">
      <c r="A2599" s="26" t="n">
        <v>14550</v>
      </c>
      <c r="B2599" s="1" t="n">
        <v>1939</v>
      </c>
      <c r="C2599" s="1" t="n">
        <v>11</v>
      </c>
      <c r="D2599" s="1" t="s">
        <v>52</v>
      </c>
      <c r="E2599" s="1" t="s">
        <v>2</v>
      </c>
      <c r="F2599" s="1" t="n">
        <v>0.39</v>
      </c>
      <c r="G2599" s="1" t="n">
        <f aca="false">IF(E2599=E2598,F2599/F2598-1,"")</f>
        <v>0</v>
      </c>
    </row>
    <row r="2600" customFormat="false" ht="14.25" hidden="false" customHeight="true" outlineLevel="0" collapsed="false">
      <c r="A2600" s="26" t="n">
        <v>14580</v>
      </c>
      <c r="B2600" s="1" t="n">
        <v>1939</v>
      </c>
      <c r="C2600" s="1" t="n">
        <v>12</v>
      </c>
      <c r="D2600" s="1" t="s">
        <v>53</v>
      </c>
      <c r="E2600" s="1" t="s">
        <v>2</v>
      </c>
      <c r="F2600" s="1" t="n">
        <v>0.39</v>
      </c>
      <c r="G2600" s="1" t="n">
        <f aca="false">IF(E2600=E2599,F2600/F2599-1,"")</f>
        <v>0</v>
      </c>
    </row>
    <row r="2601" customFormat="false" ht="14.25" hidden="false" customHeight="true" outlineLevel="0" collapsed="false">
      <c r="A2601" s="26" t="n">
        <v>14611</v>
      </c>
      <c r="B2601" s="1" t="n">
        <v>1940</v>
      </c>
      <c r="C2601" s="1" t="n">
        <v>1</v>
      </c>
      <c r="D2601" s="1" t="s">
        <v>42</v>
      </c>
      <c r="E2601" s="1" t="s">
        <v>2</v>
      </c>
      <c r="F2601" s="1" t="n">
        <v>0.35</v>
      </c>
      <c r="G2601" s="1" t="n">
        <f aca="false">IF(E2601=E2600,F2601/F2600-1,"")</f>
        <v>-0.102564102564103</v>
      </c>
    </row>
    <row r="2602" customFormat="false" ht="14.25" hidden="false" customHeight="true" outlineLevel="0" collapsed="false">
      <c r="A2602" s="26" t="n">
        <v>14642</v>
      </c>
      <c r="B2602" s="1" t="n">
        <v>1940</v>
      </c>
      <c r="C2602" s="1" t="n">
        <v>2</v>
      </c>
      <c r="D2602" s="1" t="s">
        <v>43</v>
      </c>
      <c r="E2602" s="1" t="s">
        <v>2</v>
      </c>
      <c r="F2602" s="1" t="n">
        <v>0.35</v>
      </c>
      <c r="G2602" s="1" t="n">
        <f aca="false">IF(E2602=E2601,F2602/F2601-1,"")</f>
        <v>0</v>
      </c>
    </row>
    <row r="2603" customFormat="false" ht="14.25" hidden="false" customHeight="true" outlineLevel="0" collapsed="false">
      <c r="A2603" s="26" t="n">
        <v>14671</v>
      </c>
      <c r="B2603" s="1" t="n">
        <v>1940</v>
      </c>
      <c r="C2603" s="1" t="n">
        <v>3</v>
      </c>
      <c r="D2603" s="1" t="s">
        <v>44</v>
      </c>
      <c r="E2603" s="1" t="s">
        <v>2</v>
      </c>
      <c r="F2603" s="1" t="n">
        <v>0.35</v>
      </c>
      <c r="G2603" s="1" t="n">
        <f aca="false">IF(E2603=E2602,F2603/F2602-1,"")</f>
        <v>0</v>
      </c>
    </row>
    <row r="2604" customFormat="false" ht="14.25" hidden="false" customHeight="true" outlineLevel="0" collapsed="false">
      <c r="A2604" s="26" t="n">
        <v>14702</v>
      </c>
      <c r="B2604" s="1" t="n">
        <v>1940</v>
      </c>
      <c r="C2604" s="1" t="n">
        <v>4</v>
      </c>
      <c r="D2604" s="1" t="s">
        <v>45</v>
      </c>
      <c r="E2604" s="1" t="s">
        <v>2</v>
      </c>
      <c r="F2604" s="1" t="n">
        <v>0.35</v>
      </c>
      <c r="G2604" s="1" t="n">
        <f aca="false">IF(E2604=E2603,F2604/F2603-1,"")</f>
        <v>0</v>
      </c>
    </row>
    <row r="2605" customFormat="false" ht="14.25" hidden="false" customHeight="true" outlineLevel="0" collapsed="false">
      <c r="A2605" s="26" t="n">
        <v>14732</v>
      </c>
      <c r="B2605" s="1" t="n">
        <v>1940</v>
      </c>
      <c r="C2605" s="1" t="n">
        <v>5</v>
      </c>
      <c r="D2605" s="1" t="s">
        <v>46</v>
      </c>
      <c r="E2605" s="1" t="s">
        <v>2</v>
      </c>
      <c r="F2605" s="1" t="n">
        <v>0.35</v>
      </c>
      <c r="G2605" s="1" t="n">
        <f aca="false">IF(E2605=E2604,F2605/F2604-1,"")</f>
        <v>0</v>
      </c>
    </row>
    <row r="2606" customFormat="false" ht="14.25" hidden="false" customHeight="true" outlineLevel="0" collapsed="false">
      <c r="A2606" s="26" t="n">
        <v>14763</v>
      </c>
      <c r="B2606" s="1" t="n">
        <v>1940</v>
      </c>
      <c r="C2606" s="1" t="n">
        <v>6</v>
      </c>
      <c r="D2606" s="1" t="s">
        <v>47</v>
      </c>
      <c r="E2606" s="1" t="s">
        <v>2</v>
      </c>
      <c r="F2606" s="1" t="n">
        <v>0.35</v>
      </c>
      <c r="G2606" s="1" t="n">
        <f aca="false">IF(E2606=E2605,F2606/F2605-1,"")</f>
        <v>0</v>
      </c>
    </row>
    <row r="2607" customFormat="false" ht="14.25" hidden="false" customHeight="true" outlineLevel="0" collapsed="false">
      <c r="A2607" s="26" t="n">
        <v>14793</v>
      </c>
      <c r="B2607" s="1" t="n">
        <v>1940</v>
      </c>
      <c r="C2607" s="1" t="n">
        <v>7</v>
      </c>
      <c r="D2607" s="1" t="s">
        <v>48</v>
      </c>
      <c r="E2607" s="1" t="s">
        <v>2</v>
      </c>
      <c r="F2607" s="1" t="n">
        <v>0.35</v>
      </c>
      <c r="G2607" s="1" t="n">
        <f aca="false">IF(E2607=E2606,F2607/F2606-1,"")</f>
        <v>0</v>
      </c>
    </row>
    <row r="2608" customFormat="false" ht="14.25" hidden="false" customHeight="true" outlineLevel="0" collapsed="false">
      <c r="A2608" s="26" t="n">
        <v>14824</v>
      </c>
      <c r="B2608" s="1" t="n">
        <v>1940</v>
      </c>
      <c r="C2608" s="1" t="n">
        <v>8</v>
      </c>
      <c r="D2608" s="1" t="s">
        <v>49</v>
      </c>
      <c r="E2608" s="1" t="s">
        <v>2</v>
      </c>
      <c r="F2608" s="1" t="n">
        <v>0.35</v>
      </c>
      <c r="G2608" s="1" t="n">
        <f aca="false">IF(E2608=E2607,F2608/F2607-1,"")</f>
        <v>0</v>
      </c>
    </row>
    <row r="2609" customFormat="false" ht="14.25" hidden="false" customHeight="true" outlineLevel="0" collapsed="false">
      <c r="A2609" s="26" t="n">
        <v>14855</v>
      </c>
      <c r="B2609" s="1" t="n">
        <v>1940</v>
      </c>
      <c r="C2609" s="1" t="n">
        <v>9</v>
      </c>
      <c r="D2609" s="1" t="s">
        <v>50</v>
      </c>
      <c r="E2609" s="1" t="s">
        <v>2</v>
      </c>
      <c r="F2609" s="1" t="n">
        <v>0.35</v>
      </c>
      <c r="G2609" s="1" t="n">
        <f aca="false">IF(E2609=E2608,F2609/F2608-1,"")</f>
        <v>0</v>
      </c>
    </row>
    <row r="2610" customFormat="false" ht="14.25" hidden="false" customHeight="true" outlineLevel="0" collapsed="false">
      <c r="A2610" s="26" t="n">
        <v>14885</v>
      </c>
      <c r="B2610" s="1" t="n">
        <v>1940</v>
      </c>
      <c r="C2610" s="1" t="n">
        <v>10</v>
      </c>
      <c r="D2610" s="1" t="s">
        <v>51</v>
      </c>
      <c r="E2610" s="1" t="s">
        <v>2</v>
      </c>
      <c r="F2610" s="1" t="n">
        <v>0.35</v>
      </c>
      <c r="G2610" s="1" t="n">
        <f aca="false">IF(E2610=E2609,F2610/F2609-1,"")</f>
        <v>0</v>
      </c>
    </row>
    <row r="2611" customFormat="false" ht="14.25" hidden="false" customHeight="true" outlineLevel="0" collapsed="false">
      <c r="A2611" s="26" t="n">
        <v>14916</v>
      </c>
      <c r="B2611" s="1" t="n">
        <v>1940</v>
      </c>
      <c r="C2611" s="1" t="n">
        <v>11</v>
      </c>
      <c r="D2611" s="1" t="s">
        <v>52</v>
      </c>
      <c r="E2611" s="1" t="s">
        <v>2</v>
      </c>
      <c r="F2611" s="1" t="n">
        <v>0.35</v>
      </c>
      <c r="G2611" s="1" t="n">
        <f aca="false">IF(E2611=E2610,F2611/F2610-1,"")</f>
        <v>0</v>
      </c>
    </row>
    <row r="2612" customFormat="false" ht="14.25" hidden="false" customHeight="true" outlineLevel="0" collapsed="false">
      <c r="A2612" s="26" t="n">
        <v>14946</v>
      </c>
      <c r="B2612" s="1" t="n">
        <v>1940</v>
      </c>
      <c r="C2612" s="1" t="n">
        <v>12</v>
      </c>
      <c r="D2612" s="1" t="s">
        <v>53</v>
      </c>
      <c r="E2612" s="1" t="s">
        <v>2</v>
      </c>
      <c r="F2612" s="1" t="n">
        <v>0.35</v>
      </c>
      <c r="G2612" s="1" t="n">
        <f aca="false">IF(E2612=E2611,F2612/F2611-1,"")</f>
        <v>0</v>
      </c>
    </row>
    <row r="2613" customFormat="false" ht="14.25" hidden="false" customHeight="true" outlineLevel="0" collapsed="false">
      <c r="A2613" s="26" t="n">
        <v>14977</v>
      </c>
      <c r="B2613" s="1" t="n">
        <v>1941</v>
      </c>
      <c r="C2613" s="1" t="n">
        <v>1</v>
      </c>
      <c r="D2613" s="1" t="s">
        <v>42</v>
      </c>
      <c r="E2613" s="1" t="s">
        <v>2</v>
      </c>
      <c r="F2613" s="1" t="n">
        <v>0.35</v>
      </c>
      <c r="G2613" s="1" t="n">
        <f aca="false">IF(E2613=E2612,F2613/F2612-1,"")</f>
        <v>0</v>
      </c>
    </row>
    <row r="2614" customFormat="false" ht="14.25" hidden="false" customHeight="true" outlineLevel="0" collapsed="false">
      <c r="A2614" s="26" t="n">
        <v>15008</v>
      </c>
      <c r="B2614" s="1" t="n">
        <v>1941</v>
      </c>
      <c r="C2614" s="1" t="n">
        <v>2</v>
      </c>
      <c r="D2614" s="1" t="s">
        <v>43</v>
      </c>
      <c r="E2614" s="1" t="s">
        <v>2</v>
      </c>
      <c r="F2614" s="1" t="n">
        <v>0.35</v>
      </c>
      <c r="G2614" s="1" t="n">
        <f aca="false">IF(E2614=E2613,F2614/F2613-1,"")</f>
        <v>0</v>
      </c>
    </row>
    <row r="2615" customFormat="false" ht="14.25" hidden="false" customHeight="true" outlineLevel="0" collapsed="false">
      <c r="A2615" s="26" t="n">
        <v>15036</v>
      </c>
      <c r="B2615" s="1" t="n">
        <v>1941</v>
      </c>
      <c r="C2615" s="1" t="n">
        <v>3</v>
      </c>
      <c r="D2615" s="1" t="s">
        <v>44</v>
      </c>
      <c r="E2615" s="1" t="s">
        <v>2</v>
      </c>
      <c r="F2615" s="1" t="n">
        <v>0.35</v>
      </c>
      <c r="G2615" s="1" t="n">
        <f aca="false">IF(E2615=E2614,F2615/F2614-1,"")</f>
        <v>0</v>
      </c>
    </row>
    <row r="2616" customFormat="false" ht="14.25" hidden="false" customHeight="true" outlineLevel="0" collapsed="false">
      <c r="A2616" s="26" t="n">
        <v>15067</v>
      </c>
      <c r="B2616" s="1" t="n">
        <v>1941</v>
      </c>
      <c r="C2616" s="1" t="n">
        <v>4</v>
      </c>
      <c r="D2616" s="1" t="s">
        <v>45</v>
      </c>
      <c r="E2616" s="1" t="s">
        <v>2</v>
      </c>
      <c r="F2616" s="1" t="n">
        <v>0.35</v>
      </c>
      <c r="G2616" s="1" t="n">
        <f aca="false">IF(E2616=E2615,F2616/F2615-1,"")</f>
        <v>0</v>
      </c>
    </row>
    <row r="2617" customFormat="false" ht="14.25" hidden="false" customHeight="true" outlineLevel="0" collapsed="false">
      <c r="A2617" s="26" t="n">
        <v>15097</v>
      </c>
      <c r="B2617" s="1" t="n">
        <v>1941</v>
      </c>
      <c r="C2617" s="1" t="n">
        <v>5</v>
      </c>
      <c r="D2617" s="1" t="s">
        <v>46</v>
      </c>
      <c r="E2617" s="1" t="s">
        <v>2</v>
      </c>
      <c r="F2617" s="1" t="n">
        <v>0.35</v>
      </c>
      <c r="G2617" s="1" t="n">
        <f aca="false">IF(E2617=E2616,F2617/F2616-1,"")</f>
        <v>0</v>
      </c>
    </row>
    <row r="2618" customFormat="false" ht="14.25" hidden="false" customHeight="true" outlineLevel="0" collapsed="false">
      <c r="A2618" s="26" t="n">
        <v>15128</v>
      </c>
      <c r="B2618" s="1" t="n">
        <v>1941</v>
      </c>
      <c r="C2618" s="1" t="n">
        <v>6</v>
      </c>
      <c r="D2618" s="1" t="s">
        <v>47</v>
      </c>
      <c r="E2618" s="1" t="s">
        <v>2</v>
      </c>
      <c r="F2618" s="1" t="n">
        <v>0.35</v>
      </c>
      <c r="G2618" s="1" t="n">
        <f aca="false">IF(E2618=E2617,F2618/F2617-1,"")</f>
        <v>0</v>
      </c>
    </row>
    <row r="2619" customFormat="false" ht="14.25" hidden="false" customHeight="true" outlineLevel="0" collapsed="false">
      <c r="A2619" s="26" t="n">
        <v>15158</v>
      </c>
      <c r="B2619" s="1" t="n">
        <v>1941</v>
      </c>
      <c r="C2619" s="1" t="n">
        <v>7</v>
      </c>
      <c r="D2619" s="1" t="s">
        <v>48</v>
      </c>
      <c r="E2619" s="1" t="s">
        <v>2</v>
      </c>
      <c r="F2619" s="1" t="n">
        <v>0.35</v>
      </c>
      <c r="G2619" s="1" t="n">
        <f aca="false">IF(E2619=E2618,F2619/F2618-1,"")</f>
        <v>0</v>
      </c>
    </row>
    <row r="2620" customFormat="false" ht="14.25" hidden="false" customHeight="true" outlineLevel="0" collapsed="false">
      <c r="A2620" s="26" t="n">
        <v>15189</v>
      </c>
      <c r="B2620" s="1" t="n">
        <v>1941</v>
      </c>
      <c r="C2620" s="1" t="n">
        <v>8</v>
      </c>
      <c r="D2620" s="1" t="s">
        <v>49</v>
      </c>
      <c r="E2620" s="1" t="s">
        <v>2</v>
      </c>
      <c r="F2620" s="1" t="n">
        <v>0.35</v>
      </c>
      <c r="G2620" s="1" t="n">
        <f aca="false">IF(E2620=E2619,F2620/F2619-1,"")</f>
        <v>0</v>
      </c>
    </row>
    <row r="2621" customFormat="false" ht="14.25" hidden="false" customHeight="true" outlineLevel="0" collapsed="false">
      <c r="A2621" s="26" t="n">
        <v>15220</v>
      </c>
      <c r="B2621" s="1" t="n">
        <v>1941</v>
      </c>
      <c r="C2621" s="1" t="n">
        <v>9</v>
      </c>
      <c r="D2621" s="1" t="s">
        <v>50</v>
      </c>
      <c r="E2621" s="1" t="s">
        <v>2</v>
      </c>
      <c r="F2621" s="1" t="n">
        <v>0.35</v>
      </c>
      <c r="G2621" s="1" t="n">
        <f aca="false">IF(E2621=E2620,F2621/F2620-1,"")</f>
        <v>0</v>
      </c>
    </row>
    <row r="2622" customFormat="false" ht="14.25" hidden="false" customHeight="true" outlineLevel="0" collapsed="false">
      <c r="A2622" s="26" t="n">
        <v>15250</v>
      </c>
      <c r="B2622" s="1" t="n">
        <v>1941</v>
      </c>
      <c r="C2622" s="1" t="n">
        <v>10</v>
      </c>
      <c r="D2622" s="1" t="s">
        <v>51</v>
      </c>
      <c r="E2622" s="1" t="s">
        <v>2</v>
      </c>
      <c r="F2622" s="1" t="n">
        <v>0.35</v>
      </c>
      <c r="G2622" s="1" t="n">
        <f aca="false">IF(E2622=E2621,F2622/F2621-1,"")</f>
        <v>0</v>
      </c>
    </row>
    <row r="2623" customFormat="false" ht="14.25" hidden="false" customHeight="true" outlineLevel="0" collapsed="false">
      <c r="A2623" s="26" t="n">
        <v>15281</v>
      </c>
      <c r="B2623" s="1" t="n">
        <v>1941</v>
      </c>
      <c r="C2623" s="1" t="n">
        <v>11</v>
      </c>
      <c r="D2623" s="1" t="s">
        <v>52</v>
      </c>
      <c r="E2623" s="1" t="s">
        <v>2</v>
      </c>
      <c r="F2623" s="1" t="n">
        <v>0.35</v>
      </c>
      <c r="G2623" s="1" t="n">
        <f aca="false">IF(E2623=E2622,F2623/F2622-1,"")</f>
        <v>0</v>
      </c>
    </row>
    <row r="2624" customFormat="false" ht="14.25" hidden="false" customHeight="true" outlineLevel="0" collapsed="false">
      <c r="A2624" s="26" t="n">
        <v>15311</v>
      </c>
      <c r="B2624" s="1" t="n">
        <v>1941</v>
      </c>
      <c r="C2624" s="1" t="n">
        <v>12</v>
      </c>
      <c r="D2624" s="1" t="s">
        <v>53</v>
      </c>
      <c r="E2624" s="1" t="s">
        <v>2</v>
      </c>
      <c r="F2624" s="1" t="n">
        <v>0.35</v>
      </c>
      <c r="G2624" s="1" t="n">
        <f aca="false">IF(E2624=E2623,F2624/F2623-1,"")</f>
        <v>0</v>
      </c>
    </row>
    <row r="2625" customFormat="false" ht="14.25" hidden="false" customHeight="true" outlineLevel="0" collapsed="false">
      <c r="A2625" s="26" t="n">
        <v>15342</v>
      </c>
      <c r="B2625" s="1" t="n">
        <v>1942</v>
      </c>
      <c r="C2625" s="1" t="n">
        <v>1</v>
      </c>
      <c r="D2625" s="1" t="s">
        <v>42</v>
      </c>
      <c r="E2625" s="1" t="s">
        <v>2</v>
      </c>
      <c r="F2625" s="1" t="n">
        <v>0.38</v>
      </c>
      <c r="G2625" s="1" t="n">
        <f aca="false">IF(E2625=E2624,F2625/F2624-1,"")</f>
        <v>0.0857142857142859</v>
      </c>
    </row>
    <row r="2626" customFormat="false" ht="14.25" hidden="false" customHeight="true" outlineLevel="0" collapsed="false">
      <c r="A2626" s="26" t="n">
        <v>15373</v>
      </c>
      <c r="B2626" s="1" t="n">
        <v>1942</v>
      </c>
      <c r="C2626" s="1" t="n">
        <v>2</v>
      </c>
      <c r="D2626" s="1" t="s">
        <v>43</v>
      </c>
      <c r="E2626" s="1" t="s">
        <v>2</v>
      </c>
      <c r="F2626" s="1" t="n">
        <v>0.38</v>
      </c>
      <c r="G2626" s="1" t="n">
        <f aca="false">IF(E2626=E2625,F2626/F2625-1,"")</f>
        <v>0</v>
      </c>
    </row>
    <row r="2627" customFormat="false" ht="14.25" hidden="false" customHeight="true" outlineLevel="0" collapsed="false">
      <c r="A2627" s="26" t="n">
        <v>15401</v>
      </c>
      <c r="B2627" s="1" t="n">
        <v>1942</v>
      </c>
      <c r="C2627" s="1" t="n">
        <v>3</v>
      </c>
      <c r="D2627" s="1" t="s">
        <v>44</v>
      </c>
      <c r="E2627" s="1" t="s">
        <v>2</v>
      </c>
      <c r="F2627" s="1" t="n">
        <v>0.38</v>
      </c>
      <c r="G2627" s="1" t="n">
        <f aca="false">IF(E2627=E2626,F2627/F2626-1,"")</f>
        <v>0</v>
      </c>
    </row>
    <row r="2628" customFormat="false" ht="14.25" hidden="false" customHeight="true" outlineLevel="0" collapsed="false">
      <c r="A2628" s="26" t="n">
        <v>15432</v>
      </c>
      <c r="B2628" s="1" t="n">
        <v>1942</v>
      </c>
      <c r="C2628" s="1" t="n">
        <v>4</v>
      </c>
      <c r="D2628" s="1" t="s">
        <v>45</v>
      </c>
      <c r="E2628" s="1" t="s">
        <v>2</v>
      </c>
      <c r="F2628" s="1" t="n">
        <v>0.38</v>
      </c>
      <c r="G2628" s="1" t="n">
        <f aca="false">IF(E2628=E2627,F2628/F2627-1,"")</f>
        <v>0</v>
      </c>
    </row>
    <row r="2629" customFormat="false" ht="14.25" hidden="false" customHeight="true" outlineLevel="0" collapsed="false">
      <c r="A2629" s="26" t="n">
        <v>15462</v>
      </c>
      <c r="B2629" s="1" t="n">
        <v>1942</v>
      </c>
      <c r="C2629" s="1" t="n">
        <v>5</v>
      </c>
      <c r="D2629" s="1" t="s">
        <v>46</v>
      </c>
      <c r="E2629" s="1" t="s">
        <v>2</v>
      </c>
      <c r="F2629" s="1" t="n">
        <v>0.38</v>
      </c>
      <c r="G2629" s="1" t="n">
        <f aca="false">IF(E2629=E2628,F2629/F2628-1,"")</f>
        <v>0</v>
      </c>
    </row>
    <row r="2630" customFormat="false" ht="14.25" hidden="false" customHeight="true" outlineLevel="0" collapsed="false">
      <c r="A2630" s="26" t="n">
        <v>15493</v>
      </c>
      <c r="B2630" s="1" t="n">
        <v>1942</v>
      </c>
      <c r="C2630" s="1" t="n">
        <v>6</v>
      </c>
      <c r="D2630" s="1" t="s">
        <v>47</v>
      </c>
      <c r="E2630" s="1" t="s">
        <v>2</v>
      </c>
      <c r="F2630" s="1" t="n">
        <v>0.38</v>
      </c>
      <c r="G2630" s="1" t="n">
        <f aca="false">IF(E2630=E2629,F2630/F2629-1,"")</f>
        <v>0</v>
      </c>
    </row>
    <row r="2631" customFormat="false" ht="14.25" hidden="false" customHeight="true" outlineLevel="0" collapsed="false">
      <c r="A2631" s="26" t="n">
        <v>15523</v>
      </c>
      <c r="B2631" s="1" t="n">
        <v>1942</v>
      </c>
      <c r="C2631" s="1" t="n">
        <v>7</v>
      </c>
      <c r="D2631" s="1" t="s">
        <v>48</v>
      </c>
      <c r="E2631" s="1" t="s">
        <v>2</v>
      </c>
      <c r="F2631" s="1" t="n">
        <v>0.38</v>
      </c>
      <c r="G2631" s="1" t="n">
        <f aca="false">IF(E2631=E2630,F2631/F2630-1,"")</f>
        <v>0</v>
      </c>
    </row>
    <row r="2632" customFormat="false" ht="14.25" hidden="false" customHeight="true" outlineLevel="0" collapsed="false">
      <c r="A2632" s="26" t="n">
        <v>15554</v>
      </c>
      <c r="B2632" s="1" t="n">
        <v>1942</v>
      </c>
      <c r="C2632" s="1" t="n">
        <v>8</v>
      </c>
      <c r="D2632" s="1" t="s">
        <v>49</v>
      </c>
      <c r="E2632" s="1" t="s">
        <v>2</v>
      </c>
      <c r="F2632" s="1" t="n">
        <v>0.38</v>
      </c>
      <c r="G2632" s="1" t="n">
        <f aca="false">IF(E2632=E2631,F2632/F2631-1,"")</f>
        <v>0</v>
      </c>
    </row>
    <row r="2633" customFormat="false" ht="14.25" hidden="false" customHeight="true" outlineLevel="0" collapsed="false">
      <c r="A2633" s="26" t="n">
        <v>15585</v>
      </c>
      <c r="B2633" s="1" t="n">
        <v>1942</v>
      </c>
      <c r="C2633" s="1" t="n">
        <v>9</v>
      </c>
      <c r="D2633" s="1" t="s">
        <v>50</v>
      </c>
      <c r="E2633" s="1" t="s">
        <v>2</v>
      </c>
      <c r="F2633" s="1" t="n">
        <v>0.38</v>
      </c>
      <c r="G2633" s="1" t="n">
        <f aca="false">IF(E2633=E2632,F2633/F2632-1,"")</f>
        <v>0</v>
      </c>
    </row>
    <row r="2634" customFormat="false" ht="14.25" hidden="false" customHeight="true" outlineLevel="0" collapsed="false">
      <c r="A2634" s="26" t="n">
        <v>15615</v>
      </c>
      <c r="B2634" s="1" t="n">
        <v>1942</v>
      </c>
      <c r="C2634" s="1" t="n">
        <v>10</v>
      </c>
      <c r="D2634" s="1" t="s">
        <v>51</v>
      </c>
      <c r="E2634" s="1" t="s">
        <v>2</v>
      </c>
      <c r="F2634" s="1" t="n">
        <v>0.38</v>
      </c>
      <c r="G2634" s="1" t="n">
        <f aca="false">IF(E2634=E2633,F2634/F2633-1,"")</f>
        <v>0</v>
      </c>
    </row>
    <row r="2635" customFormat="false" ht="14.25" hidden="false" customHeight="true" outlineLevel="0" collapsed="false">
      <c r="A2635" s="26" t="n">
        <v>15646</v>
      </c>
      <c r="B2635" s="1" t="n">
        <v>1942</v>
      </c>
      <c r="C2635" s="1" t="n">
        <v>11</v>
      </c>
      <c r="D2635" s="1" t="s">
        <v>52</v>
      </c>
      <c r="E2635" s="1" t="s">
        <v>2</v>
      </c>
      <c r="F2635" s="1" t="n">
        <v>0.38</v>
      </c>
      <c r="G2635" s="1" t="n">
        <f aca="false">IF(E2635=E2634,F2635/F2634-1,"")</f>
        <v>0</v>
      </c>
    </row>
    <row r="2636" customFormat="false" ht="14.25" hidden="false" customHeight="true" outlineLevel="0" collapsed="false">
      <c r="A2636" s="26" t="n">
        <v>15676</v>
      </c>
      <c r="B2636" s="1" t="n">
        <v>1942</v>
      </c>
      <c r="C2636" s="1" t="n">
        <v>12</v>
      </c>
      <c r="D2636" s="1" t="s">
        <v>53</v>
      </c>
      <c r="E2636" s="1" t="s">
        <v>2</v>
      </c>
      <c r="F2636" s="1" t="n">
        <v>0.38</v>
      </c>
      <c r="G2636" s="1" t="n">
        <f aca="false">IF(E2636=E2635,F2636/F2635-1,"")</f>
        <v>0</v>
      </c>
    </row>
    <row r="2637" customFormat="false" ht="14.25" hidden="false" customHeight="true" outlineLevel="0" collapsed="false">
      <c r="A2637" s="26" t="n">
        <v>15707</v>
      </c>
      <c r="B2637" s="1" t="n">
        <v>1943</v>
      </c>
      <c r="C2637" s="1" t="n">
        <v>1</v>
      </c>
      <c r="D2637" s="1" t="s">
        <v>42</v>
      </c>
      <c r="E2637" s="1" t="s">
        <v>2</v>
      </c>
      <c r="F2637" s="1" t="n">
        <v>0.45</v>
      </c>
      <c r="G2637" s="1" t="n">
        <f aca="false">IF(E2637=E2636,F2637/F2636-1,"")</f>
        <v>0.184210526315789</v>
      </c>
    </row>
    <row r="2638" customFormat="false" ht="14.25" hidden="false" customHeight="true" outlineLevel="0" collapsed="false">
      <c r="A2638" s="26" t="n">
        <v>15738</v>
      </c>
      <c r="B2638" s="1" t="n">
        <v>1943</v>
      </c>
      <c r="C2638" s="1" t="n">
        <v>2</v>
      </c>
      <c r="D2638" s="1" t="s">
        <v>43</v>
      </c>
      <c r="E2638" s="1" t="s">
        <v>2</v>
      </c>
      <c r="F2638" s="1" t="n">
        <v>0.45</v>
      </c>
      <c r="G2638" s="1" t="n">
        <f aca="false">IF(E2638=E2637,F2638/F2637-1,"")</f>
        <v>0</v>
      </c>
    </row>
    <row r="2639" customFormat="false" ht="14.25" hidden="false" customHeight="true" outlineLevel="0" collapsed="false">
      <c r="A2639" s="26" t="n">
        <v>15766</v>
      </c>
      <c r="B2639" s="1" t="n">
        <v>1943</v>
      </c>
      <c r="C2639" s="1" t="n">
        <v>3</v>
      </c>
      <c r="D2639" s="1" t="s">
        <v>44</v>
      </c>
      <c r="E2639" s="1" t="s">
        <v>2</v>
      </c>
      <c r="F2639" s="1" t="n">
        <v>0.45</v>
      </c>
      <c r="G2639" s="1" t="n">
        <f aca="false">IF(E2639=E2638,F2639/F2638-1,"")</f>
        <v>0</v>
      </c>
    </row>
    <row r="2640" customFormat="false" ht="14.25" hidden="false" customHeight="true" outlineLevel="0" collapsed="false">
      <c r="A2640" s="26" t="n">
        <v>15797</v>
      </c>
      <c r="B2640" s="1" t="n">
        <v>1943</v>
      </c>
      <c r="C2640" s="1" t="n">
        <v>4</v>
      </c>
      <c r="D2640" s="1" t="s">
        <v>45</v>
      </c>
      <c r="E2640" s="1" t="s">
        <v>2</v>
      </c>
      <c r="F2640" s="1" t="n">
        <v>0.45</v>
      </c>
      <c r="G2640" s="1" t="n">
        <f aca="false">IF(E2640=E2639,F2640/F2639-1,"")</f>
        <v>0</v>
      </c>
    </row>
    <row r="2641" customFormat="false" ht="14.25" hidden="false" customHeight="true" outlineLevel="0" collapsed="false">
      <c r="A2641" s="26" t="n">
        <v>15827</v>
      </c>
      <c r="B2641" s="1" t="n">
        <v>1943</v>
      </c>
      <c r="C2641" s="1" t="n">
        <v>5</v>
      </c>
      <c r="D2641" s="1" t="s">
        <v>46</v>
      </c>
      <c r="E2641" s="1" t="s">
        <v>2</v>
      </c>
      <c r="F2641" s="1" t="n">
        <v>0.45</v>
      </c>
      <c r="G2641" s="1" t="n">
        <f aca="false">IF(E2641=E2640,F2641/F2640-1,"")</f>
        <v>0</v>
      </c>
    </row>
    <row r="2642" customFormat="false" ht="14.25" hidden="false" customHeight="true" outlineLevel="0" collapsed="false">
      <c r="A2642" s="26" t="n">
        <v>15858</v>
      </c>
      <c r="B2642" s="1" t="n">
        <v>1943</v>
      </c>
      <c r="C2642" s="1" t="n">
        <v>6</v>
      </c>
      <c r="D2642" s="1" t="s">
        <v>47</v>
      </c>
      <c r="E2642" s="1" t="s">
        <v>2</v>
      </c>
      <c r="F2642" s="1" t="n">
        <v>0.45</v>
      </c>
      <c r="G2642" s="1" t="n">
        <f aca="false">IF(E2642=E2641,F2642/F2641-1,"")</f>
        <v>0</v>
      </c>
    </row>
    <row r="2643" customFormat="false" ht="14.25" hidden="false" customHeight="true" outlineLevel="0" collapsed="false">
      <c r="A2643" s="26" t="n">
        <v>15888</v>
      </c>
      <c r="B2643" s="1" t="n">
        <v>1943</v>
      </c>
      <c r="C2643" s="1" t="n">
        <v>7</v>
      </c>
      <c r="D2643" s="1" t="s">
        <v>48</v>
      </c>
      <c r="E2643" s="1" t="s">
        <v>2</v>
      </c>
      <c r="F2643" s="1" t="n">
        <v>0.45</v>
      </c>
      <c r="G2643" s="1" t="n">
        <f aca="false">IF(E2643=E2642,F2643/F2642-1,"")</f>
        <v>0</v>
      </c>
    </row>
    <row r="2644" customFormat="false" ht="14.25" hidden="false" customHeight="true" outlineLevel="0" collapsed="false">
      <c r="A2644" s="26" t="n">
        <v>15919</v>
      </c>
      <c r="B2644" s="1" t="n">
        <v>1943</v>
      </c>
      <c r="C2644" s="1" t="n">
        <v>8</v>
      </c>
      <c r="D2644" s="1" t="s">
        <v>49</v>
      </c>
      <c r="E2644" s="1" t="s">
        <v>2</v>
      </c>
      <c r="F2644" s="1" t="n">
        <v>0.45</v>
      </c>
      <c r="G2644" s="1" t="n">
        <f aca="false">IF(E2644=E2643,F2644/F2643-1,"")</f>
        <v>0</v>
      </c>
    </row>
    <row r="2645" customFormat="false" ht="14.25" hidden="false" customHeight="true" outlineLevel="0" collapsed="false">
      <c r="A2645" s="26" t="n">
        <v>15950</v>
      </c>
      <c r="B2645" s="1" t="n">
        <v>1943</v>
      </c>
      <c r="C2645" s="1" t="n">
        <v>9</v>
      </c>
      <c r="D2645" s="1" t="s">
        <v>50</v>
      </c>
      <c r="E2645" s="1" t="s">
        <v>2</v>
      </c>
      <c r="F2645" s="1" t="n">
        <v>0.45</v>
      </c>
      <c r="G2645" s="1" t="n">
        <f aca="false">IF(E2645=E2644,F2645/F2644-1,"")</f>
        <v>0</v>
      </c>
    </row>
    <row r="2646" customFormat="false" ht="14.25" hidden="false" customHeight="true" outlineLevel="0" collapsed="false">
      <c r="A2646" s="26" t="n">
        <v>15980</v>
      </c>
      <c r="B2646" s="1" t="n">
        <v>1943</v>
      </c>
      <c r="C2646" s="1" t="n">
        <v>10</v>
      </c>
      <c r="D2646" s="1" t="s">
        <v>51</v>
      </c>
      <c r="E2646" s="1" t="s">
        <v>2</v>
      </c>
      <c r="F2646" s="1" t="n">
        <v>0.45</v>
      </c>
      <c r="G2646" s="1" t="n">
        <f aca="false">IF(E2646=E2645,F2646/F2645-1,"")</f>
        <v>0</v>
      </c>
    </row>
    <row r="2647" customFormat="false" ht="14.25" hidden="false" customHeight="true" outlineLevel="0" collapsed="false">
      <c r="A2647" s="26" t="n">
        <v>16011</v>
      </c>
      <c r="B2647" s="1" t="n">
        <v>1943</v>
      </c>
      <c r="C2647" s="1" t="n">
        <v>11</v>
      </c>
      <c r="D2647" s="1" t="s">
        <v>52</v>
      </c>
      <c r="E2647" s="1" t="s">
        <v>2</v>
      </c>
      <c r="F2647" s="1" t="n">
        <v>0.45</v>
      </c>
      <c r="G2647" s="1" t="n">
        <f aca="false">IF(E2647=E2646,F2647/F2646-1,"")</f>
        <v>0</v>
      </c>
    </row>
    <row r="2648" customFormat="false" ht="14.25" hidden="false" customHeight="true" outlineLevel="0" collapsed="false">
      <c r="A2648" s="26" t="n">
        <v>16041</v>
      </c>
      <c r="B2648" s="1" t="n">
        <v>1943</v>
      </c>
      <c r="C2648" s="1" t="n">
        <v>12</v>
      </c>
      <c r="D2648" s="1" t="s">
        <v>53</v>
      </c>
      <c r="E2648" s="1" t="s">
        <v>2</v>
      </c>
      <c r="F2648" s="1" t="n">
        <v>0.45</v>
      </c>
      <c r="G2648" s="1" t="n">
        <f aca="false">IF(E2648=E2647,F2648/F2647-1,"")</f>
        <v>0</v>
      </c>
    </row>
    <row r="2649" customFormat="false" ht="14.25" hidden="false" customHeight="true" outlineLevel="0" collapsed="false">
      <c r="A2649" s="26" t="n">
        <v>16072</v>
      </c>
      <c r="B2649" s="1" t="n">
        <v>1944</v>
      </c>
      <c r="C2649" s="1" t="n">
        <v>1</v>
      </c>
      <c r="D2649" s="1" t="s">
        <v>42</v>
      </c>
      <c r="E2649" s="1" t="s">
        <v>2</v>
      </c>
      <c r="F2649" s="1" t="n">
        <v>0.45</v>
      </c>
      <c r="G2649" s="1" t="n">
        <f aca="false">IF(E2649=E2648,F2649/F2648-1,"")</f>
        <v>0</v>
      </c>
    </row>
    <row r="2650" customFormat="false" ht="14.25" hidden="false" customHeight="true" outlineLevel="0" collapsed="false">
      <c r="A2650" s="26" t="n">
        <v>16103</v>
      </c>
      <c r="B2650" s="1" t="n">
        <v>1944</v>
      </c>
      <c r="C2650" s="1" t="n">
        <v>2</v>
      </c>
      <c r="D2650" s="1" t="s">
        <v>43</v>
      </c>
      <c r="E2650" s="1" t="s">
        <v>2</v>
      </c>
      <c r="F2650" s="1" t="n">
        <v>0.45</v>
      </c>
      <c r="G2650" s="1" t="n">
        <f aca="false">IF(E2650=E2649,F2650/F2649-1,"")</f>
        <v>0</v>
      </c>
    </row>
    <row r="2651" customFormat="false" ht="14.25" hidden="false" customHeight="true" outlineLevel="0" collapsed="false">
      <c r="A2651" s="26" t="n">
        <v>16132</v>
      </c>
      <c r="B2651" s="1" t="n">
        <v>1944</v>
      </c>
      <c r="C2651" s="1" t="n">
        <v>3</v>
      </c>
      <c r="D2651" s="1" t="s">
        <v>44</v>
      </c>
      <c r="E2651" s="1" t="s">
        <v>2</v>
      </c>
      <c r="F2651" s="1" t="n">
        <v>0.45</v>
      </c>
      <c r="G2651" s="1" t="n">
        <f aca="false">IF(E2651=E2650,F2651/F2650-1,"")</f>
        <v>0</v>
      </c>
    </row>
    <row r="2652" customFormat="false" ht="14.25" hidden="false" customHeight="true" outlineLevel="0" collapsed="false">
      <c r="A2652" s="26" t="n">
        <v>16163</v>
      </c>
      <c r="B2652" s="1" t="n">
        <v>1944</v>
      </c>
      <c r="C2652" s="1" t="n">
        <v>4</v>
      </c>
      <c r="D2652" s="1" t="s">
        <v>45</v>
      </c>
      <c r="E2652" s="1" t="s">
        <v>2</v>
      </c>
      <c r="F2652" s="1" t="n">
        <v>0.45</v>
      </c>
      <c r="G2652" s="1" t="n">
        <f aca="false">IF(E2652=E2651,F2652/F2651-1,"")</f>
        <v>0</v>
      </c>
    </row>
    <row r="2653" customFormat="false" ht="14.25" hidden="false" customHeight="true" outlineLevel="0" collapsed="false">
      <c r="A2653" s="26" t="n">
        <v>16193</v>
      </c>
      <c r="B2653" s="1" t="n">
        <v>1944</v>
      </c>
      <c r="C2653" s="1" t="n">
        <v>5</v>
      </c>
      <c r="D2653" s="1" t="s">
        <v>46</v>
      </c>
      <c r="E2653" s="1" t="s">
        <v>2</v>
      </c>
      <c r="F2653" s="1" t="n">
        <v>0.45</v>
      </c>
      <c r="G2653" s="1" t="n">
        <f aca="false">IF(E2653=E2652,F2653/F2652-1,"")</f>
        <v>0</v>
      </c>
    </row>
    <row r="2654" customFormat="false" ht="14.25" hidden="false" customHeight="true" outlineLevel="0" collapsed="false">
      <c r="A2654" s="26" t="n">
        <v>16224</v>
      </c>
      <c r="B2654" s="1" t="n">
        <v>1944</v>
      </c>
      <c r="C2654" s="1" t="n">
        <v>6</v>
      </c>
      <c r="D2654" s="1" t="s">
        <v>47</v>
      </c>
      <c r="E2654" s="1" t="s">
        <v>2</v>
      </c>
      <c r="F2654" s="1" t="n">
        <v>0.45</v>
      </c>
      <c r="G2654" s="1" t="n">
        <f aca="false">IF(E2654=E2653,F2654/F2653-1,"")</f>
        <v>0</v>
      </c>
    </row>
    <row r="2655" customFormat="false" ht="14.25" hidden="false" customHeight="true" outlineLevel="0" collapsed="false">
      <c r="A2655" s="26" t="n">
        <v>16254</v>
      </c>
      <c r="B2655" s="1" t="n">
        <v>1944</v>
      </c>
      <c r="C2655" s="1" t="n">
        <v>7</v>
      </c>
      <c r="D2655" s="1" t="s">
        <v>48</v>
      </c>
      <c r="E2655" s="1" t="s">
        <v>2</v>
      </c>
      <c r="F2655" s="1" t="n">
        <v>0.45</v>
      </c>
      <c r="G2655" s="1" t="n">
        <f aca="false">IF(E2655=E2654,F2655/F2654-1,"")</f>
        <v>0</v>
      </c>
    </row>
    <row r="2656" customFormat="false" ht="14.25" hidden="false" customHeight="true" outlineLevel="0" collapsed="false">
      <c r="A2656" s="26" t="n">
        <v>16285</v>
      </c>
      <c r="B2656" s="1" t="n">
        <v>1944</v>
      </c>
      <c r="C2656" s="1" t="n">
        <v>8</v>
      </c>
      <c r="D2656" s="1" t="s">
        <v>49</v>
      </c>
      <c r="E2656" s="1" t="s">
        <v>2</v>
      </c>
      <c r="F2656" s="1" t="n">
        <v>0.45</v>
      </c>
      <c r="G2656" s="1" t="n">
        <f aca="false">IF(E2656=E2655,F2656/F2655-1,"")</f>
        <v>0</v>
      </c>
    </row>
    <row r="2657" customFormat="false" ht="14.25" hidden="false" customHeight="true" outlineLevel="0" collapsed="false">
      <c r="A2657" s="26" t="n">
        <v>16316</v>
      </c>
      <c r="B2657" s="1" t="n">
        <v>1944</v>
      </c>
      <c r="C2657" s="1" t="n">
        <v>9</v>
      </c>
      <c r="D2657" s="1" t="s">
        <v>50</v>
      </c>
      <c r="E2657" s="1" t="s">
        <v>2</v>
      </c>
      <c r="F2657" s="1" t="n">
        <v>0.45</v>
      </c>
      <c r="G2657" s="1" t="n">
        <f aca="false">IF(E2657=E2656,F2657/F2656-1,"")</f>
        <v>0</v>
      </c>
    </row>
    <row r="2658" customFormat="false" ht="14.25" hidden="false" customHeight="true" outlineLevel="0" collapsed="false">
      <c r="A2658" s="26" t="n">
        <v>16346</v>
      </c>
      <c r="B2658" s="1" t="n">
        <v>1944</v>
      </c>
      <c r="C2658" s="1" t="n">
        <v>10</v>
      </c>
      <c r="D2658" s="1" t="s">
        <v>51</v>
      </c>
      <c r="E2658" s="1" t="s">
        <v>2</v>
      </c>
      <c r="F2658" s="1" t="n">
        <v>0.45</v>
      </c>
      <c r="G2658" s="1" t="n">
        <f aca="false">IF(E2658=E2657,F2658/F2657-1,"")</f>
        <v>0</v>
      </c>
    </row>
    <row r="2659" customFormat="false" ht="14.25" hidden="false" customHeight="true" outlineLevel="0" collapsed="false">
      <c r="A2659" s="26" t="n">
        <v>16377</v>
      </c>
      <c r="B2659" s="1" t="n">
        <v>1944</v>
      </c>
      <c r="C2659" s="1" t="n">
        <v>11</v>
      </c>
      <c r="D2659" s="1" t="s">
        <v>52</v>
      </c>
      <c r="E2659" s="1" t="s">
        <v>2</v>
      </c>
      <c r="F2659" s="1" t="n">
        <v>0.45</v>
      </c>
      <c r="G2659" s="1" t="n">
        <f aca="false">IF(E2659=E2658,F2659/F2658-1,"")</f>
        <v>0</v>
      </c>
    </row>
    <row r="2660" customFormat="false" ht="14.25" hidden="false" customHeight="true" outlineLevel="0" collapsed="false">
      <c r="A2660" s="26" t="n">
        <v>16407</v>
      </c>
      <c r="B2660" s="1" t="n">
        <v>1944</v>
      </c>
      <c r="C2660" s="1" t="n">
        <v>12</v>
      </c>
      <c r="D2660" s="1" t="s">
        <v>53</v>
      </c>
      <c r="E2660" s="1" t="s">
        <v>2</v>
      </c>
      <c r="F2660" s="1" t="n">
        <v>0.45</v>
      </c>
      <c r="G2660" s="1" t="n">
        <f aca="false">IF(E2660=E2659,F2660/F2659-1,"")</f>
        <v>0</v>
      </c>
    </row>
    <row r="2661" customFormat="false" ht="14.25" hidden="false" customHeight="true" outlineLevel="0" collapsed="false">
      <c r="A2661" s="26" t="n">
        <v>16438</v>
      </c>
      <c r="B2661" s="1" t="n">
        <v>1945</v>
      </c>
      <c r="C2661" s="1" t="n">
        <v>1</v>
      </c>
      <c r="D2661" s="1" t="s">
        <v>42</v>
      </c>
      <c r="E2661" s="1" t="s">
        <v>2</v>
      </c>
      <c r="F2661" s="1" t="n">
        <v>0.52</v>
      </c>
      <c r="G2661" s="1" t="n">
        <f aca="false">IF(E2661=E2660,F2661/F2660-1,"")</f>
        <v>0.155555555555556</v>
      </c>
    </row>
    <row r="2662" customFormat="false" ht="14.25" hidden="false" customHeight="true" outlineLevel="0" collapsed="false">
      <c r="A2662" s="26" t="n">
        <v>16469</v>
      </c>
      <c r="B2662" s="1" t="n">
        <v>1945</v>
      </c>
      <c r="C2662" s="1" t="n">
        <v>2</v>
      </c>
      <c r="D2662" s="1" t="s">
        <v>43</v>
      </c>
      <c r="E2662" s="1" t="s">
        <v>2</v>
      </c>
      <c r="F2662" s="1" t="n">
        <v>0.52</v>
      </c>
      <c r="G2662" s="1" t="n">
        <f aca="false">IF(E2662=E2661,F2662/F2661-1,"")</f>
        <v>0</v>
      </c>
    </row>
    <row r="2663" customFormat="false" ht="14.25" hidden="false" customHeight="true" outlineLevel="0" collapsed="false">
      <c r="A2663" s="26" t="n">
        <v>16497</v>
      </c>
      <c r="B2663" s="1" t="n">
        <v>1945</v>
      </c>
      <c r="C2663" s="1" t="n">
        <v>3</v>
      </c>
      <c r="D2663" s="1" t="s">
        <v>44</v>
      </c>
      <c r="E2663" s="1" t="s">
        <v>2</v>
      </c>
      <c r="F2663" s="1" t="n">
        <v>0.52</v>
      </c>
      <c r="G2663" s="1" t="n">
        <f aca="false">IF(E2663=E2662,F2663/F2662-1,"")</f>
        <v>0</v>
      </c>
    </row>
    <row r="2664" customFormat="false" ht="14.25" hidden="false" customHeight="true" outlineLevel="0" collapsed="false">
      <c r="A2664" s="26" t="n">
        <v>16528</v>
      </c>
      <c r="B2664" s="1" t="n">
        <v>1945</v>
      </c>
      <c r="C2664" s="1" t="n">
        <v>4</v>
      </c>
      <c r="D2664" s="1" t="s">
        <v>45</v>
      </c>
      <c r="E2664" s="1" t="s">
        <v>2</v>
      </c>
      <c r="F2664" s="1" t="n">
        <v>0.52</v>
      </c>
      <c r="G2664" s="1" t="n">
        <f aca="false">IF(E2664=E2663,F2664/F2663-1,"")</f>
        <v>0</v>
      </c>
    </row>
    <row r="2665" customFormat="false" ht="14.25" hidden="false" customHeight="true" outlineLevel="0" collapsed="false">
      <c r="A2665" s="26" t="n">
        <v>16558</v>
      </c>
      <c r="B2665" s="1" t="n">
        <v>1945</v>
      </c>
      <c r="C2665" s="1" t="n">
        <v>5</v>
      </c>
      <c r="D2665" s="1" t="s">
        <v>46</v>
      </c>
      <c r="E2665" s="1" t="s">
        <v>2</v>
      </c>
      <c r="F2665" s="1" t="n">
        <v>0.52</v>
      </c>
      <c r="G2665" s="1" t="n">
        <f aca="false">IF(E2665=E2664,F2665/F2664-1,"")</f>
        <v>0</v>
      </c>
    </row>
    <row r="2666" customFormat="false" ht="14.25" hidden="false" customHeight="true" outlineLevel="0" collapsed="false">
      <c r="A2666" s="26" t="n">
        <v>16589</v>
      </c>
      <c r="B2666" s="1" t="n">
        <v>1945</v>
      </c>
      <c r="C2666" s="1" t="n">
        <v>6</v>
      </c>
      <c r="D2666" s="1" t="s">
        <v>47</v>
      </c>
      <c r="E2666" s="1" t="s">
        <v>2</v>
      </c>
      <c r="F2666" s="1" t="n">
        <v>0.52</v>
      </c>
      <c r="G2666" s="1" t="n">
        <f aca="false">IF(E2666=E2665,F2666/F2665-1,"")</f>
        <v>0</v>
      </c>
    </row>
    <row r="2667" customFormat="false" ht="14.25" hidden="false" customHeight="true" outlineLevel="0" collapsed="false">
      <c r="A2667" s="26" t="n">
        <v>16619</v>
      </c>
      <c r="B2667" s="1" t="n">
        <v>1945</v>
      </c>
      <c r="C2667" s="1" t="n">
        <v>7</v>
      </c>
      <c r="D2667" s="1" t="s">
        <v>48</v>
      </c>
      <c r="E2667" s="1" t="s">
        <v>2</v>
      </c>
      <c r="F2667" s="1" t="n">
        <v>0.52</v>
      </c>
      <c r="G2667" s="1" t="n">
        <f aca="false">IF(E2667=E2666,F2667/F2666-1,"")</f>
        <v>0</v>
      </c>
    </row>
    <row r="2668" customFormat="false" ht="14.25" hidden="false" customHeight="true" outlineLevel="0" collapsed="false">
      <c r="A2668" s="26" t="n">
        <v>16650</v>
      </c>
      <c r="B2668" s="1" t="n">
        <v>1945</v>
      </c>
      <c r="C2668" s="1" t="n">
        <v>8</v>
      </c>
      <c r="D2668" s="1" t="s">
        <v>49</v>
      </c>
      <c r="E2668" s="1" t="s">
        <v>2</v>
      </c>
      <c r="F2668" s="1" t="n">
        <v>0.52</v>
      </c>
      <c r="G2668" s="1" t="n">
        <f aca="false">IF(E2668=E2667,F2668/F2667-1,"")</f>
        <v>0</v>
      </c>
    </row>
    <row r="2669" customFormat="false" ht="14.25" hidden="false" customHeight="true" outlineLevel="0" collapsed="false">
      <c r="A2669" s="26" t="n">
        <v>16681</v>
      </c>
      <c r="B2669" s="1" t="n">
        <v>1945</v>
      </c>
      <c r="C2669" s="1" t="n">
        <v>9</v>
      </c>
      <c r="D2669" s="1" t="s">
        <v>50</v>
      </c>
      <c r="E2669" s="1" t="s">
        <v>2</v>
      </c>
      <c r="F2669" s="1" t="n">
        <v>0.52</v>
      </c>
      <c r="G2669" s="1" t="n">
        <f aca="false">IF(E2669=E2668,F2669/F2668-1,"")</f>
        <v>0</v>
      </c>
    </row>
    <row r="2670" customFormat="false" ht="14.25" hidden="false" customHeight="true" outlineLevel="0" collapsed="false">
      <c r="A2670" s="26" t="n">
        <v>16711</v>
      </c>
      <c r="B2670" s="1" t="n">
        <v>1945</v>
      </c>
      <c r="C2670" s="1" t="n">
        <v>10</v>
      </c>
      <c r="D2670" s="1" t="s">
        <v>51</v>
      </c>
      <c r="E2670" s="1" t="s">
        <v>2</v>
      </c>
      <c r="F2670" s="1" t="n">
        <v>0.52</v>
      </c>
      <c r="G2670" s="1" t="n">
        <f aca="false">IF(E2670=E2669,F2670/F2669-1,"")</f>
        <v>0</v>
      </c>
    </row>
    <row r="2671" customFormat="false" ht="14.25" hidden="false" customHeight="true" outlineLevel="0" collapsed="false">
      <c r="A2671" s="26" t="n">
        <v>16742</v>
      </c>
      <c r="B2671" s="1" t="n">
        <v>1945</v>
      </c>
      <c r="C2671" s="1" t="n">
        <v>11</v>
      </c>
      <c r="D2671" s="1" t="s">
        <v>52</v>
      </c>
      <c r="E2671" s="1" t="s">
        <v>2</v>
      </c>
      <c r="F2671" s="1" t="n">
        <v>0.52</v>
      </c>
      <c r="G2671" s="1" t="n">
        <f aca="false">IF(E2671=E2670,F2671/F2670-1,"")</f>
        <v>0</v>
      </c>
    </row>
    <row r="2672" customFormat="false" ht="14.25" hidden="false" customHeight="true" outlineLevel="0" collapsed="false">
      <c r="A2672" s="26" t="n">
        <v>16772</v>
      </c>
      <c r="B2672" s="1" t="n">
        <v>1945</v>
      </c>
      <c r="C2672" s="1" t="n">
        <v>12</v>
      </c>
      <c r="D2672" s="1" t="s">
        <v>53</v>
      </c>
      <c r="E2672" s="1" t="s">
        <v>2</v>
      </c>
      <c r="F2672" s="1" t="n">
        <v>0.52</v>
      </c>
      <c r="G2672" s="1" t="n">
        <f aca="false">IF(E2672=E2671,F2672/F2671-1,"")</f>
        <v>0</v>
      </c>
    </row>
    <row r="2673" customFormat="false" ht="14.25" hidden="false" customHeight="true" outlineLevel="0" collapsed="false">
      <c r="A2673" s="26" t="n">
        <v>16803</v>
      </c>
      <c r="B2673" s="1" t="n">
        <v>1946</v>
      </c>
      <c r="C2673" s="1" t="n">
        <v>1</v>
      </c>
      <c r="D2673" s="1" t="s">
        <v>42</v>
      </c>
      <c r="E2673" s="1" t="s">
        <v>2</v>
      </c>
      <c r="F2673" s="1" t="n">
        <v>0.8</v>
      </c>
      <c r="G2673" s="1" t="n">
        <f aca="false">IF(E2673=E2672,F2673/F2672-1,"")</f>
        <v>0.538461538461539</v>
      </c>
    </row>
    <row r="2674" customFormat="false" ht="14.25" hidden="false" customHeight="true" outlineLevel="0" collapsed="false">
      <c r="A2674" s="26" t="n">
        <v>16834</v>
      </c>
      <c r="B2674" s="1" t="n">
        <v>1946</v>
      </c>
      <c r="C2674" s="1" t="n">
        <v>2</v>
      </c>
      <c r="D2674" s="1" t="s">
        <v>43</v>
      </c>
      <c r="E2674" s="1" t="s">
        <v>2</v>
      </c>
      <c r="F2674" s="1" t="n">
        <v>0.8</v>
      </c>
      <c r="G2674" s="1" t="n">
        <f aca="false">IF(E2674=E2673,F2674/F2673-1,"")</f>
        <v>0</v>
      </c>
    </row>
    <row r="2675" customFormat="false" ht="14.25" hidden="false" customHeight="true" outlineLevel="0" collapsed="false">
      <c r="A2675" s="26" t="n">
        <v>16862</v>
      </c>
      <c r="B2675" s="1" t="n">
        <v>1946</v>
      </c>
      <c r="C2675" s="1" t="n">
        <v>3</v>
      </c>
      <c r="D2675" s="1" t="s">
        <v>44</v>
      </c>
      <c r="E2675" s="1" t="s">
        <v>2</v>
      </c>
      <c r="F2675" s="1" t="n">
        <v>0.8</v>
      </c>
      <c r="G2675" s="1" t="n">
        <f aca="false">IF(E2675=E2674,F2675/F2674-1,"")</f>
        <v>0</v>
      </c>
    </row>
    <row r="2676" customFormat="false" ht="14.25" hidden="false" customHeight="true" outlineLevel="0" collapsed="false">
      <c r="A2676" s="26" t="n">
        <v>16893</v>
      </c>
      <c r="B2676" s="1" t="n">
        <v>1946</v>
      </c>
      <c r="C2676" s="1" t="n">
        <v>4</v>
      </c>
      <c r="D2676" s="1" t="s">
        <v>45</v>
      </c>
      <c r="E2676" s="1" t="s">
        <v>2</v>
      </c>
      <c r="F2676" s="1" t="n">
        <v>0.8</v>
      </c>
      <c r="G2676" s="1" t="n">
        <f aca="false">IF(E2676=E2675,F2676/F2675-1,"")</f>
        <v>0</v>
      </c>
    </row>
    <row r="2677" customFormat="false" ht="14.25" hidden="false" customHeight="true" outlineLevel="0" collapsed="false">
      <c r="A2677" s="26" t="n">
        <v>16923</v>
      </c>
      <c r="B2677" s="1" t="n">
        <v>1946</v>
      </c>
      <c r="C2677" s="1" t="n">
        <v>5</v>
      </c>
      <c r="D2677" s="1" t="s">
        <v>46</v>
      </c>
      <c r="E2677" s="1" t="s">
        <v>2</v>
      </c>
      <c r="F2677" s="1" t="n">
        <v>0.8</v>
      </c>
      <c r="G2677" s="1" t="n">
        <f aca="false">IF(E2677=E2676,F2677/F2676-1,"")</f>
        <v>0</v>
      </c>
    </row>
    <row r="2678" customFormat="false" ht="14.25" hidden="false" customHeight="true" outlineLevel="0" collapsed="false">
      <c r="A2678" s="26" t="n">
        <v>16954</v>
      </c>
      <c r="B2678" s="1" t="n">
        <v>1946</v>
      </c>
      <c r="C2678" s="1" t="n">
        <v>6</v>
      </c>
      <c r="D2678" s="1" t="s">
        <v>47</v>
      </c>
      <c r="E2678" s="1" t="s">
        <v>2</v>
      </c>
      <c r="F2678" s="1" t="n">
        <v>0.8</v>
      </c>
      <c r="G2678" s="1" t="n">
        <f aca="false">IF(E2678=E2677,F2678/F2677-1,"")</f>
        <v>0</v>
      </c>
    </row>
    <row r="2679" customFormat="false" ht="14.25" hidden="false" customHeight="true" outlineLevel="0" collapsed="false">
      <c r="A2679" s="26" t="n">
        <v>16984</v>
      </c>
      <c r="B2679" s="1" t="n">
        <v>1946</v>
      </c>
      <c r="C2679" s="1" t="n">
        <v>7</v>
      </c>
      <c r="D2679" s="1" t="s">
        <v>48</v>
      </c>
      <c r="E2679" s="1" t="s">
        <v>2</v>
      </c>
      <c r="F2679" s="1" t="n">
        <v>0.8</v>
      </c>
      <c r="G2679" s="1" t="n">
        <f aca="false">IF(E2679=E2678,F2679/F2678-1,"")</f>
        <v>0</v>
      </c>
    </row>
    <row r="2680" customFormat="false" ht="14.25" hidden="false" customHeight="true" outlineLevel="0" collapsed="false">
      <c r="A2680" s="26" t="n">
        <v>17015</v>
      </c>
      <c r="B2680" s="1" t="n">
        <v>1946</v>
      </c>
      <c r="C2680" s="1" t="n">
        <v>8</v>
      </c>
      <c r="D2680" s="1" t="s">
        <v>49</v>
      </c>
      <c r="E2680" s="1" t="s">
        <v>2</v>
      </c>
      <c r="F2680" s="1" t="n">
        <v>0.8</v>
      </c>
      <c r="G2680" s="1" t="n">
        <f aca="false">IF(E2680=E2679,F2680/F2679-1,"")</f>
        <v>0</v>
      </c>
    </row>
    <row r="2681" customFormat="false" ht="14.25" hidden="false" customHeight="true" outlineLevel="0" collapsed="false">
      <c r="A2681" s="26" t="n">
        <v>17046</v>
      </c>
      <c r="B2681" s="1" t="n">
        <v>1946</v>
      </c>
      <c r="C2681" s="1" t="n">
        <v>9</v>
      </c>
      <c r="D2681" s="1" t="s">
        <v>50</v>
      </c>
      <c r="E2681" s="1" t="s">
        <v>2</v>
      </c>
      <c r="F2681" s="1" t="n">
        <v>0.8</v>
      </c>
      <c r="G2681" s="1" t="n">
        <f aca="false">IF(E2681=E2680,F2681/F2680-1,"")</f>
        <v>0</v>
      </c>
    </row>
    <row r="2682" customFormat="false" ht="14.25" hidden="false" customHeight="true" outlineLevel="0" collapsed="false">
      <c r="A2682" s="26" t="n">
        <v>17076</v>
      </c>
      <c r="B2682" s="1" t="n">
        <v>1946</v>
      </c>
      <c r="C2682" s="1" t="n">
        <v>10</v>
      </c>
      <c r="D2682" s="1" t="s">
        <v>51</v>
      </c>
      <c r="E2682" s="1" t="s">
        <v>2</v>
      </c>
      <c r="F2682" s="1" t="n">
        <v>0.8</v>
      </c>
      <c r="G2682" s="1" t="n">
        <f aca="false">IF(E2682=E2681,F2682/F2681-1,"")</f>
        <v>0</v>
      </c>
    </row>
    <row r="2683" customFormat="false" ht="14.25" hidden="false" customHeight="true" outlineLevel="0" collapsed="false">
      <c r="A2683" s="26" t="n">
        <v>17107</v>
      </c>
      <c r="B2683" s="1" t="n">
        <v>1946</v>
      </c>
      <c r="C2683" s="1" t="n">
        <v>11</v>
      </c>
      <c r="D2683" s="1" t="s">
        <v>52</v>
      </c>
      <c r="E2683" s="1" t="s">
        <v>2</v>
      </c>
      <c r="F2683" s="1" t="n">
        <v>0.8</v>
      </c>
      <c r="G2683" s="1" t="n">
        <f aca="false">IF(E2683=E2682,F2683/F2682-1,"")</f>
        <v>0</v>
      </c>
    </row>
    <row r="2684" customFormat="false" ht="14.25" hidden="false" customHeight="true" outlineLevel="0" collapsed="false">
      <c r="A2684" s="26" t="n">
        <v>17137</v>
      </c>
      <c r="B2684" s="1" t="n">
        <v>1946</v>
      </c>
      <c r="C2684" s="1" t="n">
        <v>12</v>
      </c>
      <c r="D2684" s="1" t="s">
        <v>53</v>
      </c>
      <c r="E2684" s="1" t="s">
        <v>2</v>
      </c>
      <c r="F2684" s="1" t="n">
        <v>0.8</v>
      </c>
      <c r="G2684" s="1" t="n">
        <f aca="false">IF(E2684=E2683,F2684/F2683-1,"")</f>
        <v>0</v>
      </c>
    </row>
    <row r="2685" customFormat="false" ht="14.25" hidden="false" customHeight="true" outlineLevel="0" collapsed="false">
      <c r="A2685" s="26" t="n">
        <v>17168</v>
      </c>
      <c r="B2685" s="1" t="n">
        <v>1947</v>
      </c>
      <c r="C2685" s="1" t="n">
        <v>1</v>
      </c>
      <c r="D2685" s="1" t="s">
        <v>42</v>
      </c>
      <c r="E2685" s="1" t="s">
        <v>2</v>
      </c>
      <c r="F2685" s="1" t="n">
        <v>0.72</v>
      </c>
      <c r="G2685" s="1" t="n">
        <f aca="false">IF(E2685=E2684,F2685/F2684-1,"")</f>
        <v>-0.1</v>
      </c>
    </row>
    <row r="2686" customFormat="false" ht="14.25" hidden="false" customHeight="true" outlineLevel="0" collapsed="false">
      <c r="A2686" s="26" t="n">
        <v>17199</v>
      </c>
      <c r="B2686" s="1" t="n">
        <v>1947</v>
      </c>
      <c r="C2686" s="1" t="n">
        <v>2</v>
      </c>
      <c r="D2686" s="1" t="s">
        <v>43</v>
      </c>
      <c r="E2686" s="1" t="s">
        <v>2</v>
      </c>
      <c r="F2686" s="1" t="n">
        <v>0.72</v>
      </c>
      <c r="G2686" s="1" t="n">
        <f aca="false">IF(E2686=E2685,F2686/F2685-1,"")</f>
        <v>0</v>
      </c>
    </row>
    <row r="2687" customFormat="false" ht="14.25" hidden="false" customHeight="true" outlineLevel="0" collapsed="false">
      <c r="A2687" s="26" t="n">
        <v>17227</v>
      </c>
      <c r="B2687" s="1" t="n">
        <v>1947</v>
      </c>
      <c r="C2687" s="1" t="n">
        <v>3</v>
      </c>
      <c r="D2687" s="1" t="s">
        <v>44</v>
      </c>
      <c r="E2687" s="1" t="s">
        <v>2</v>
      </c>
      <c r="F2687" s="1" t="n">
        <v>0.72</v>
      </c>
      <c r="G2687" s="1" t="n">
        <f aca="false">IF(E2687=E2686,F2687/F2686-1,"")</f>
        <v>0</v>
      </c>
    </row>
    <row r="2688" customFormat="false" ht="14.25" hidden="false" customHeight="true" outlineLevel="0" collapsed="false">
      <c r="A2688" s="26" t="n">
        <v>17258</v>
      </c>
      <c r="B2688" s="1" t="n">
        <v>1947</v>
      </c>
      <c r="C2688" s="1" t="n">
        <v>4</v>
      </c>
      <c r="D2688" s="1" t="s">
        <v>45</v>
      </c>
      <c r="E2688" s="1" t="s">
        <v>2</v>
      </c>
      <c r="F2688" s="1" t="n">
        <v>0.72</v>
      </c>
      <c r="G2688" s="1" t="n">
        <f aca="false">IF(E2688=E2687,F2688/F2687-1,"")</f>
        <v>0</v>
      </c>
    </row>
    <row r="2689" customFormat="false" ht="14.25" hidden="false" customHeight="true" outlineLevel="0" collapsed="false">
      <c r="A2689" s="26" t="n">
        <v>17288</v>
      </c>
      <c r="B2689" s="1" t="n">
        <v>1947</v>
      </c>
      <c r="C2689" s="1" t="n">
        <v>5</v>
      </c>
      <c r="D2689" s="1" t="s">
        <v>46</v>
      </c>
      <c r="E2689" s="1" t="s">
        <v>2</v>
      </c>
      <c r="F2689" s="1" t="n">
        <v>0.72</v>
      </c>
      <c r="G2689" s="1" t="n">
        <f aca="false">IF(E2689=E2688,F2689/F2688-1,"")</f>
        <v>0</v>
      </c>
    </row>
    <row r="2690" customFormat="false" ht="14.25" hidden="false" customHeight="true" outlineLevel="0" collapsed="false">
      <c r="A2690" s="26" t="n">
        <v>17319</v>
      </c>
      <c r="B2690" s="1" t="n">
        <v>1947</v>
      </c>
      <c r="C2690" s="1" t="n">
        <v>6</v>
      </c>
      <c r="D2690" s="1" t="s">
        <v>47</v>
      </c>
      <c r="E2690" s="1" t="s">
        <v>2</v>
      </c>
      <c r="F2690" s="1" t="n">
        <v>0.72</v>
      </c>
      <c r="G2690" s="1" t="n">
        <f aca="false">IF(E2690=E2689,F2690/F2689-1,"")</f>
        <v>0</v>
      </c>
    </row>
    <row r="2691" customFormat="false" ht="14.25" hidden="false" customHeight="true" outlineLevel="0" collapsed="false">
      <c r="A2691" s="26" t="n">
        <v>17349</v>
      </c>
      <c r="B2691" s="1" t="n">
        <v>1947</v>
      </c>
      <c r="C2691" s="1" t="n">
        <v>7</v>
      </c>
      <c r="D2691" s="1" t="s">
        <v>48</v>
      </c>
      <c r="E2691" s="1" t="s">
        <v>2</v>
      </c>
      <c r="F2691" s="1" t="n">
        <v>0.72</v>
      </c>
      <c r="G2691" s="1" t="n">
        <f aca="false">IF(E2691=E2690,F2691/F2690-1,"")</f>
        <v>0</v>
      </c>
    </row>
    <row r="2692" customFormat="false" ht="14.25" hidden="false" customHeight="true" outlineLevel="0" collapsed="false">
      <c r="A2692" s="26" t="n">
        <v>17380</v>
      </c>
      <c r="B2692" s="1" t="n">
        <v>1947</v>
      </c>
      <c r="C2692" s="1" t="n">
        <v>8</v>
      </c>
      <c r="D2692" s="1" t="s">
        <v>49</v>
      </c>
      <c r="E2692" s="1" t="s">
        <v>2</v>
      </c>
      <c r="F2692" s="1" t="n">
        <v>0.72</v>
      </c>
      <c r="G2692" s="1" t="n">
        <f aca="false">IF(E2692=E2691,F2692/F2691-1,"")</f>
        <v>0</v>
      </c>
    </row>
    <row r="2693" customFormat="false" ht="14.25" hidden="false" customHeight="true" outlineLevel="0" collapsed="false">
      <c r="A2693" s="26" t="n">
        <v>17411</v>
      </c>
      <c r="B2693" s="1" t="n">
        <v>1947</v>
      </c>
      <c r="C2693" s="1" t="n">
        <v>9</v>
      </c>
      <c r="D2693" s="1" t="s">
        <v>50</v>
      </c>
      <c r="E2693" s="1" t="s">
        <v>2</v>
      </c>
      <c r="F2693" s="1" t="n">
        <v>0.72</v>
      </c>
      <c r="G2693" s="1" t="n">
        <f aca="false">IF(E2693=E2692,F2693/F2692-1,"")</f>
        <v>0</v>
      </c>
    </row>
    <row r="2694" customFormat="false" ht="14.25" hidden="false" customHeight="true" outlineLevel="0" collapsed="false">
      <c r="A2694" s="26" t="n">
        <v>17441</v>
      </c>
      <c r="B2694" s="1" t="n">
        <v>1947</v>
      </c>
      <c r="C2694" s="1" t="n">
        <v>10</v>
      </c>
      <c r="D2694" s="1" t="s">
        <v>51</v>
      </c>
      <c r="E2694" s="1" t="s">
        <v>2</v>
      </c>
      <c r="F2694" s="1" t="n">
        <v>0.72</v>
      </c>
      <c r="G2694" s="1" t="n">
        <f aca="false">IF(E2694=E2693,F2694/F2693-1,"")</f>
        <v>0</v>
      </c>
    </row>
    <row r="2695" customFormat="false" ht="14.25" hidden="false" customHeight="true" outlineLevel="0" collapsed="false">
      <c r="A2695" s="26" t="n">
        <v>17472</v>
      </c>
      <c r="B2695" s="1" t="n">
        <v>1947</v>
      </c>
      <c r="C2695" s="1" t="n">
        <v>11</v>
      </c>
      <c r="D2695" s="1" t="s">
        <v>52</v>
      </c>
      <c r="E2695" s="1" t="s">
        <v>2</v>
      </c>
      <c r="F2695" s="1" t="n">
        <v>0.72</v>
      </c>
      <c r="G2695" s="1" t="n">
        <f aca="false">IF(E2695=E2694,F2695/F2694-1,"")</f>
        <v>0</v>
      </c>
    </row>
    <row r="2696" customFormat="false" ht="14.25" hidden="false" customHeight="true" outlineLevel="0" collapsed="false">
      <c r="A2696" s="26" t="n">
        <v>17502</v>
      </c>
      <c r="B2696" s="1" t="n">
        <v>1947</v>
      </c>
      <c r="C2696" s="1" t="n">
        <v>12</v>
      </c>
      <c r="D2696" s="1" t="s">
        <v>53</v>
      </c>
      <c r="E2696" s="1" t="s">
        <v>2</v>
      </c>
      <c r="F2696" s="1" t="n">
        <v>0.72</v>
      </c>
      <c r="G2696" s="1" t="n">
        <f aca="false">IF(E2696=E2695,F2696/F2695-1,"")</f>
        <v>0</v>
      </c>
    </row>
    <row r="2697" customFormat="false" ht="14.25" hidden="false" customHeight="true" outlineLevel="0" collapsed="false">
      <c r="A2697" s="26" t="n">
        <v>17533</v>
      </c>
      <c r="B2697" s="1" t="n">
        <v>1948</v>
      </c>
      <c r="C2697" s="1" t="n">
        <v>1</v>
      </c>
      <c r="D2697" s="1" t="s">
        <v>42</v>
      </c>
      <c r="E2697" s="1" t="s">
        <v>2</v>
      </c>
      <c r="F2697" s="1" t="n">
        <v>0.74</v>
      </c>
      <c r="G2697" s="1" t="n">
        <f aca="false">IF(E2697=E2696,F2697/F2696-1,"")</f>
        <v>0.0277777777777779</v>
      </c>
    </row>
    <row r="2698" customFormat="false" ht="14.25" hidden="false" customHeight="true" outlineLevel="0" collapsed="false">
      <c r="A2698" s="26" t="n">
        <v>17564</v>
      </c>
      <c r="B2698" s="1" t="n">
        <v>1948</v>
      </c>
      <c r="C2698" s="1" t="n">
        <v>2</v>
      </c>
      <c r="D2698" s="1" t="s">
        <v>43</v>
      </c>
      <c r="E2698" s="1" t="s">
        <v>2</v>
      </c>
      <c r="F2698" s="1" t="n">
        <v>0.74</v>
      </c>
      <c r="G2698" s="1" t="n">
        <f aca="false">IF(E2698=E2697,F2698/F2697-1,"")</f>
        <v>0</v>
      </c>
    </row>
    <row r="2699" customFormat="false" ht="14.25" hidden="false" customHeight="true" outlineLevel="0" collapsed="false">
      <c r="A2699" s="26" t="n">
        <v>17593</v>
      </c>
      <c r="B2699" s="1" t="n">
        <v>1948</v>
      </c>
      <c r="C2699" s="1" t="n">
        <v>3</v>
      </c>
      <c r="D2699" s="1" t="s">
        <v>44</v>
      </c>
      <c r="E2699" s="1" t="s">
        <v>2</v>
      </c>
      <c r="F2699" s="1" t="n">
        <v>0.74</v>
      </c>
      <c r="G2699" s="1" t="n">
        <f aca="false">IF(E2699=E2698,F2699/F2698-1,"")</f>
        <v>0</v>
      </c>
    </row>
    <row r="2700" customFormat="false" ht="14.25" hidden="false" customHeight="true" outlineLevel="0" collapsed="false">
      <c r="A2700" s="26" t="n">
        <v>17624</v>
      </c>
      <c r="B2700" s="1" t="n">
        <v>1948</v>
      </c>
      <c r="C2700" s="1" t="n">
        <v>4</v>
      </c>
      <c r="D2700" s="1" t="s">
        <v>45</v>
      </c>
      <c r="E2700" s="1" t="s">
        <v>2</v>
      </c>
      <c r="F2700" s="1" t="n">
        <v>0.74</v>
      </c>
      <c r="G2700" s="1" t="n">
        <f aca="false">IF(E2700=E2699,F2700/F2699-1,"")</f>
        <v>0</v>
      </c>
    </row>
    <row r="2701" customFormat="false" ht="14.25" hidden="false" customHeight="true" outlineLevel="0" collapsed="false">
      <c r="A2701" s="26" t="n">
        <v>17654</v>
      </c>
      <c r="B2701" s="1" t="n">
        <v>1948</v>
      </c>
      <c r="C2701" s="1" t="n">
        <v>5</v>
      </c>
      <c r="D2701" s="1" t="s">
        <v>46</v>
      </c>
      <c r="E2701" s="1" t="s">
        <v>2</v>
      </c>
      <c r="F2701" s="1" t="n">
        <v>0.74</v>
      </c>
      <c r="G2701" s="1" t="n">
        <f aca="false">IF(E2701=E2700,F2701/F2700-1,"")</f>
        <v>0</v>
      </c>
    </row>
    <row r="2702" customFormat="false" ht="14.25" hidden="false" customHeight="true" outlineLevel="0" collapsed="false">
      <c r="A2702" s="26" t="n">
        <v>17685</v>
      </c>
      <c r="B2702" s="1" t="n">
        <v>1948</v>
      </c>
      <c r="C2702" s="1" t="n">
        <v>6</v>
      </c>
      <c r="D2702" s="1" t="s">
        <v>47</v>
      </c>
      <c r="E2702" s="1" t="s">
        <v>2</v>
      </c>
      <c r="F2702" s="1" t="n">
        <v>0.74</v>
      </c>
      <c r="G2702" s="1" t="n">
        <f aca="false">IF(E2702=E2701,F2702/F2701-1,"")</f>
        <v>0</v>
      </c>
    </row>
    <row r="2703" customFormat="false" ht="14.25" hidden="false" customHeight="true" outlineLevel="0" collapsed="false">
      <c r="A2703" s="26" t="n">
        <v>17715</v>
      </c>
      <c r="B2703" s="1" t="n">
        <v>1948</v>
      </c>
      <c r="C2703" s="1" t="n">
        <v>7</v>
      </c>
      <c r="D2703" s="1" t="s">
        <v>48</v>
      </c>
      <c r="E2703" s="1" t="s">
        <v>2</v>
      </c>
      <c r="F2703" s="1" t="n">
        <v>0.74</v>
      </c>
      <c r="G2703" s="1" t="n">
        <f aca="false">IF(E2703=E2702,F2703/F2702-1,"")</f>
        <v>0</v>
      </c>
    </row>
    <row r="2704" customFormat="false" ht="14.25" hidden="false" customHeight="true" outlineLevel="0" collapsed="false">
      <c r="A2704" s="26" t="n">
        <v>17746</v>
      </c>
      <c r="B2704" s="1" t="n">
        <v>1948</v>
      </c>
      <c r="C2704" s="1" t="n">
        <v>8</v>
      </c>
      <c r="D2704" s="1" t="s">
        <v>49</v>
      </c>
      <c r="E2704" s="1" t="s">
        <v>2</v>
      </c>
      <c r="F2704" s="1" t="n">
        <v>0.74</v>
      </c>
      <c r="G2704" s="1" t="n">
        <f aca="false">IF(E2704=E2703,F2704/F2703-1,"")</f>
        <v>0</v>
      </c>
    </row>
    <row r="2705" customFormat="false" ht="14.25" hidden="false" customHeight="true" outlineLevel="0" collapsed="false">
      <c r="A2705" s="26" t="n">
        <v>17777</v>
      </c>
      <c r="B2705" s="1" t="n">
        <v>1948</v>
      </c>
      <c r="C2705" s="1" t="n">
        <v>9</v>
      </c>
      <c r="D2705" s="1" t="s">
        <v>50</v>
      </c>
      <c r="E2705" s="1" t="s">
        <v>2</v>
      </c>
      <c r="F2705" s="1" t="n">
        <v>0.74</v>
      </c>
      <c r="G2705" s="1" t="n">
        <f aca="false">IF(E2705=E2704,F2705/F2704-1,"")</f>
        <v>0</v>
      </c>
    </row>
    <row r="2706" customFormat="false" ht="14.25" hidden="false" customHeight="true" outlineLevel="0" collapsed="false">
      <c r="A2706" s="26" t="n">
        <v>17807</v>
      </c>
      <c r="B2706" s="1" t="n">
        <v>1948</v>
      </c>
      <c r="C2706" s="1" t="n">
        <v>10</v>
      </c>
      <c r="D2706" s="1" t="s">
        <v>51</v>
      </c>
      <c r="E2706" s="1" t="s">
        <v>2</v>
      </c>
      <c r="F2706" s="1" t="n">
        <v>0.74</v>
      </c>
      <c r="G2706" s="1" t="n">
        <f aca="false">IF(E2706=E2705,F2706/F2705-1,"")</f>
        <v>0</v>
      </c>
    </row>
    <row r="2707" customFormat="false" ht="14.25" hidden="false" customHeight="true" outlineLevel="0" collapsed="false">
      <c r="A2707" s="26" t="n">
        <v>17838</v>
      </c>
      <c r="B2707" s="1" t="n">
        <v>1948</v>
      </c>
      <c r="C2707" s="1" t="n">
        <v>11</v>
      </c>
      <c r="D2707" s="1" t="s">
        <v>52</v>
      </c>
      <c r="E2707" s="1" t="s">
        <v>2</v>
      </c>
      <c r="F2707" s="1" t="n">
        <v>0.74</v>
      </c>
      <c r="G2707" s="1" t="n">
        <f aca="false">IF(E2707=E2706,F2707/F2706-1,"")</f>
        <v>0</v>
      </c>
    </row>
    <row r="2708" customFormat="false" ht="14.25" hidden="false" customHeight="true" outlineLevel="0" collapsed="false">
      <c r="A2708" s="26" t="n">
        <v>17868</v>
      </c>
      <c r="B2708" s="1" t="n">
        <v>1948</v>
      </c>
      <c r="C2708" s="1" t="n">
        <v>12</v>
      </c>
      <c r="D2708" s="1" t="s">
        <v>53</v>
      </c>
      <c r="E2708" s="1" t="s">
        <v>2</v>
      </c>
      <c r="F2708" s="1" t="n">
        <v>0.74</v>
      </c>
      <c r="G2708" s="1" t="n">
        <f aca="false">IF(E2708=E2707,F2708/F2707-1,"")</f>
        <v>0</v>
      </c>
    </row>
    <row r="2709" customFormat="false" ht="14.25" hidden="false" customHeight="true" outlineLevel="0" collapsed="false">
      <c r="A2709" s="26" t="n">
        <v>17899</v>
      </c>
      <c r="B2709" s="1" t="n">
        <v>1949</v>
      </c>
      <c r="C2709" s="1" t="n">
        <v>1</v>
      </c>
      <c r="D2709" s="1" t="s">
        <v>42</v>
      </c>
      <c r="E2709" s="1" t="s">
        <v>2</v>
      </c>
      <c r="F2709" s="1" t="n">
        <v>0.72</v>
      </c>
      <c r="G2709" s="1" t="n">
        <f aca="false">IF(E2709=E2708,F2709/F2708-1,"")</f>
        <v>-0.0270270270270271</v>
      </c>
    </row>
    <row r="2710" customFormat="false" ht="14.25" hidden="false" customHeight="true" outlineLevel="0" collapsed="false">
      <c r="A2710" s="26" t="n">
        <v>17930</v>
      </c>
      <c r="B2710" s="1" t="n">
        <v>1949</v>
      </c>
      <c r="C2710" s="1" t="n">
        <v>2</v>
      </c>
      <c r="D2710" s="1" t="s">
        <v>43</v>
      </c>
      <c r="E2710" s="1" t="s">
        <v>2</v>
      </c>
      <c r="F2710" s="1" t="n">
        <v>0.72</v>
      </c>
      <c r="G2710" s="1" t="n">
        <f aca="false">IF(E2710=E2709,F2710/F2709-1,"")</f>
        <v>0</v>
      </c>
    </row>
    <row r="2711" customFormat="false" ht="14.25" hidden="false" customHeight="true" outlineLevel="0" collapsed="false">
      <c r="A2711" s="26" t="n">
        <v>17958</v>
      </c>
      <c r="B2711" s="1" t="n">
        <v>1949</v>
      </c>
      <c r="C2711" s="1" t="n">
        <v>3</v>
      </c>
      <c r="D2711" s="1" t="s">
        <v>44</v>
      </c>
      <c r="E2711" s="1" t="s">
        <v>2</v>
      </c>
      <c r="F2711" s="1" t="n">
        <v>0.72</v>
      </c>
      <c r="G2711" s="1" t="n">
        <f aca="false">IF(E2711=E2710,F2711/F2710-1,"")</f>
        <v>0</v>
      </c>
    </row>
    <row r="2712" customFormat="false" ht="14.25" hidden="false" customHeight="true" outlineLevel="0" collapsed="false">
      <c r="A2712" s="26" t="n">
        <v>17989</v>
      </c>
      <c r="B2712" s="1" t="n">
        <v>1949</v>
      </c>
      <c r="C2712" s="1" t="n">
        <v>4</v>
      </c>
      <c r="D2712" s="1" t="s">
        <v>45</v>
      </c>
      <c r="E2712" s="1" t="s">
        <v>2</v>
      </c>
      <c r="F2712" s="1" t="n">
        <v>0.72</v>
      </c>
      <c r="G2712" s="1" t="n">
        <f aca="false">IF(E2712=E2711,F2712/F2711-1,"")</f>
        <v>0</v>
      </c>
    </row>
    <row r="2713" customFormat="false" ht="14.25" hidden="false" customHeight="true" outlineLevel="0" collapsed="false">
      <c r="A2713" s="26" t="n">
        <v>18019</v>
      </c>
      <c r="B2713" s="1" t="n">
        <v>1949</v>
      </c>
      <c r="C2713" s="1" t="n">
        <v>5</v>
      </c>
      <c r="D2713" s="1" t="s">
        <v>46</v>
      </c>
      <c r="E2713" s="1" t="s">
        <v>2</v>
      </c>
      <c r="F2713" s="1" t="n">
        <v>0.72</v>
      </c>
      <c r="G2713" s="1" t="n">
        <f aca="false">IF(E2713=E2712,F2713/F2712-1,"")</f>
        <v>0</v>
      </c>
    </row>
    <row r="2714" customFormat="false" ht="14.25" hidden="false" customHeight="true" outlineLevel="0" collapsed="false">
      <c r="A2714" s="26" t="n">
        <v>18050</v>
      </c>
      <c r="B2714" s="1" t="n">
        <v>1949</v>
      </c>
      <c r="C2714" s="1" t="n">
        <v>6</v>
      </c>
      <c r="D2714" s="1" t="s">
        <v>47</v>
      </c>
      <c r="E2714" s="1" t="s">
        <v>2</v>
      </c>
      <c r="F2714" s="1" t="n">
        <v>0.72</v>
      </c>
      <c r="G2714" s="1" t="n">
        <f aca="false">IF(E2714=E2713,F2714/F2713-1,"")</f>
        <v>0</v>
      </c>
    </row>
    <row r="2715" customFormat="false" ht="14.25" hidden="false" customHeight="true" outlineLevel="0" collapsed="false">
      <c r="A2715" s="26" t="n">
        <v>18080</v>
      </c>
      <c r="B2715" s="1" t="n">
        <v>1949</v>
      </c>
      <c r="C2715" s="1" t="n">
        <v>7</v>
      </c>
      <c r="D2715" s="1" t="s">
        <v>48</v>
      </c>
      <c r="E2715" s="1" t="s">
        <v>2</v>
      </c>
      <c r="F2715" s="1" t="n">
        <v>0.72</v>
      </c>
      <c r="G2715" s="1" t="n">
        <f aca="false">IF(E2715=E2714,F2715/F2714-1,"")</f>
        <v>0</v>
      </c>
    </row>
    <row r="2716" customFormat="false" ht="14.25" hidden="false" customHeight="true" outlineLevel="0" collapsed="false">
      <c r="A2716" s="26" t="n">
        <v>18111</v>
      </c>
      <c r="B2716" s="1" t="n">
        <v>1949</v>
      </c>
      <c r="C2716" s="1" t="n">
        <v>8</v>
      </c>
      <c r="D2716" s="1" t="s">
        <v>49</v>
      </c>
      <c r="E2716" s="1" t="s">
        <v>2</v>
      </c>
      <c r="F2716" s="1" t="n">
        <v>0.72</v>
      </c>
      <c r="G2716" s="1" t="n">
        <f aca="false">IF(E2716=E2715,F2716/F2715-1,"")</f>
        <v>0</v>
      </c>
    </row>
    <row r="2717" customFormat="false" ht="14.25" hidden="false" customHeight="true" outlineLevel="0" collapsed="false">
      <c r="A2717" s="26" t="n">
        <v>18142</v>
      </c>
      <c r="B2717" s="1" t="n">
        <v>1949</v>
      </c>
      <c r="C2717" s="1" t="n">
        <v>9</v>
      </c>
      <c r="D2717" s="1" t="s">
        <v>50</v>
      </c>
      <c r="E2717" s="1" t="s">
        <v>2</v>
      </c>
      <c r="F2717" s="1" t="n">
        <v>0.72</v>
      </c>
      <c r="G2717" s="1" t="n">
        <f aca="false">IF(E2717=E2716,F2717/F2716-1,"")</f>
        <v>0</v>
      </c>
    </row>
    <row r="2718" customFormat="false" ht="14.25" hidden="false" customHeight="true" outlineLevel="0" collapsed="false">
      <c r="A2718" s="26" t="n">
        <v>18172</v>
      </c>
      <c r="B2718" s="1" t="n">
        <v>1949</v>
      </c>
      <c r="C2718" s="1" t="n">
        <v>10</v>
      </c>
      <c r="D2718" s="1" t="s">
        <v>51</v>
      </c>
      <c r="E2718" s="1" t="s">
        <v>2</v>
      </c>
      <c r="F2718" s="1" t="n">
        <v>0.72</v>
      </c>
      <c r="G2718" s="1" t="n">
        <f aca="false">IF(E2718=E2717,F2718/F2717-1,"")</f>
        <v>0</v>
      </c>
    </row>
    <row r="2719" customFormat="false" ht="14.25" hidden="false" customHeight="true" outlineLevel="0" collapsed="false">
      <c r="A2719" s="26" t="n">
        <v>18203</v>
      </c>
      <c r="B2719" s="1" t="n">
        <v>1949</v>
      </c>
      <c r="C2719" s="1" t="n">
        <v>11</v>
      </c>
      <c r="D2719" s="1" t="s">
        <v>52</v>
      </c>
      <c r="E2719" s="1" t="s">
        <v>2</v>
      </c>
      <c r="F2719" s="1" t="n">
        <v>0.72</v>
      </c>
      <c r="G2719" s="1" t="n">
        <f aca="false">IF(E2719=E2718,F2719/F2718-1,"")</f>
        <v>0</v>
      </c>
    </row>
    <row r="2720" customFormat="false" ht="14.25" hidden="false" customHeight="true" outlineLevel="0" collapsed="false">
      <c r="A2720" s="26" t="n">
        <v>18233</v>
      </c>
      <c r="B2720" s="1" t="n">
        <v>1949</v>
      </c>
      <c r="C2720" s="1" t="n">
        <v>12</v>
      </c>
      <c r="D2720" s="1" t="s">
        <v>53</v>
      </c>
      <c r="E2720" s="1" t="s">
        <v>2</v>
      </c>
      <c r="F2720" s="1" t="n">
        <v>0.72</v>
      </c>
      <c r="G2720" s="1" t="n">
        <f aca="false">IF(E2720=E2719,F2720/F2719-1,"")</f>
        <v>0</v>
      </c>
    </row>
    <row r="2721" customFormat="false" ht="14.25" hidden="false" customHeight="true" outlineLevel="0" collapsed="false">
      <c r="A2721" s="26" t="n">
        <v>18264</v>
      </c>
      <c r="B2721" s="1" t="n">
        <v>1950</v>
      </c>
      <c r="C2721" s="1" t="n">
        <v>1</v>
      </c>
      <c r="D2721" s="1" t="s">
        <v>42</v>
      </c>
      <c r="E2721" s="1" t="s">
        <v>2</v>
      </c>
      <c r="F2721" s="1" t="n">
        <v>0.74</v>
      </c>
      <c r="G2721" s="1" t="n">
        <f aca="false">IF(E2721=E2720,F2721/F2720-1,"")</f>
        <v>0.0277777777777779</v>
      </c>
    </row>
    <row r="2722" customFormat="false" ht="14.25" hidden="false" customHeight="true" outlineLevel="0" collapsed="false">
      <c r="A2722" s="26" t="n">
        <v>18295</v>
      </c>
      <c r="B2722" s="1" t="n">
        <v>1950</v>
      </c>
      <c r="C2722" s="1" t="n">
        <v>2</v>
      </c>
      <c r="D2722" s="1" t="s">
        <v>43</v>
      </c>
      <c r="E2722" s="1" t="s">
        <v>2</v>
      </c>
      <c r="F2722" s="1" t="n">
        <v>0.74</v>
      </c>
      <c r="G2722" s="1" t="n">
        <f aca="false">IF(E2722=E2721,F2722/F2721-1,"")</f>
        <v>0</v>
      </c>
    </row>
    <row r="2723" customFormat="false" ht="14.25" hidden="false" customHeight="true" outlineLevel="0" collapsed="false">
      <c r="A2723" s="26" t="n">
        <v>18323</v>
      </c>
      <c r="B2723" s="1" t="n">
        <v>1950</v>
      </c>
      <c r="C2723" s="1" t="n">
        <v>3</v>
      </c>
      <c r="D2723" s="1" t="s">
        <v>44</v>
      </c>
      <c r="E2723" s="1" t="s">
        <v>2</v>
      </c>
      <c r="F2723" s="1" t="n">
        <v>0.74</v>
      </c>
      <c r="G2723" s="1" t="n">
        <f aca="false">IF(E2723=E2722,F2723/F2722-1,"")</f>
        <v>0</v>
      </c>
    </row>
    <row r="2724" customFormat="false" ht="14.25" hidden="false" customHeight="true" outlineLevel="0" collapsed="false">
      <c r="A2724" s="26" t="n">
        <v>18354</v>
      </c>
      <c r="B2724" s="1" t="n">
        <v>1950</v>
      </c>
      <c r="C2724" s="1" t="n">
        <v>4</v>
      </c>
      <c r="D2724" s="1" t="s">
        <v>45</v>
      </c>
      <c r="E2724" s="1" t="s">
        <v>2</v>
      </c>
      <c r="F2724" s="1" t="n">
        <v>0.74</v>
      </c>
      <c r="G2724" s="1" t="n">
        <f aca="false">IF(E2724=E2723,F2724/F2723-1,"")</f>
        <v>0</v>
      </c>
    </row>
    <row r="2725" customFormat="false" ht="14.25" hidden="false" customHeight="true" outlineLevel="0" collapsed="false">
      <c r="A2725" s="26" t="n">
        <v>18384</v>
      </c>
      <c r="B2725" s="1" t="n">
        <v>1950</v>
      </c>
      <c r="C2725" s="1" t="n">
        <v>5</v>
      </c>
      <c r="D2725" s="1" t="s">
        <v>46</v>
      </c>
      <c r="E2725" s="1" t="s">
        <v>2</v>
      </c>
      <c r="F2725" s="1" t="n">
        <v>0.74</v>
      </c>
      <c r="G2725" s="1" t="n">
        <f aca="false">IF(E2725=E2724,F2725/F2724-1,"")</f>
        <v>0</v>
      </c>
    </row>
    <row r="2726" customFormat="false" ht="14.25" hidden="false" customHeight="true" outlineLevel="0" collapsed="false">
      <c r="A2726" s="26" t="n">
        <v>18415</v>
      </c>
      <c r="B2726" s="1" t="n">
        <v>1950</v>
      </c>
      <c r="C2726" s="1" t="n">
        <v>6</v>
      </c>
      <c r="D2726" s="1" t="s">
        <v>47</v>
      </c>
      <c r="E2726" s="1" t="s">
        <v>2</v>
      </c>
      <c r="F2726" s="1" t="n">
        <v>0.74</v>
      </c>
      <c r="G2726" s="1" t="n">
        <f aca="false">IF(E2726=E2725,F2726/F2725-1,"")</f>
        <v>0</v>
      </c>
    </row>
    <row r="2727" customFormat="false" ht="14.25" hidden="false" customHeight="true" outlineLevel="0" collapsed="false">
      <c r="A2727" s="26" t="n">
        <v>18445</v>
      </c>
      <c r="B2727" s="1" t="n">
        <v>1950</v>
      </c>
      <c r="C2727" s="1" t="n">
        <v>7</v>
      </c>
      <c r="D2727" s="1" t="s">
        <v>48</v>
      </c>
      <c r="E2727" s="1" t="s">
        <v>2</v>
      </c>
      <c r="F2727" s="1" t="n">
        <v>0.74</v>
      </c>
      <c r="G2727" s="1" t="n">
        <f aca="false">IF(E2727=E2726,F2727/F2726-1,"")</f>
        <v>0</v>
      </c>
    </row>
    <row r="2728" customFormat="false" ht="14.25" hidden="false" customHeight="true" outlineLevel="0" collapsed="false">
      <c r="A2728" s="26" t="n">
        <v>18476</v>
      </c>
      <c r="B2728" s="1" t="n">
        <v>1950</v>
      </c>
      <c r="C2728" s="1" t="n">
        <v>8</v>
      </c>
      <c r="D2728" s="1" t="s">
        <v>49</v>
      </c>
      <c r="E2728" s="1" t="s">
        <v>2</v>
      </c>
      <c r="F2728" s="1" t="n">
        <v>0.74</v>
      </c>
      <c r="G2728" s="1" t="n">
        <f aca="false">IF(E2728=E2727,F2728/F2727-1,"")</f>
        <v>0</v>
      </c>
    </row>
    <row r="2729" customFormat="false" ht="14.25" hidden="false" customHeight="true" outlineLevel="0" collapsed="false">
      <c r="A2729" s="26" t="n">
        <v>18507</v>
      </c>
      <c r="B2729" s="1" t="n">
        <v>1950</v>
      </c>
      <c r="C2729" s="1" t="n">
        <v>9</v>
      </c>
      <c r="D2729" s="1" t="s">
        <v>50</v>
      </c>
      <c r="E2729" s="1" t="s">
        <v>2</v>
      </c>
      <c r="F2729" s="1" t="n">
        <v>0.74</v>
      </c>
      <c r="G2729" s="1" t="n">
        <f aca="false">IF(E2729=E2728,F2729/F2728-1,"")</f>
        <v>0</v>
      </c>
    </row>
    <row r="2730" customFormat="false" ht="14.25" hidden="false" customHeight="true" outlineLevel="0" collapsed="false">
      <c r="A2730" s="26" t="n">
        <v>18537</v>
      </c>
      <c r="B2730" s="1" t="n">
        <v>1950</v>
      </c>
      <c r="C2730" s="1" t="n">
        <v>10</v>
      </c>
      <c r="D2730" s="1" t="s">
        <v>51</v>
      </c>
      <c r="E2730" s="1" t="s">
        <v>2</v>
      </c>
      <c r="F2730" s="1" t="n">
        <v>0.74</v>
      </c>
      <c r="G2730" s="1" t="n">
        <f aca="false">IF(E2730=E2729,F2730/F2729-1,"")</f>
        <v>0</v>
      </c>
    </row>
    <row r="2731" customFormat="false" ht="14.25" hidden="false" customHeight="true" outlineLevel="0" collapsed="false">
      <c r="A2731" s="26" t="n">
        <v>18568</v>
      </c>
      <c r="B2731" s="1" t="n">
        <v>1950</v>
      </c>
      <c r="C2731" s="1" t="n">
        <v>11</v>
      </c>
      <c r="D2731" s="1" t="s">
        <v>52</v>
      </c>
      <c r="E2731" s="1" t="s">
        <v>2</v>
      </c>
      <c r="F2731" s="1" t="n">
        <v>0.74</v>
      </c>
      <c r="G2731" s="1" t="n">
        <f aca="false">IF(E2731=E2730,F2731/F2730-1,"")</f>
        <v>0</v>
      </c>
    </row>
    <row r="2732" customFormat="false" ht="14.25" hidden="false" customHeight="true" outlineLevel="0" collapsed="false">
      <c r="A2732" s="26" t="n">
        <v>18598</v>
      </c>
      <c r="B2732" s="1" t="n">
        <v>1950</v>
      </c>
      <c r="C2732" s="1" t="n">
        <v>12</v>
      </c>
      <c r="D2732" s="1" t="s">
        <v>53</v>
      </c>
      <c r="E2732" s="1" t="s">
        <v>2</v>
      </c>
      <c r="F2732" s="1" t="n">
        <v>0.74</v>
      </c>
      <c r="G2732" s="1" t="n">
        <f aca="false">IF(E2732=E2731,F2732/F2731-1,"")</f>
        <v>0</v>
      </c>
    </row>
    <row r="2733" customFormat="false" ht="14.25" hidden="false" customHeight="true" outlineLevel="0" collapsed="false">
      <c r="A2733" s="26" t="n">
        <v>18629</v>
      </c>
      <c r="B2733" s="1" t="n">
        <v>1951</v>
      </c>
      <c r="C2733" s="1" t="n">
        <v>1</v>
      </c>
      <c r="D2733" s="1" t="s">
        <v>42</v>
      </c>
      <c r="E2733" s="1" t="s">
        <v>2</v>
      </c>
      <c r="F2733" s="1" t="n">
        <v>0.89</v>
      </c>
      <c r="G2733" s="1" t="n">
        <f aca="false">IF(E2733=E2732,F2733/F2732-1,"")</f>
        <v>0.202702702702703</v>
      </c>
    </row>
    <row r="2734" customFormat="false" ht="14.25" hidden="false" customHeight="true" outlineLevel="0" collapsed="false">
      <c r="A2734" s="26" t="n">
        <v>18660</v>
      </c>
      <c r="B2734" s="1" t="n">
        <v>1951</v>
      </c>
      <c r="C2734" s="1" t="n">
        <v>2</v>
      </c>
      <c r="D2734" s="1" t="s">
        <v>43</v>
      </c>
      <c r="E2734" s="1" t="s">
        <v>2</v>
      </c>
      <c r="F2734" s="1" t="n">
        <v>0.89</v>
      </c>
      <c r="G2734" s="1" t="n">
        <f aca="false">IF(E2734=E2733,F2734/F2733-1,"")</f>
        <v>0</v>
      </c>
    </row>
    <row r="2735" customFormat="false" ht="14.25" hidden="false" customHeight="true" outlineLevel="0" collapsed="false">
      <c r="A2735" s="26" t="n">
        <v>18688</v>
      </c>
      <c r="B2735" s="1" t="n">
        <v>1951</v>
      </c>
      <c r="C2735" s="1" t="n">
        <v>3</v>
      </c>
      <c r="D2735" s="1" t="s">
        <v>44</v>
      </c>
      <c r="E2735" s="1" t="s">
        <v>2</v>
      </c>
      <c r="F2735" s="1" t="n">
        <v>0.89</v>
      </c>
      <c r="G2735" s="1" t="n">
        <f aca="false">IF(E2735=E2734,F2735/F2734-1,"")</f>
        <v>0</v>
      </c>
    </row>
    <row r="2736" customFormat="false" ht="14.25" hidden="false" customHeight="true" outlineLevel="0" collapsed="false">
      <c r="A2736" s="26" t="n">
        <v>18719</v>
      </c>
      <c r="B2736" s="1" t="n">
        <v>1951</v>
      </c>
      <c r="C2736" s="1" t="n">
        <v>4</v>
      </c>
      <c r="D2736" s="1" t="s">
        <v>45</v>
      </c>
      <c r="E2736" s="1" t="s">
        <v>2</v>
      </c>
      <c r="F2736" s="1" t="n">
        <v>0.89</v>
      </c>
      <c r="G2736" s="1" t="n">
        <f aca="false">IF(E2736=E2735,F2736/F2735-1,"")</f>
        <v>0</v>
      </c>
    </row>
    <row r="2737" customFormat="false" ht="14.25" hidden="false" customHeight="true" outlineLevel="0" collapsed="false">
      <c r="A2737" s="26" t="n">
        <v>18749</v>
      </c>
      <c r="B2737" s="1" t="n">
        <v>1951</v>
      </c>
      <c r="C2737" s="1" t="n">
        <v>5</v>
      </c>
      <c r="D2737" s="1" t="s">
        <v>46</v>
      </c>
      <c r="E2737" s="1" t="s">
        <v>2</v>
      </c>
      <c r="F2737" s="1" t="n">
        <v>0.89</v>
      </c>
      <c r="G2737" s="1" t="n">
        <f aca="false">IF(E2737=E2736,F2737/F2736-1,"")</f>
        <v>0</v>
      </c>
    </row>
    <row r="2738" customFormat="false" ht="14.25" hidden="false" customHeight="true" outlineLevel="0" collapsed="false">
      <c r="A2738" s="26" t="n">
        <v>18780</v>
      </c>
      <c r="B2738" s="1" t="n">
        <v>1951</v>
      </c>
      <c r="C2738" s="1" t="n">
        <v>6</v>
      </c>
      <c r="D2738" s="1" t="s">
        <v>47</v>
      </c>
      <c r="E2738" s="1" t="s">
        <v>2</v>
      </c>
      <c r="F2738" s="1" t="n">
        <v>0.89</v>
      </c>
      <c r="G2738" s="1" t="n">
        <f aca="false">IF(E2738=E2737,F2738/F2737-1,"")</f>
        <v>0</v>
      </c>
    </row>
    <row r="2739" customFormat="false" ht="14.25" hidden="false" customHeight="true" outlineLevel="0" collapsed="false">
      <c r="A2739" s="26" t="n">
        <v>18810</v>
      </c>
      <c r="B2739" s="1" t="n">
        <v>1951</v>
      </c>
      <c r="C2739" s="1" t="n">
        <v>7</v>
      </c>
      <c r="D2739" s="1" t="s">
        <v>48</v>
      </c>
      <c r="E2739" s="1" t="s">
        <v>2</v>
      </c>
      <c r="F2739" s="1" t="n">
        <v>0.89</v>
      </c>
      <c r="G2739" s="1" t="n">
        <f aca="false">IF(E2739=E2738,F2739/F2738-1,"")</f>
        <v>0</v>
      </c>
    </row>
    <row r="2740" customFormat="false" ht="14.25" hidden="false" customHeight="true" outlineLevel="0" collapsed="false">
      <c r="A2740" s="26" t="n">
        <v>18841</v>
      </c>
      <c r="B2740" s="1" t="n">
        <v>1951</v>
      </c>
      <c r="C2740" s="1" t="n">
        <v>8</v>
      </c>
      <c r="D2740" s="1" t="s">
        <v>49</v>
      </c>
      <c r="E2740" s="1" t="s">
        <v>2</v>
      </c>
      <c r="F2740" s="1" t="n">
        <v>0.89</v>
      </c>
      <c r="G2740" s="1" t="n">
        <f aca="false">IF(E2740=E2739,F2740/F2739-1,"")</f>
        <v>0</v>
      </c>
    </row>
    <row r="2741" customFormat="false" ht="14.25" hidden="false" customHeight="true" outlineLevel="0" collapsed="false">
      <c r="A2741" s="26" t="n">
        <v>18872</v>
      </c>
      <c r="B2741" s="1" t="n">
        <v>1951</v>
      </c>
      <c r="C2741" s="1" t="n">
        <v>9</v>
      </c>
      <c r="D2741" s="1" t="s">
        <v>50</v>
      </c>
      <c r="E2741" s="1" t="s">
        <v>2</v>
      </c>
      <c r="F2741" s="1" t="n">
        <v>0.89</v>
      </c>
      <c r="G2741" s="1" t="n">
        <f aca="false">IF(E2741=E2740,F2741/F2740-1,"")</f>
        <v>0</v>
      </c>
    </row>
    <row r="2742" customFormat="false" ht="14.25" hidden="false" customHeight="true" outlineLevel="0" collapsed="false">
      <c r="A2742" s="26" t="n">
        <v>18902</v>
      </c>
      <c r="B2742" s="1" t="n">
        <v>1951</v>
      </c>
      <c r="C2742" s="1" t="n">
        <v>10</v>
      </c>
      <c r="D2742" s="1" t="s">
        <v>51</v>
      </c>
      <c r="E2742" s="1" t="s">
        <v>2</v>
      </c>
      <c r="F2742" s="1" t="n">
        <v>0.89</v>
      </c>
      <c r="G2742" s="1" t="n">
        <f aca="false">IF(E2742=E2741,F2742/F2741-1,"")</f>
        <v>0</v>
      </c>
    </row>
    <row r="2743" customFormat="false" ht="14.25" hidden="false" customHeight="true" outlineLevel="0" collapsed="false">
      <c r="A2743" s="26" t="n">
        <v>18933</v>
      </c>
      <c r="B2743" s="1" t="n">
        <v>1951</v>
      </c>
      <c r="C2743" s="1" t="n">
        <v>11</v>
      </c>
      <c r="D2743" s="1" t="s">
        <v>52</v>
      </c>
      <c r="E2743" s="1" t="s">
        <v>2</v>
      </c>
      <c r="F2743" s="1" t="n">
        <v>0.89</v>
      </c>
      <c r="G2743" s="1" t="n">
        <f aca="false">IF(E2743=E2742,F2743/F2742-1,"")</f>
        <v>0</v>
      </c>
    </row>
    <row r="2744" customFormat="false" ht="14.25" hidden="false" customHeight="true" outlineLevel="0" collapsed="false">
      <c r="A2744" s="26" t="n">
        <v>18963</v>
      </c>
      <c r="B2744" s="1" t="n">
        <v>1951</v>
      </c>
      <c r="C2744" s="1" t="n">
        <v>12</v>
      </c>
      <c r="D2744" s="1" t="s">
        <v>53</v>
      </c>
      <c r="E2744" s="1" t="s">
        <v>2</v>
      </c>
      <c r="F2744" s="1" t="n">
        <v>0.89</v>
      </c>
      <c r="G2744" s="1" t="n">
        <f aca="false">IF(E2744=E2743,F2744/F2743-1,"")</f>
        <v>0</v>
      </c>
    </row>
    <row r="2745" customFormat="false" ht="14.25" hidden="false" customHeight="true" outlineLevel="0" collapsed="false">
      <c r="A2745" s="26" t="n">
        <v>18994</v>
      </c>
      <c r="B2745" s="1" t="n">
        <v>1952</v>
      </c>
      <c r="C2745" s="1" t="n">
        <v>1</v>
      </c>
      <c r="D2745" s="1" t="s">
        <v>42</v>
      </c>
      <c r="E2745" s="1" t="s">
        <v>2</v>
      </c>
      <c r="F2745" s="1" t="n">
        <v>0.85</v>
      </c>
      <c r="G2745" s="1" t="n">
        <f aca="false">IF(E2745=E2744,F2745/F2744-1,"")</f>
        <v>-0.0449438202247191</v>
      </c>
    </row>
    <row r="2746" customFormat="false" ht="14.25" hidden="false" customHeight="true" outlineLevel="0" collapsed="false">
      <c r="A2746" s="26" t="n">
        <v>19025</v>
      </c>
      <c r="B2746" s="1" t="n">
        <v>1952</v>
      </c>
      <c r="C2746" s="1" t="n">
        <v>2</v>
      </c>
      <c r="D2746" s="1" t="s">
        <v>43</v>
      </c>
      <c r="E2746" s="1" t="s">
        <v>2</v>
      </c>
      <c r="F2746" s="1" t="n">
        <v>0.85</v>
      </c>
      <c r="G2746" s="1" t="n">
        <f aca="false">IF(E2746=E2745,F2746/F2745-1,"")</f>
        <v>0</v>
      </c>
    </row>
    <row r="2747" customFormat="false" ht="14.25" hidden="false" customHeight="true" outlineLevel="0" collapsed="false">
      <c r="A2747" s="26" t="n">
        <v>19054</v>
      </c>
      <c r="B2747" s="1" t="n">
        <v>1952</v>
      </c>
      <c r="C2747" s="1" t="n">
        <v>3</v>
      </c>
      <c r="D2747" s="1" t="s">
        <v>44</v>
      </c>
      <c r="E2747" s="1" t="s">
        <v>2</v>
      </c>
      <c r="F2747" s="1" t="n">
        <v>0.85</v>
      </c>
      <c r="G2747" s="1" t="n">
        <f aca="false">IF(E2747=E2746,F2747/F2746-1,"")</f>
        <v>0</v>
      </c>
    </row>
    <row r="2748" customFormat="false" ht="14.25" hidden="false" customHeight="true" outlineLevel="0" collapsed="false">
      <c r="A2748" s="26" t="n">
        <v>19085</v>
      </c>
      <c r="B2748" s="1" t="n">
        <v>1952</v>
      </c>
      <c r="C2748" s="1" t="n">
        <v>4</v>
      </c>
      <c r="D2748" s="1" t="s">
        <v>45</v>
      </c>
      <c r="E2748" s="1" t="s">
        <v>2</v>
      </c>
      <c r="F2748" s="1" t="n">
        <v>0.85</v>
      </c>
      <c r="G2748" s="1" t="n">
        <f aca="false">IF(E2748=E2747,F2748/F2747-1,"")</f>
        <v>0</v>
      </c>
    </row>
    <row r="2749" customFormat="false" ht="14.25" hidden="false" customHeight="true" outlineLevel="0" collapsed="false">
      <c r="A2749" s="26" t="n">
        <v>19115</v>
      </c>
      <c r="B2749" s="1" t="n">
        <v>1952</v>
      </c>
      <c r="C2749" s="1" t="n">
        <v>5</v>
      </c>
      <c r="D2749" s="1" t="s">
        <v>46</v>
      </c>
      <c r="E2749" s="1" t="s">
        <v>2</v>
      </c>
      <c r="F2749" s="1" t="n">
        <v>0.85</v>
      </c>
      <c r="G2749" s="1" t="n">
        <f aca="false">IF(E2749=E2748,F2749/F2748-1,"")</f>
        <v>0</v>
      </c>
    </row>
    <row r="2750" customFormat="false" ht="14.25" hidden="false" customHeight="true" outlineLevel="0" collapsed="false">
      <c r="A2750" s="26" t="n">
        <v>19146</v>
      </c>
      <c r="B2750" s="1" t="n">
        <v>1952</v>
      </c>
      <c r="C2750" s="1" t="n">
        <v>6</v>
      </c>
      <c r="D2750" s="1" t="s">
        <v>47</v>
      </c>
      <c r="E2750" s="1" t="s">
        <v>2</v>
      </c>
      <c r="F2750" s="1" t="n">
        <v>0.85</v>
      </c>
      <c r="G2750" s="1" t="n">
        <f aca="false">IF(E2750=E2749,F2750/F2749-1,"")</f>
        <v>0</v>
      </c>
    </row>
    <row r="2751" customFormat="false" ht="14.25" hidden="false" customHeight="true" outlineLevel="0" collapsed="false">
      <c r="A2751" s="26" t="n">
        <v>19176</v>
      </c>
      <c r="B2751" s="1" t="n">
        <v>1952</v>
      </c>
      <c r="C2751" s="1" t="n">
        <v>7</v>
      </c>
      <c r="D2751" s="1" t="s">
        <v>48</v>
      </c>
      <c r="E2751" s="1" t="s">
        <v>2</v>
      </c>
      <c r="F2751" s="1" t="n">
        <v>0.85</v>
      </c>
      <c r="G2751" s="1" t="n">
        <f aca="false">IF(E2751=E2750,F2751/F2750-1,"")</f>
        <v>0</v>
      </c>
    </row>
    <row r="2752" customFormat="false" ht="14.25" hidden="false" customHeight="true" outlineLevel="0" collapsed="false">
      <c r="A2752" s="26" t="n">
        <v>19207</v>
      </c>
      <c r="B2752" s="1" t="n">
        <v>1952</v>
      </c>
      <c r="C2752" s="1" t="n">
        <v>8</v>
      </c>
      <c r="D2752" s="1" t="s">
        <v>49</v>
      </c>
      <c r="E2752" s="1" t="s">
        <v>2</v>
      </c>
      <c r="F2752" s="1" t="n">
        <v>0.85</v>
      </c>
      <c r="G2752" s="1" t="n">
        <f aca="false">IF(E2752=E2751,F2752/F2751-1,"")</f>
        <v>0</v>
      </c>
    </row>
    <row r="2753" customFormat="false" ht="14.25" hidden="false" customHeight="true" outlineLevel="0" collapsed="false">
      <c r="A2753" s="26" t="n">
        <v>19238</v>
      </c>
      <c r="B2753" s="1" t="n">
        <v>1952</v>
      </c>
      <c r="C2753" s="1" t="n">
        <v>9</v>
      </c>
      <c r="D2753" s="1" t="s">
        <v>50</v>
      </c>
      <c r="E2753" s="1" t="s">
        <v>2</v>
      </c>
      <c r="F2753" s="1" t="n">
        <v>0.85</v>
      </c>
      <c r="G2753" s="1" t="n">
        <f aca="false">IF(E2753=E2752,F2753/F2752-1,"")</f>
        <v>0</v>
      </c>
    </row>
    <row r="2754" customFormat="false" ht="14.25" hidden="false" customHeight="true" outlineLevel="0" collapsed="false">
      <c r="A2754" s="26" t="n">
        <v>19268</v>
      </c>
      <c r="B2754" s="1" t="n">
        <v>1952</v>
      </c>
      <c r="C2754" s="1" t="n">
        <v>10</v>
      </c>
      <c r="D2754" s="1" t="s">
        <v>51</v>
      </c>
      <c r="E2754" s="1" t="s">
        <v>2</v>
      </c>
      <c r="F2754" s="1" t="n">
        <v>0.85</v>
      </c>
      <c r="G2754" s="1" t="n">
        <f aca="false">IF(E2754=E2753,F2754/F2753-1,"")</f>
        <v>0</v>
      </c>
    </row>
    <row r="2755" customFormat="false" ht="14.25" hidden="false" customHeight="true" outlineLevel="0" collapsed="false">
      <c r="A2755" s="26" t="n">
        <v>19299</v>
      </c>
      <c r="B2755" s="1" t="n">
        <v>1952</v>
      </c>
      <c r="C2755" s="1" t="n">
        <v>11</v>
      </c>
      <c r="D2755" s="1" t="s">
        <v>52</v>
      </c>
      <c r="E2755" s="1" t="s">
        <v>2</v>
      </c>
      <c r="F2755" s="1" t="n">
        <v>0.85</v>
      </c>
      <c r="G2755" s="1" t="n">
        <f aca="false">IF(E2755=E2754,F2755/F2754-1,"")</f>
        <v>0</v>
      </c>
    </row>
    <row r="2756" customFormat="false" ht="14.25" hidden="false" customHeight="true" outlineLevel="0" collapsed="false">
      <c r="A2756" s="26" t="n">
        <v>19329</v>
      </c>
      <c r="B2756" s="1" t="n">
        <v>1952</v>
      </c>
      <c r="C2756" s="1" t="n">
        <v>12</v>
      </c>
      <c r="D2756" s="1" t="s">
        <v>53</v>
      </c>
      <c r="E2756" s="1" t="s">
        <v>2</v>
      </c>
      <c r="F2756" s="1" t="n">
        <v>0.85</v>
      </c>
      <c r="G2756" s="1" t="n">
        <f aca="false">IF(E2756=E2755,F2756/F2755-1,"")</f>
        <v>0</v>
      </c>
    </row>
    <row r="2757" customFormat="false" ht="14.25" hidden="false" customHeight="true" outlineLevel="0" collapsed="false">
      <c r="A2757" s="26" t="n">
        <v>19360</v>
      </c>
      <c r="B2757" s="1" t="n">
        <v>1953</v>
      </c>
      <c r="C2757" s="1" t="n">
        <v>1</v>
      </c>
      <c r="D2757" s="1" t="s">
        <v>42</v>
      </c>
      <c r="E2757" s="1" t="s">
        <v>2</v>
      </c>
      <c r="F2757" s="1" t="n">
        <v>0.85</v>
      </c>
      <c r="G2757" s="1" t="n">
        <f aca="false">IF(E2757=E2756,F2757/F2756-1,"")</f>
        <v>0</v>
      </c>
    </row>
    <row r="2758" customFormat="false" ht="14.25" hidden="false" customHeight="true" outlineLevel="0" collapsed="false">
      <c r="A2758" s="26" t="n">
        <v>19391</v>
      </c>
      <c r="B2758" s="1" t="n">
        <v>1953</v>
      </c>
      <c r="C2758" s="1" t="n">
        <v>2</v>
      </c>
      <c r="D2758" s="1" t="s">
        <v>43</v>
      </c>
      <c r="E2758" s="1" t="s">
        <v>2</v>
      </c>
      <c r="F2758" s="1" t="n">
        <v>0.85</v>
      </c>
      <c r="G2758" s="1" t="n">
        <f aca="false">IF(E2758=E2757,F2758/F2757-1,"")</f>
        <v>0</v>
      </c>
    </row>
    <row r="2759" customFormat="false" ht="14.25" hidden="false" customHeight="true" outlineLevel="0" collapsed="false">
      <c r="A2759" s="26" t="n">
        <v>19419</v>
      </c>
      <c r="B2759" s="1" t="n">
        <v>1953</v>
      </c>
      <c r="C2759" s="1" t="n">
        <v>3</v>
      </c>
      <c r="D2759" s="1" t="s">
        <v>44</v>
      </c>
      <c r="E2759" s="1" t="s">
        <v>2</v>
      </c>
      <c r="F2759" s="1" t="n">
        <v>0.85</v>
      </c>
      <c r="G2759" s="1" t="n">
        <f aca="false">IF(E2759=E2758,F2759/F2758-1,"")</f>
        <v>0</v>
      </c>
    </row>
    <row r="2760" customFormat="false" ht="14.25" hidden="false" customHeight="true" outlineLevel="0" collapsed="false">
      <c r="A2760" s="26" t="n">
        <v>19450</v>
      </c>
      <c r="B2760" s="1" t="n">
        <v>1953</v>
      </c>
      <c r="C2760" s="1" t="n">
        <v>4</v>
      </c>
      <c r="D2760" s="1" t="s">
        <v>45</v>
      </c>
      <c r="E2760" s="1" t="s">
        <v>2</v>
      </c>
      <c r="F2760" s="1" t="n">
        <v>0.85</v>
      </c>
      <c r="G2760" s="1" t="n">
        <f aca="false">IF(E2760=E2759,F2760/F2759-1,"")</f>
        <v>0</v>
      </c>
    </row>
    <row r="2761" customFormat="false" ht="14.25" hidden="false" customHeight="true" outlineLevel="0" collapsed="false">
      <c r="A2761" s="26" t="n">
        <v>19480</v>
      </c>
      <c r="B2761" s="1" t="n">
        <v>1953</v>
      </c>
      <c r="C2761" s="1" t="n">
        <v>5</v>
      </c>
      <c r="D2761" s="1" t="s">
        <v>46</v>
      </c>
      <c r="E2761" s="1" t="s">
        <v>2</v>
      </c>
      <c r="F2761" s="1" t="n">
        <v>0.85</v>
      </c>
      <c r="G2761" s="1" t="n">
        <f aca="false">IF(E2761=E2760,F2761/F2760-1,"")</f>
        <v>0</v>
      </c>
    </row>
    <row r="2762" customFormat="false" ht="14.25" hidden="false" customHeight="true" outlineLevel="0" collapsed="false">
      <c r="A2762" s="26" t="n">
        <v>19511</v>
      </c>
      <c r="B2762" s="1" t="n">
        <v>1953</v>
      </c>
      <c r="C2762" s="1" t="n">
        <v>6</v>
      </c>
      <c r="D2762" s="1" t="s">
        <v>47</v>
      </c>
      <c r="E2762" s="1" t="s">
        <v>2</v>
      </c>
      <c r="F2762" s="1" t="n">
        <v>0.85</v>
      </c>
      <c r="G2762" s="1" t="n">
        <f aca="false">IF(E2762=E2761,F2762/F2761-1,"")</f>
        <v>0</v>
      </c>
    </row>
    <row r="2763" customFormat="false" ht="14.25" hidden="false" customHeight="true" outlineLevel="0" collapsed="false">
      <c r="A2763" s="26" t="n">
        <v>19541</v>
      </c>
      <c r="B2763" s="1" t="n">
        <v>1953</v>
      </c>
      <c r="C2763" s="1" t="n">
        <v>7</v>
      </c>
      <c r="D2763" s="1" t="s">
        <v>48</v>
      </c>
      <c r="E2763" s="1" t="s">
        <v>2</v>
      </c>
      <c r="F2763" s="1" t="n">
        <v>0.85</v>
      </c>
      <c r="G2763" s="1" t="n">
        <f aca="false">IF(E2763=E2762,F2763/F2762-1,"")</f>
        <v>0</v>
      </c>
    </row>
    <row r="2764" customFormat="false" ht="14.25" hidden="false" customHeight="true" outlineLevel="0" collapsed="false">
      <c r="A2764" s="26" t="n">
        <v>19572</v>
      </c>
      <c r="B2764" s="1" t="n">
        <v>1953</v>
      </c>
      <c r="C2764" s="1" t="n">
        <v>8</v>
      </c>
      <c r="D2764" s="1" t="s">
        <v>49</v>
      </c>
      <c r="E2764" s="1" t="s">
        <v>2</v>
      </c>
      <c r="F2764" s="1" t="n">
        <v>0.85</v>
      </c>
      <c r="G2764" s="1" t="n">
        <f aca="false">IF(E2764=E2763,F2764/F2763-1,"")</f>
        <v>0</v>
      </c>
    </row>
    <row r="2765" customFormat="false" ht="14.25" hidden="false" customHeight="true" outlineLevel="0" collapsed="false">
      <c r="A2765" s="26" t="n">
        <v>19603</v>
      </c>
      <c r="B2765" s="1" t="n">
        <v>1953</v>
      </c>
      <c r="C2765" s="1" t="n">
        <v>9</v>
      </c>
      <c r="D2765" s="1" t="s">
        <v>50</v>
      </c>
      <c r="E2765" s="1" t="s">
        <v>2</v>
      </c>
      <c r="F2765" s="1" t="n">
        <v>0.85</v>
      </c>
      <c r="G2765" s="1" t="n">
        <f aca="false">IF(E2765=E2764,F2765/F2764-1,"")</f>
        <v>0</v>
      </c>
    </row>
    <row r="2766" customFormat="false" ht="14.25" hidden="false" customHeight="true" outlineLevel="0" collapsed="false">
      <c r="A2766" s="26" t="n">
        <v>19633</v>
      </c>
      <c r="B2766" s="1" t="n">
        <v>1953</v>
      </c>
      <c r="C2766" s="1" t="n">
        <v>10</v>
      </c>
      <c r="D2766" s="1" t="s">
        <v>51</v>
      </c>
      <c r="E2766" s="1" t="s">
        <v>2</v>
      </c>
      <c r="F2766" s="1" t="n">
        <v>0.85</v>
      </c>
      <c r="G2766" s="1" t="n">
        <f aca="false">IF(E2766=E2765,F2766/F2765-1,"")</f>
        <v>0</v>
      </c>
    </row>
    <row r="2767" customFormat="false" ht="14.25" hidden="false" customHeight="true" outlineLevel="0" collapsed="false">
      <c r="A2767" s="26" t="n">
        <v>19664</v>
      </c>
      <c r="B2767" s="1" t="n">
        <v>1953</v>
      </c>
      <c r="C2767" s="1" t="n">
        <v>11</v>
      </c>
      <c r="D2767" s="1" t="s">
        <v>52</v>
      </c>
      <c r="E2767" s="1" t="s">
        <v>2</v>
      </c>
      <c r="F2767" s="1" t="n">
        <v>0.85</v>
      </c>
      <c r="G2767" s="1" t="n">
        <f aca="false">IF(E2767=E2766,F2767/F2766-1,"")</f>
        <v>0</v>
      </c>
    </row>
    <row r="2768" customFormat="false" ht="14.25" hidden="false" customHeight="true" outlineLevel="0" collapsed="false">
      <c r="A2768" s="26" t="n">
        <v>19694</v>
      </c>
      <c r="B2768" s="1" t="n">
        <v>1953</v>
      </c>
      <c r="C2768" s="1" t="n">
        <v>12</v>
      </c>
      <c r="D2768" s="1" t="s">
        <v>53</v>
      </c>
      <c r="E2768" s="1" t="s">
        <v>2</v>
      </c>
      <c r="F2768" s="1" t="n">
        <v>0.85</v>
      </c>
      <c r="G2768" s="1" t="n">
        <f aca="false">IF(E2768=E2767,F2768/F2767-1,"")</f>
        <v>0</v>
      </c>
    </row>
    <row r="2769" customFormat="false" ht="14.25" hidden="false" customHeight="true" outlineLevel="0" collapsed="false">
      <c r="A2769" s="26" t="n">
        <v>19725</v>
      </c>
      <c r="B2769" s="1" t="n">
        <v>1954</v>
      </c>
      <c r="C2769" s="1" t="n">
        <v>1</v>
      </c>
      <c r="D2769" s="1" t="s">
        <v>42</v>
      </c>
      <c r="E2769" s="1" t="s">
        <v>2</v>
      </c>
      <c r="F2769" s="1" t="n">
        <v>0.85</v>
      </c>
      <c r="G2769" s="1" t="n">
        <f aca="false">IF(E2769=E2768,F2769/F2768-1,"")</f>
        <v>0</v>
      </c>
    </row>
    <row r="2770" customFormat="false" ht="14.25" hidden="false" customHeight="true" outlineLevel="0" collapsed="false">
      <c r="A2770" s="26" t="n">
        <v>19756</v>
      </c>
      <c r="B2770" s="1" t="n">
        <v>1954</v>
      </c>
      <c r="C2770" s="1" t="n">
        <v>2</v>
      </c>
      <c r="D2770" s="1" t="s">
        <v>43</v>
      </c>
      <c r="E2770" s="1" t="s">
        <v>2</v>
      </c>
      <c r="F2770" s="1" t="n">
        <v>0.85</v>
      </c>
      <c r="G2770" s="1" t="n">
        <f aca="false">IF(E2770=E2769,F2770/F2769-1,"")</f>
        <v>0</v>
      </c>
    </row>
    <row r="2771" customFormat="false" ht="14.25" hidden="false" customHeight="true" outlineLevel="0" collapsed="false">
      <c r="A2771" s="26" t="n">
        <v>19784</v>
      </c>
      <c r="B2771" s="1" t="n">
        <v>1954</v>
      </c>
      <c r="C2771" s="1" t="n">
        <v>3</v>
      </c>
      <c r="D2771" s="1" t="s">
        <v>44</v>
      </c>
      <c r="E2771" s="1" t="s">
        <v>2</v>
      </c>
      <c r="F2771" s="1" t="n">
        <v>0.85</v>
      </c>
      <c r="G2771" s="1" t="n">
        <f aca="false">IF(E2771=E2770,F2771/F2770-1,"")</f>
        <v>0</v>
      </c>
    </row>
    <row r="2772" customFormat="false" ht="14.25" hidden="false" customHeight="true" outlineLevel="0" collapsed="false">
      <c r="A2772" s="26" t="n">
        <v>19815</v>
      </c>
      <c r="B2772" s="1" t="n">
        <v>1954</v>
      </c>
      <c r="C2772" s="1" t="n">
        <v>4</v>
      </c>
      <c r="D2772" s="1" t="s">
        <v>45</v>
      </c>
      <c r="E2772" s="1" t="s">
        <v>2</v>
      </c>
      <c r="F2772" s="1" t="n">
        <v>0.85</v>
      </c>
      <c r="G2772" s="1" t="n">
        <f aca="false">IF(E2772=E2771,F2772/F2771-1,"")</f>
        <v>0</v>
      </c>
    </row>
    <row r="2773" customFormat="false" ht="14.25" hidden="false" customHeight="true" outlineLevel="0" collapsed="false">
      <c r="A2773" s="26" t="n">
        <v>19845</v>
      </c>
      <c r="B2773" s="1" t="n">
        <v>1954</v>
      </c>
      <c r="C2773" s="1" t="n">
        <v>5</v>
      </c>
      <c r="D2773" s="1" t="s">
        <v>46</v>
      </c>
      <c r="E2773" s="1" t="s">
        <v>2</v>
      </c>
      <c r="F2773" s="1" t="n">
        <v>0.85</v>
      </c>
      <c r="G2773" s="1" t="n">
        <f aca="false">IF(E2773=E2772,F2773/F2772-1,"")</f>
        <v>0</v>
      </c>
    </row>
    <row r="2774" customFormat="false" ht="14.25" hidden="false" customHeight="true" outlineLevel="0" collapsed="false">
      <c r="A2774" s="26" t="n">
        <v>19876</v>
      </c>
      <c r="B2774" s="1" t="n">
        <v>1954</v>
      </c>
      <c r="C2774" s="1" t="n">
        <v>6</v>
      </c>
      <c r="D2774" s="1" t="s">
        <v>47</v>
      </c>
      <c r="E2774" s="1" t="s">
        <v>2</v>
      </c>
      <c r="F2774" s="1" t="n">
        <v>0.85</v>
      </c>
      <c r="G2774" s="1" t="n">
        <f aca="false">IF(E2774=E2773,F2774/F2773-1,"")</f>
        <v>0</v>
      </c>
    </row>
    <row r="2775" customFormat="false" ht="14.25" hidden="false" customHeight="true" outlineLevel="0" collapsed="false">
      <c r="A2775" s="26" t="n">
        <v>19906</v>
      </c>
      <c r="B2775" s="1" t="n">
        <v>1954</v>
      </c>
      <c r="C2775" s="1" t="n">
        <v>7</v>
      </c>
      <c r="D2775" s="1" t="s">
        <v>48</v>
      </c>
      <c r="E2775" s="1" t="s">
        <v>2</v>
      </c>
      <c r="F2775" s="1" t="n">
        <v>0.85</v>
      </c>
      <c r="G2775" s="1" t="n">
        <f aca="false">IF(E2775=E2774,F2775/F2774-1,"")</f>
        <v>0</v>
      </c>
    </row>
    <row r="2776" customFormat="false" ht="14.25" hidden="false" customHeight="true" outlineLevel="0" collapsed="false">
      <c r="A2776" s="26" t="n">
        <v>19937</v>
      </c>
      <c r="B2776" s="1" t="n">
        <v>1954</v>
      </c>
      <c r="C2776" s="1" t="n">
        <v>8</v>
      </c>
      <c r="D2776" s="1" t="s">
        <v>49</v>
      </c>
      <c r="E2776" s="1" t="s">
        <v>2</v>
      </c>
      <c r="F2776" s="1" t="n">
        <v>0.85</v>
      </c>
      <c r="G2776" s="1" t="n">
        <f aca="false">IF(E2776=E2775,F2776/F2775-1,"")</f>
        <v>0</v>
      </c>
    </row>
    <row r="2777" customFormat="false" ht="14.25" hidden="false" customHeight="true" outlineLevel="0" collapsed="false">
      <c r="A2777" s="26" t="n">
        <v>19968</v>
      </c>
      <c r="B2777" s="1" t="n">
        <v>1954</v>
      </c>
      <c r="C2777" s="1" t="n">
        <v>9</v>
      </c>
      <c r="D2777" s="1" t="s">
        <v>50</v>
      </c>
      <c r="E2777" s="1" t="s">
        <v>2</v>
      </c>
      <c r="F2777" s="1" t="n">
        <v>0.85</v>
      </c>
      <c r="G2777" s="1" t="n">
        <f aca="false">IF(E2777=E2776,F2777/F2776-1,"")</f>
        <v>0</v>
      </c>
    </row>
    <row r="2778" customFormat="false" ht="14.25" hidden="false" customHeight="true" outlineLevel="0" collapsed="false">
      <c r="A2778" s="26" t="n">
        <v>19998</v>
      </c>
      <c r="B2778" s="1" t="n">
        <v>1954</v>
      </c>
      <c r="C2778" s="1" t="n">
        <v>10</v>
      </c>
      <c r="D2778" s="1" t="s">
        <v>51</v>
      </c>
      <c r="E2778" s="1" t="s">
        <v>2</v>
      </c>
      <c r="F2778" s="1" t="n">
        <v>0.85</v>
      </c>
      <c r="G2778" s="1" t="n">
        <f aca="false">IF(E2778=E2777,F2778/F2777-1,"")</f>
        <v>0</v>
      </c>
    </row>
    <row r="2779" customFormat="false" ht="14.25" hidden="false" customHeight="true" outlineLevel="0" collapsed="false">
      <c r="A2779" s="26" t="n">
        <v>20029</v>
      </c>
      <c r="B2779" s="1" t="n">
        <v>1954</v>
      </c>
      <c r="C2779" s="1" t="n">
        <v>11</v>
      </c>
      <c r="D2779" s="1" t="s">
        <v>52</v>
      </c>
      <c r="E2779" s="1" t="s">
        <v>2</v>
      </c>
      <c r="F2779" s="1" t="n">
        <v>0.85</v>
      </c>
      <c r="G2779" s="1" t="n">
        <f aca="false">IF(E2779=E2778,F2779/F2778-1,"")</f>
        <v>0</v>
      </c>
    </row>
    <row r="2780" customFormat="false" ht="14.25" hidden="false" customHeight="true" outlineLevel="0" collapsed="false">
      <c r="A2780" s="26" t="n">
        <v>20059</v>
      </c>
      <c r="B2780" s="1" t="n">
        <v>1954</v>
      </c>
      <c r="C2780" s="1" t="n">
        <v>12</v>
      </c>
      <c r="D2780" s="1" t="s">
        <v>53</v>
      </c>
      <c r="E2780" s="1" t="s">
        <v>2</v>
      </c>
      <c r="F2780" s="1" t="n">
        <v>0.85</v>
      </c>
      <c r="G2780" s="1" t="n">
        <f aca="false">IF(E2780=E2779,F2780/F2779-1,"")</f>
        <v>0</v>
      </c>
    </row>
    <row r="2781" customFormat="false" ht="14.25" hidden="false" customHeight="true" outlineLevel="0" collapsed="false">
      <c r="A2781" s="26" t="n">
        <v>20090</v>
      </c>
      <c r="B2781" s="1" t="n">
        <v>1955</v>
      </c>
      <c r="C2781" s="1" t="n">
        <v>1</v>
      </c>
      <c r="D2781" s="1" t="s">
        <v>42</v>
      </c>
      <c r="E2781" s="1" t="s">
        <v>2</v>
      </c>
      <c r="F2781" s="1" t="n">
        <v>0.89</v>
      </c>
      <c r="G2781" s="1" t="n">
        <f aca="false">IF(E2781=E2780,F2781/F2780-1,"")</f>
        <v>0.0470588235294118</v>
      </c>
    </row>
    <row r="2782" customFormat="false" ht="14.25" hidden="false" customHeight="true" outlineLevel="0" collapsed="false">
      <c r="A2782" s="26" t="n">
        <v>20121</v>
      </c>
      <c r="B2782" s="1" t="n">
        <v>1955</v>
      </c>
      <c r="C2782" s="1" t="n">
        <v>2</v>
      </c>
      <c r="D2782" s="1" t="s">
        <v>43</v>
      </c>
      <c r="E2782" s="1" t="s">
        <v>2</v>
      </c>
      <c r="F2782" s="1" t="n">
        <v>0.89</v>
      </c>
      <c r="G2782" s="1" t="n">
        <f aca="false">IF(E2782=E2781,F2782/F2781-1,"")</f>
        <v>0</v>
      </c>
    </row>
    <row r="2783" customFormat="false" ht="14.25" hidden="false" customHeight="true" outlineLevel="0" collapsed="false">
      <c r="A2783" s="26" t="n">
        <v>20149</v>
      </c>
      <c r="B2783" s="1" t="n">
        <v>1955</v>
      </c>
      <c r="C2783" s="1" t="n">
        <v>3</v>
      </c>
      <c r="D2783" s="1" t="s">
        <v>44</v>
      </c>
      <c r="E2783" s="1" t="s">
        <v>2</v>
      </c>
      <c r="F2783" s="1" t="n">
        <v>0.89</v>
      </c>
      <c r="G2783" s="1" t="n">
        <f aca="false">IF(E2783=E2782,F2783/F2782-1,"")</f>
        <v>0</v>
      </c>
    </row>
    <row r="2784" customFormat="false" ht="14.25" hidden="false" customHeight="true" outlineLevel="0" collapsed="false">
      <c r="A2784" s="26" t="n">
        <v>20180</v>
      </c>
      <c r="B2784" s="1" t="n">
        <v>1955</v>
      </c>
      <c r="C2784" s="1" t="n">
        <v>4</v>
      </c>
      <c r="D2784" s="1" t="s">
        <v>45</v>
      </c>
      <c r="E2784" s="1" t="s">
        <v>2</v>
      </c>
      <c r="F2784" s="1" t="n">
        <v>0.89</v>
      </c>
      <c r="G2784" s="1" t="n">
        <f aca="false">IF(E2784=E2783,F2784/F2783-1,"")</f>
        <v>0</v>
      </c>
    </row>
    <row r="2785" customFormat="false" ht="14.25" hidden="false" customHeight="true" outlineLevel="0" collapsed="false">
      <c r="A2785" s="26" t="n">
        <v>20210</v>
      </c>
      <c r="B2785" s="1" t="n">
        <v>1955</v>
      </c>
      <c r="C2785" s="1" t="n">
        <v>5</v>
      </c>
      <c r="D2785" s="1" t="s">
        <v>46</v>
      </c>
      <c r="E2785" s="1" t="s">
        <v>2</v>
      </c>
      <c r="F2785" s="1" t="n">
        <v>0.89</v>
      </c>
      <c r="G2785" s="1" t="n">
        <f aca="false">IF(E2785=E2784,F2785/F2784-1,"")</f>
        <v>0</v>
      </c>
    </row>
    <row r="2786" customFormat="false" ht="14.25" hidden="false" customHeight="true" outlineLevel="0" collapsed="false">
      <c r="A2786" s="26" t="n">
        <v>20241</v>
      </c>
      <c r="B2786" s="1" t="n">
        <v>1955</v>
      </c>
      <c r="C2786" s="1" t="n">
        <v>6</v>
      </c>
      <c r="D2786" s="1" t="s">
        <v>47</v>
      </c>
      <c r="E2786" s="1" t="s">
        <v>2</v>
      </c>
      <c r="F2786" s="1" t="n">
        <v>0.89</v>
      </c>
      <c r="G2786" s="1" t="n">
        <f aca="false">IF(E2786=E2785,F2786/F2785-1,"")</f>
        <v>0</v>
      </c>
    </row>
    <row r="2787" customFormat="false" ht="14.25" hidden="false" customHeight="true" outlineLevel="0" collapsed="false">
      <c r="A2787" s="26" t="n">
        <v>20271</v>
      </c>
      <c r="B2787" s="1" t="n">
        <v>1955</v>
      </c>
      <c r="C2787" s="1" t="n">
        <v>7</v>
      </c>
      <c r="D2787" s="1" t="s">
        <v>48</v>
      </c>
      <c r="E2787" s="1" t="s">
        <v>2</v>
      </c>
      <c r="F2787" s="1" t="n">
        <v>0.89</v>
      </c>
      <c r="G2787" s="1" t="n">
        <f aca="false">IF(E2787=E2786,F2787/F2786-1,"")</f>
        <v>0</v>
      </c>
    </row>
    <row r="2788" customFormat="false" ht="14.25" hidden="false" customHeight="true" outlineLevel="0" collapsed="false">
      <c r="A2788" s="26" t="n">
        <v>20302</v>
      </c>
      <c r="B2788" s="1" t="n">
        <v>1955</v>
      </c>
      <c r="C2788" s="1" t="n">
        <v>8</v>
      </c>
      <c r="D2788" s="1" t="s">
        <v>49</v>
      </c>
      <c r="E2788" s="1" t="s">
        <v>2</v>
      </c>
      <c r="F2788" s="1" t="n">
        <v>0.89</v>
      </c>
      <c r="G2788" s="1" t="n">
        <f aca="false">IF(E2788=E2787,F2788/F2787-1,"")</f>
        <v>0</v>
      </c>
    </row>
    <row r="2789" customFormat="false" ht="14.25" hidden="false" customHeight="true" outlineLevel="0" collapsed="false">
      <c r="A2789" s="26" t="n">
        <v>20333</v>
      </c>
      <c r="B2789" s="1" t="n">
        <v>1955</v>
      </c>
      <c r="C2789" s="1" t="n">
        <v>9</v>
      </c>
      <c r="D2789" s="1" t="s">
        <v>50</v>
      </c>
      <c r="E2789" s="1" t="s">
        <v>2</v>
      </c>
      <c r="F2789" s="1" t="n">
        <v>0.89</v>
      </c>
      <c r="G2789" s="1" t="n">
        <f aca="false">IF(E2789=E2788,F2789/F2788-1,"")</f>
        <v>0</v>
      </c>
    </row>
    <row r="2790" customFormat="false" ht="14.25" hidden="false" customHeight="true" outlineLevel="0" collapsed="false">
      <c r="A2790" s="26" t="n">
        <v>20363</v>
      </c>
      <c r="B2790" s="1" t="n">
        <v>1955</v>
      </c>
      <c r="C2790" s="1" t="n">
        <v>10</v>
      </c>
      <c r="D2790" s="1" t="s">
        <v>51</v>
      </c>
      <c r="E2790" s="1" t="s">
        <v>2</v>
      </c>
      <c r="F2790" s="1" t="n">
        <v>0.89</v>
      </c>
      <c r="G2790" s="1" t="n">
        <f aca="false">IF(E2790=E2789,F2790/F2789-1,"")</f>
        <v>0</v>
      </c>
    </row>
    <row r="2791" customFormat="false" ht="14.25" hidden="false" customHeight="true" outlineLevel="0" collapsed="false">
      <c r="A2791" s="26" t="n">
        <v>20394</v>
      </c>
      <c r="B2791" s="1" t="n">
        <v>1955</v>
      </c>
      <c r="C2791" s="1" t="n">
        <v>11</v>
      </c>
      <c r="D2791" s="1" t="s">
        <v>52</v>
      </c>
      <c r="E2791" s="1" t="s">
        <v>2</v>
      </c>
      <c r="F2791" s="1" t="n">
        <v>0.89</v>
      </c>
      <c r="G2791" s="1" t="n">
        <f aca="false">IF(E2791=E2790,F2791/F2790-1,"")</f>
        <v>0</v>
      </c>
    </row>
    <row r="2792" customFormat="false" ht="14.25" hidden="false" customHeight="true" outlineLevel="0" collapsed="false">
      <c r="A2792" s="26" t="n">
        <v>20424</v>
      </c>
      <c r="B2792" s="1" t="n">
        <v>1955</v>
      </c>
      <c r="C2792" s="1" t="n">
        <v>12</v>
      </c>
      <c r="D2792" s="1" t="s">
        <v>53</v>
      </c>
      <c r="E2792" s="1" t="s">
        <v>2</v>
      </c>
      <c r="F2792" s="1" t="n">
        <v>0.89</v>
      </c>
      <c r="G2792" s="1" t="n">
        <f aca="false">IF(E2792=E2791,F2792/F2791-1,"")</f>
        <v>0</v>
      </c>
    </row>
    <row r="2793" customFormat="false" ht="14.25" hidden="false" customHeight="true" outlineLevel="0" collapsed="false">
      <c r="A2793" s="26" t="n">
        <v>20455</v>
      </c>
      <c r="B2793" s="1" t="n">
        <v>1956</v>
      </c>
      <c r="C2793" s="1" t="n">
        <v>1</v>
      </c>
      <c r="D2793" s="1" t="s">
        <v>42</v>
      </c>
      <c r="E2793" s="1" t="s">
        <v>2</v>
      </c>
      <c r="F2793" s="1" t="n">
        <v>0.92</v>
      </c>
      <c r="G2793" s="1" t="n">
        <f aca="false">IF(E2793=E2792,F2793/F2792-1,"")</f>
        <v>0.0337078651685394</v>
      </c>
    </row>
    <row r="2794" customFormat="false" ht="14.25" hidden="false" customHeight="true" outlineLevel="0" collapsed="false">
      <c r="A2794" s="26" t="n">
        <v>20486</v>
      </c>
      <c r="B2794" s="1" t="n">
        <v>1956</v>
      </c>
      <c r="C2794" s="1" t="n">
        <v>2</v>
      </c>
      <c r="D2794" s="1" t="s">
        <v>43</v>
      </c>
      <c r="E2794" s="1" t="s">
        <v>2</v>
      </c>
      <c r="F2794" s="1" t="n">
        <v>0.92</v>
      </c>
      <c r="G2794" s="1" t="n">
        <f aca="false">IF(E2794=E2793,F2794/F2793-1,"")</f>
        <v>0</v>
      </c>
    </row>
    <row r="2795" customFormat="false" ht="14.25" hidden="false" customHeight="true" outlineLevel="0" collapsed="false">
      <c r="A2795" s="26" t="n">
        <v>20515</v>
      </c>
      <c r="B2795" s="1" t="n">
        <v>1956</v>
      </c>
      <c r="C2795" s="1" t="n">
        <v>3</v>
      </c>
      <c r="D2795" s="1" t="s">
        <v>44</v>
      </c>
      <c r="E2795" s="1" t="s">
        <v>2</v>
      </c>
      <c r="F2795" s="1" t="n">
        <v>0.92</v>
      </c>
      <c r="G2795" s="1" t="n">
        <f aca="false">IF(E2795=E2794,F2795/F2794-1,"")</f>
        <v>0</v>
      </c>
    </row>
    <row r="2796" customFormat="false" ht="14.25" hidden="false" customHeight="true" outlineLevel="0" collapsed="false">
      <c r="A2796" s="26" t="n">
        <v>20546</v>
      </c>
      <c r="B2796" s="1" t="n">
        <v>1956</v>
      </c>
      <c r="C2796" s="1" t="n">
        <v>4</v>
      </c>
      <c r="D2796" s="1" t="s">
        <v>45</v>
      </c>
      <c r="E2796" s="1" t="s">
        <v>2</v>
      </c>
      <c r="F2796" s="1" t="n">
        <v>0.92</v>
      </c>
      <c r="G2796" s="1" t="n">
        <f aca="false">IF(E2796=E2795,F2796/F2795-1,"")</f>
        <v>0</v>
      </c>
    </row>
    <row r="2797" customFormat="false" ht="14.25" hidden="false" customHeight="true" outlineLevel="0" collapsed="false">
      <c r="A2797" s="26" t="n">
        <v>20576</v>
      </c>
      <c r="B2797" s="1" t="n">
        <v>1956</v>
      </c>
      <c r="C2797" s="1" t="n">
        <v>5</v>
      </c>
      <c r="D2797" s="1" t="s">
        <v>46</v>
      </c>
      <c r="E2797" s="1" t="s">
        <v>2</v>
      </c>
      <c r="F2797" s="1" t="n">
        <v>0.92</v>
      </c>
      <c r="G2797" s="1" t="n">
        <f aca="false">IF(E2797=E2796,F2797/F2796-1,"")</f>
        <v>0</v>
      </c>
    </row>
    <row r="2798" customFormat="false" ht="14.25" hidden="false" customHeight="true" outlineLevel="0" collapsed="false">
      <c r="A2798" s="26" t="n">
        <v>20607</v>
      </c>
      <c r="B2798" s="1" t="n">
        <v>1956</v>
      </c>
      <c r="C2798" s="1" t="n">
        <v>6</v>
      </c>
      <c r="D2798" s="1" t="s">
        <v>47</v>
      </c>
      <c r="E2798" s="1" t="s">
        <v>2</v>
      </c>
      <c r="F2798" s="1" t="n">
        <v>0.92</v>
      </c>
      <c r="G2798" s="1" t="n">
        <f aca="false">IF(E2798=E2797,F2798/F2797-1,"")</f>
        <v>0</v>
      </c>
    </row>
    <row r="2799" customFormat="false" ht="14.25" hidden="false" customHeight="true" outlineLevel="0" collapsed="false">
      <c r="A2799" s="26" t="n">
        <v>20637</v>
      </c>
      <c r="B2799" s="1" t="n">
        <v>1956</v>
      </c>
      <c r="C2799" s="1" t="n">
        <v>7</v>
      </c>
      <c r="D2799" s="1" t="s">
        <v>48</v>
      </c>
      <c r="E2799" s="1" t="s">
        <v>2</v>
      </c>
      <c r="F2799" s="1" t="n">
        <v>0.92</v>
      </c>
      <c r="G2799" s="1" t="n">
        <f aca="false">IF(E2799=E2798,F2799/F2798-1,"")</f>
        <v>0</v>
      </c>
    </row>
    <row r="2800" customFormat="false" ht="14.25" hidden="false" customHeight="true" outlineLevel="0" collapsed="false">
      <c r="A2800" s="26" t="n">
        <v>20668</v>
      </c>
      <c r="B2800" s="1" t="n">
        <v>1956</v>
      </c>
      <c r="C2800" s="1" t="n">
        <v>8</v>
      </c>
      <c r="D2800" s="1" t="s">
        <v>49</v>
      </c>
      <c r="E2800" s="1" t="s">
        <v>2</v>
      </c>
      <c r="F2800" s="1" t="n">
        <v>0.92</v>
      </c>
      <c r="G2800" s="1" t="n">
        <f aca="false">IF(E2800=E2799,F2800/F2799-1,"")</f>
        <v>0</v>
      </c>
    </row>
    <row r="2801" customFormat="false" ht="14.25" hidden="false" customHeight="true" outlineLevel="0" collapsed="false">
      <c r="A2801" s="26" t="n">
        <v>20699</v>
      </c>
      <c r="B2801" s="1" t="n">
        <v>1956</v>
      </c>
      <c r="C2801" s="1" t="n">
        <v>9</v>
      </c>
      <c r="D2801" s="1" t="s">
        <v>50</v>
      </c>
      <c r="E2801" s="1" t="s">
        <v>2</v>
      </c>
      <c r="F2801" s="1" t="n">
        <v>0.92</v>
      </c>
      <c r="G2801" s="1" t="n">
        <f aca="false">IF(E2801=E2800,F2801/F2800-1,"")</f>
        <v>0</v>
      </c>
    </row>
    <row r="2802" customFormat="false" ht="14.25" hidden="false" customHeight="true" outlineLevel="0" collapsed="false">
      <c r="A2802" s="26" t="n">
        <v>20729</v>
      </c>
      <c r="B2802" s="1" t="n">
        <v>1956</v>
      </c>
      <c r="C2802" s="1" t="n">
        <v>10</v>
      </c>
      <c r="D2802" s="1" t="s">
        <v>51</v>
      </c>
      <c r="E2802" s="1" t="s">
        <v>2</v>
      </c>
      <c r="F2802" s="1" t="n">
        <v>0.92</v>
      </c>
      <c r="G2802" s="1" t="n">
        <f aca="false">IF(E2802=E2801,F2802/F2801-1,"")</f>
        <v>0</v>
      </c>
    </row>
    <row r="2803" customFormat="false" ht="14.25" hidden="false" customHeight="true" outlineLevel="0" collapsed="false">
      <c r="A2803" s="26" t="n">
        <v>20760</v>
      </c>
      <c r="B2803" s="1" t="n">
        <v>1956</v>
      </c>
      <c r="C2803" s="1" t="n">
        <v>11</v>
      </c>
      <c r="D2803" s="1" t="s">
        <v>52</v>
      </c>
      <c r="E2803" s="1" t="s">
        <v>2</v>
      </c>
      <c r="F2803" s="1" t="n">
        <v>0.92</v>
      </c>
      <c r="G2803" s="1" t="n">
        <f aca="false">IF(E2803=E2802,F2803/F2802-1,"")</f>
        <v>0</v>
      </c>
    </row>
    <row r="2804" customFormat="false" ht="14.25" hidden="false" customHeight="true" outlineLevel="0" collapsed="false">
      <c r="A2804" s="26" t="n">
        <v>20790</v>
      </c>
      <c r="B2804" s="1" t="n">
        <v>1956</v>
      </c>
      <c r="C2804" s="1" t="n">
        <v>12</v>
      </c>
      <c r="D2804" s="1" t="s">
        <v>53</v>
      </c>
      <c r="E2804" s="1" t="s">
        <v>2</v>
      </c>
      <c r="F2804" s="1" t="n">
        <v>0.92</v>
      </c>
      <c r="G2804" s="1" t="n">
        <f aca="false">IF(E2804=E2803,F2804/F2803-1,"")</f>
        <v>0</v>
      </c>
    </row>
    <row r="2805" customFormat="false" ht="14.25" hidden="false" customHeight="true" outlineLevel="0" collapsed="false">
      <c r="A2805" s="26" t="n">
        <v>20821</v>
      </c>
      <c r="B2805" s="1" t="n">
        <v>1957</v>
      </c>
      <c r="C2805" s="1" t="n">
        <v>1</v>
      </c>
      <c r="D2805" s="1" t="s">
        <v>42</v>
      </c>
      <c r="E2805" s="1" t="s">
        <v>2</v>
      </c>
      <c r="F2805" s="1" t="n">
        <v>0.92</v>
      </c>
      <c r="G2805" s="1" t="n">
        <f aca="false">IF(E2805=E2804,F2805/F2804-1,"")</f>
        <v>0</v>
      </c>
    </row>
    <row r="2806" customFormat="false" ht="14.25" hidden="false" customHeight="true" outlineLevel="0" collapsed="false">
      <c r="A2806" s="26" t="n">
        <v>20852</v>
      </c>
      <c r="B2806" s="1" t="n">
        <v>1957</v>
      </c>
      <c r="C2806" s="1" t="n">
        <v>2</v>
      </c>
      <c r="D2806" s="1" t="s">
        <v>43</v>
      </c>
      <c r="E2806" s="1" t="s">
        <v>2</v>
      </c>
      <c r="F2806" s="1" t="n">
        <v>0.92</v>
      </c>
      <c r="G2806" s="1" t="n">
        <f aca="false">IF(E2806=E2805,F2806/F2805-1,"")</f>
        <v>0</v>
      </c>
    </row>
    <row r="2807" customFormat="false" ht="14.25" hidden="false" customHeight="true" outlineLevel="0" collapsed="false">
      <c r="A2807" s="26" t="n">
        <v>20880</v>
      </c>
      <c r="B2807" s="1" t="n">
        <v>1957</v>
      </c>
      <c r="C2807" s="1" t="n">
        <v>3</v>
      </c>
      <c r="D2807" s="1" t="s">
        <v>44</v>
      </c>
      <c r="E2807" s="1" t="s">
        <v>2</v>
      </c>
      <c r="F2807" s="1" t="n">
        <v>0.92</v>
      </c>
      <c r="G2807" s="1" t="n">
        <f aca="false">IF(E2807=E2806,F2807/F2806-1,"")</f>
        <v>0</v>
      </c>
    </row>
    <row r="2808" customFormat="false" ht="14.25" hidden="false" customHeight="true" outlineLevel="0" collapsed="false">
      <c r="A2808" s="26" t="n">
        <v>20911</v>
      </c>
      <c r="B2808" s="1" t="n">
        <v>1957</v>
      </c>
      <c r="C2808" s="1" t="n">
        <v>4</v>
      </c>
      <c r="D2808" s="1" t="s">
        <v>45</v>
      </c>
      <c r="E2808" s="1" t="s">
        <v>2</v>
      </c>
      <c r="F2808" s="1" t="n">
        <v>0.92</v>
      </c>
      <c r="G2808" s="1" t="n">
        <f aca="false">IF(E2808=E2807,F2808/F2807-1,"")</f>
        <v>0</v>
      </c>
    </row>
    <row r="2809" customFormat="false" ht="14.25" hidden="false" customHeight="true" outlineLevel="0" collapsed="false">
      <c r="A2809" s="26" t="n">
        <v>20941</v>
      </c>
      <c r="B2809" s="1" t="n">
        <v>1957</v>
      </c>
      <c r="C2809" s="1" t="n">
        <v>5</v>
      </c>
      <c r="D2809" s="1" t="s">
        <v>46</v>
      </c>
      <c r="E2809" s="1" t="s">
        <v>2</v>
      </c>
      <c r="F2809" s="1" t="n">
        <v>0.92</v>
      </c>
      <c r="G2809" s="1" t="n">
        <f aca="false">IF(E2809=E2808,F2809/F2808-1,"")</f>
        <v>0</v>
      </c>
    </row>
    <row r="2810" customFormat="false" ht="14.25" hidden="false" customHeight="true" outlineLevel="0" collapsed="false">
      <c r="A2810" s="26" t="n">
        <v>20972</v>
      </c>
      <c r="B2810" s="1" t="n">
        <v>1957</v>
      </c>
      <c r="C2810" s="1" t="n">
        <v>6</v>
      </c>
      <c r="D2810" s="1" t="s">
        <v>47</v>
      </c>
      <c r="E2810" s="1" t="s">
        <v>2</v>
      </c>
      <c r="F2810" s="1" t="n">
        <v>0.92</v>
      </c>
      <c r="G2810" s="1" t="n">
        <f aca="false">IF(E2810=E2809,F2810/F2809-1,"")</f>
        <v>0</v>
      </c>
    </row>
    <row r="2811" customFormat="false" ht="14.25" hidden="false" customHeight="true" outlineLevel="0" collapsed="false">
      <c r="A2811" s="26" t="n">
        <v>21002</v>
      </c>
      <c r="B2811" s="1" t="n">
        <v>1957</v>
      </c>
      <c r="C2811" s="1" t="n">
        <v>7</v>
      </c>
      <c r="D2811" s="1" t="s">
        <v>48</v>
      </c>
      <c r="E2811" s="1" t="s">
        <v>2</v>
      </c>
      <c r="F2811" s="1" t="n">
        <v>0.92</v>
      </c>
      <c r="G2811" s="1" t="n">
        <f aca="false">IF(E2811=E2810,F2811/F2810-1,"")</f>
        <v>0</v>
      </c>
    </row>
    <row r="2812" customFormat="false" ht="14.25" hidden="false" customHeight="true" outlineLevel="0" collapsed="false">
      <c r="A2812" s="26" t="n">
        <v>21033</v>
      </c>
      <c r="B2812" s="1" t="n">
        <v>1957</v>
      </c>
      <c r="C2812" s="1" t="n">
        <v>8</v>
      </c>
      <c r="D2812" s="1" t="s">
        <v>49</v>
      </c>
      <c r="E2812" s="1" t="s">
        <v>2</v>
      </c>
      <c r="F2812" s="1" t="n">
        <v>0.92</v>
      </c>
      <c r="G2812" s="1" t="n">
        <f aca="false">IF(E2812=E2811,F2812/F2811-1,"")</f>
        <v>0</v>
      </c>
    </row>
    <row r="2813" customFormat="false" ht="14.25" hidden="false" customHeight="true" outlineLevel="0" collapsed="false">
      <c r="A2813" s="26" t="n">
        <v>21064</v>
      </c>
      <c r="B2813" s="1" t="n">
        <v>1957</v>
      </c>
      <c r="C2813" s="1" t="n">
        <v>9</v>
      </c>
      <c r="D2813" s="1" t="s">
        <v>50</v>
      </c>
      <c r="E2813" s="1" t="s">
        <v>2</v>
      </c>
      <c r="F2813" s="1" t="n">
        <v>0.92</v>
      </c>
      <c r="G2813" s="1" t="n">
        <f aca="false">IF(E2813=E2812,F2813/F2812-1,"")</f>
        <v>0</v>
      </c>
    </row>
    <row r="2814" customFormat="false" ht="14.25" hidden="false" customHeight="true" outlineLevel="0" collapsed="false">
      <c r="A2814" s="26" t="n">
        <v>21094</v>
      </c>
      <c r="B2814" s="1" t="n">
        <v>1957</v>
      </c>
      <c r="C2814" s="1" t="n">
        <v>10</v>
      </c>
      <c r="D2814" s="1" t="s">
        <v>51</v>
      </c>
      <c r="E2814" s="1" t="s">
        <v>2</v>
      </c>
      <c r="F2814" s="1" t="n">
        <v>0.92</v>
      </c>
      <c r="G2814" s="1" t="n">
        <f aca="false">IF(E2814=E2813,F2814/F2813-1,"")</f>
        <v>0</v>
      </c>
    </row>
    <row r="2815" customFormat="false" ht="14.25" hidden="false" customHeight="true" outlineLevel="0" collapsed="false">
      <c r="A2815" s="26" t="n">
        <v>21125</v>
      </c>
      <c r="B2815" s="1" t="n">
        <v>1957</v>
      </c>
      <c r="C2815" s="1" t="n">
        <v>11</v>
      </c>
      <c r="D2815" s="1" t="s">
        <v>52</v>
      </c>
      <c r="E2815" s="1" t="s">
        <v>2</v>
      </c>
      <c r="F2815" s="1" t="n">
        <v>0.92</v>
      </c>
      <c r="G2815" s="1" t="n">
        <f aca="false">IF(E2815=E2814,F2815/F2814-1,"")</f>
        <v>0</v>
      </c>
    </row>
    <row r="2816" customFormat="false" ht="14.25" hidden="false" customHeight="true" outlineLevel="0" collapsed="false">
      <c r="A2816" s="26" t="n">
        <v>21155</v>
      </c>
      <c r="B2816" s="1" t="n">
        <v>1957</v>
      </c>
      <c r="C2816" s="1" t="n">
        <v>12</v>
      </c>
      <c r="D2816" s="1" t="s">
        <v>53</v>
      </c>
      <c r="E2816" s="1" t="s">
        <v>2</v>
      </c>
      <c r="F2816" s="1" t="n">
        <v>0.92</v>
      </c>
      <c r="G2816" s="1" t="n">
        <f aca="false">IF(E2816=E2815,F2816/F2815-1,"")</f>
        <v>0</v>
      </c>
    </row>
    <row r="2817" customFormat="false" ht="14.25" hidden="false" customHeight="true" outlineLevel="0" collapsed="false">
      <c r="A2817" s="26" t="n">
        <v>21186</v>
      </c>
      <c r="B2817" s="1" t="n">
        <v>1958</v>
      </c>
      <c r="C2817" s="1" t="n">
        <v>1</v>
      </c>
      <c r="D2817" s="1" t="s">
        <v>42</v>
      </c>
      <c r="E2817" s="1" t="s">
        <v>2</v>
      </c>
      <c r="F2817" s="1" t="n">
        <v>0.89</v>
      </c>
      <c r="G2817" s="1" t="n">
        <f aca="false">IF(E2817=E2816,F2817/F2816-1,"")</f>
        <v>-0.032608695652174</v>
      </c>
    </row>
    <row r="2818" customFormat="false" ht="14.25" hidden="false" customHeight="true" outlineLevel="0" collapsed="false">
      <c r="A2818" s="26" t="n">
        <v>21217</v>
      </c>
      <c r="B2818" s="1" t="n">
        <v>1958</v>
      </c>
      <c r="C2818" s="1" t="n">
        <v>2</v>
      </c>
      <c r="D2818" s="1" t="s">
        <v>43</v>
      </c>
      <c r="E2818" s="1" t="s">
        <v>2</v>
      </c>
      <c r="F2818" s="1" t="n">
        <v>0.89</v>
      </c>
      <c r="G2818" s="1" t="n">
        <f aca="false">IF(E2818=E2817,F2818/F2817-1,"")</f>
        <v>0</v>
      </c>
    </row>
    <row r="2819" customFormat="false" ht="14.25" hidden="false" customHeight="true" outlineLevel="0" collapsed="false">
      <c r="A2819" s="26" t="n">
        <v>21245</v>
      </c>
      <c r="B2819" s="1" t="n">
        <v>1958</v>
      </c>
      <c r="C2819" s="1" t="n">
        <v>3</v>
      </c>
      <c r="D2819" s="1" t="s">
        <v>44</v>
      </c>
      <c r="E2819" s="1" t="s">
        <v>2</v>
      </c>
      <c r="F2819" s="1" t="n">
        <v>0.89</v>
      </c>
      <c r="G2819" s="1" t="n">
        <f aca="false">IF(E2819=E2818,F2819/F2818-1,"")</f>
        <v>0</v>
      </c>
    </row>
    <row r="2820" customFormat="false" ht="14.25" hidden="false" customHeight="true" outlineLevel="0" collapsed="false">
      <c r="A2820" s="26" t="n">
        <v>21276</v>
      </c>
      <c r="B2820" s="1" t="n">
        <v>1958</v>
      </c>
      <c r="C2820" s="1" t="n">
        <v>4</v>
      </c>
      <c r="D2820" s="1" t="s">
        <v>45</v>
      </c>
      <c r="E2820" s="1" t="s">
        <v>2</v>
      </c>
      <c r="F2820" s="1" t="n">
        <v>0.89</v>
      </c>
      <c r="G2820" s="1" t="n">
        <f aca="false">IF(E2820=E2819,F2820/F2819-1,"")</f>
        <v>0</v>
      </c>
    </row>
    <row r="2821" customFormat="false" ht="14.25" hidden="false" customHeight="true" outlineLevel="0" collapsed="false">
      <c r="A2821" s="26" t="n">
        <v>21306</v>
      </c>
      <c r="B2821" s="1" t="n">
        <v>1958</v>
      </c>
      <c r="C2821" s="1" t="n">
        <v>5</v>
      </c>
      <c r="D2821" s="1" t="s">
        <v>46</v>
      </c>
      <c r="E2821" s="1" t="s">
        <v>2</v>
      </c>
      <c r="F2821" s="1" t="n">
        <v>0.89</v>
      </c>
      <c r="G2821" s="1" t="n">
        <f aca="false">IF(E2821=E2820,F2821/F2820-1,"")</f>
        <v>0</v>
      </c>
    </row>
    <row r="2822" customFormat="false" ht="14.25" hidden="false" customHeight="true" outlineLevel="0" collapsed="false">
      <c r="A2822" s="26" t="n">
        <v>21337</v>
      </c>
      <c r="B2822" s="1" t="n">
        <v>1958</v>
      </c>
      <c r="C2822" s="1" t="n">
        <v>6</v>
      </c>
      <c r="D2822" s="1" t="s">
        <v>47</v>
      </c>
      <c r="E2822" s="1" t="s">
        <v>2</v>
      </c>
      <c r="F2822" s="1" t="n">
        <v>0.89</v>
      </c>
      <c r="G2822" s="1" t="n">
        <f aca="false">IF(E2822=E2821,F2822/F2821-1,"")</f>
        <v>0</v>
      </c>
    </row>
    <row r="2823" customFormat="false" ht="14.25" hidden="false" customHeight="true" outlineLevel="0" collapsed="false">
      <c r="A2823" s="26" t="n">
        <v>21367</v>
      </c>
      <c r="B2823" s="1" t="n">
        <v>1958</v>
      </c>
      <c r="C2823" s="1" t="n">
        <v>7</v>
      </c>
      <c r="D2823" s="1" t="s">
        <v>48</v>
      </c>
      <c r="E2823" s="1" t="s">
        <v>2</v>
      </c>
      <c r="F2823" s="1" t="n">
        <v>0.89</v>
      </c>
      <c r="G2823" s="1" t="n">
        <f aca="false">IF(E2823=E2822,F2823/F2822-1,"")</f>
        <v>0</v>
      </c>
    </row>
    <row r="2824" customFormat="false" ht="14.25" hidden="false" customHeight="true" outlineLevel="0" collapsed="false">
      <c r="A2824" s="26" t="n">
        <v>21398</v>
      </c>
      <c r="B2824" s="1" t="n">
        <v>1958</v>
      </c>
      <c r="C2824" s="1" t="n">
        <v>8</v>
      </c>
      <c r="D2824" s="1" t="s">
        <v>49</v>
      </c>
      <c r="E2824" s="1" t="s">
        <v>2</v>
      </c>
      <c r="F2824" s="1" t="n">
        <v>0.89</v>
      </c>
      <c r="G2824" s="1" t="n">
        <f aca="false">IF(E2824=E2823,F2824/F2823-1,"")</f>
        <v>0</v>
      </c>
    </row>
    <row r="2825" customFormat="false" ht="14.25" hidden="false" customHeight="true" outlineLevel="0" collapsed="false">
      <c r="A2825" s="26" t="n">
        <v>21429</v>
      </c>
      <c r="B2825" s="1" t="n">
        <v>1958</v>
      </c>
      <c r="C2825" s="1" t="n">
        <v>9</v>
      </c>
      <c r="D2825" s="1" t="s">
        <v>50</v>
      </c>
      <c r="E2825" s="1" t="s">
        <v>2</v>
      </c>
      <c r="F2825" s="1" t="n">
        <v>0.89</v>
      </c>
      <c r="G2825" s="1" t="n">
        <f aca="false">IF(E2825=E2824,F2825/F2824-1,"")</f>
        <v>0</v>
      </c>
    </row>
    <row r="2826" customFormat="false" ht="14.25" hidden="false" customHeight="true" outlineLevel="0" collapsed="false">
      <c r="A2826" s="26" t="n">
        <v>21459</v>
      </c>
      <c r="B2826" s="1" t="n">
        <v>1958</v>
      </c>
      <c r="C2826" s="1" t="n">
        <v>10</v>
      </c>
      <c r="D2826" s="1" t="s">
        <v>51</v>
      </c>
      <c r="E2826" s="1" t="s">
        <v>2</v>
      </c>
      <c r="F2826" s="1" t="n">
        <v>0.89</v>
      </c>
      <c r="G2826" s="1" t="n">
        <f aca="false">IF(E2826=E2825,F2826/F2825-1,"")</f>
        <v>0</v>
      </c>
    </row>
    <row r="2827" customFormat="false" ht="14.25" hidden="false" customHeight="true" outlineLevel="0" collapsed="false">
      <c r="A2827" s="26" t="n">
        <v>21490</v>
      </c>
      <c r="B2827" s="1" t="n">
        <v>1958</v>
      </c>
      <c r="C2827" s="1" t="n">
        <v>11</v>
      </c>
      <c r="D2827" s="1" t="s">
        <v>52</v>
      </c>
      <c r="E2827" s="1" t="s">
        <v>2</v>
      </c>
      <c r="F2827" s="1" t="n">
        <v>0.89</v>
      </c>
      <c r="G2827" s="1" t="n">
        <f aca="false">IF(E2827=E2826,F2827/F2826-1,"")</f>
        <v>0</v>
      </c>
    </row>
    <row r="2828" customFormat="false" ht="14.25" hidden="false" customHeight="true" outlineLevel="0" collapsed="false">
      <c r="A2828" s="26" t="n">
        <v>21520</v>
      </c>
      <c r="B2828" s="1" t="n">
        <v>1958</v>
      </c>
      <c r="C2828" s="1" t="n">
        <v>12</v>
      </c>
      <c r="D2828" s="1" t="s">
        <v>53</v>
      </c>
      <c r="E2828" s="1" t="s">
        <v>2</v>
      </c>
      <c r="F2828" s="1" t="n">
        <v>0.89</v>
      </c>
      <c r="G2828" s="1" t="n">
        <f aca="false">IF(E2828=E2827,F2828/F2827-1,"")</f>
        <v>0</v>
      </c>
    </row>
    <row r="2829" customFormat="false" ht="14.25" hidden="false" customHeight="true" outlineLevel="0" collapsed="false">
      <c r="A2829" s="26" t="n">
        <v>21551</v>
      </c>
      <c r="B2829" s="1" t="n">
        <v>1959</v>
      </c>
      <c r="C2829" s="1" t="n">
        <v>1</v>
      </c>
      <c r="D2829" s="1" t="s">
        <v>42</v>
      </c>
      <c r="E2829" s="1" t="s">
        <v>2</v>
      </c>
      <c r="F2829" s="1" t="n">
        <v>0.92</v>
      </c>
      <c r="G2829" s="1" t="n">
        <f aca="false">IF(E2829=E2828,F2829/F2828-1,"")</f>
        <v>0.0337078651685394</v>
      </c>
    </row>
    <row r="2830" customFormat="false" ht="14.25" hidden="false" customHeight="true" outlineLevel="0" collapsed="false">
      <c r="A2830" s="26" t="n">
        <v>21582</v>
      </c>
      <c r="B2830" s="1" t="n">
        <v>1959</v>
      </c>
      <c r="C2830" s="1" t="n">
        <v>2</v>
      </c>
      <c r="D2830" s="1" t="s">
        <v>43</v>
      </c>
      <c r="E2830" s="1" t="s">
        <v>2</v>
      </c>
      <c r="F2830" s="1" t="n">
        <v>0.92</v>
      </c>
      <c r="G2830" s="1" t="n">
        <f aca="false">IF(E2830=E2829,F2830/F2829-1,"")</f>
        <v>0</v>
      </c>
    </row>
    <row r="2831" customFormat="false" ht="14.25" hidden="false" customHeight="true" outlineLevel="0" collapsed="false">
      <c r="A2831" s="26" t="n">
        <v>21610</v>
      </c>
      <c r="B2831" s="1" t="n">
        <v>1959</v>
      </c>
      <c r="C2831" s="1" t="n">
        <v>3</v>
      </c>
      <c r="D2831" s="1" t="s">
        <v>44</v>
      </c>
      <c r="E2831" s="1" t="s">
        <v>2</v>
      </c>
      <c r="F2831" s="1" t="n">
        <v>0.92</v>
      </c>
      <c r="G2831" s="1" t="n">
        <f aca="false">IF(E2831=E2830,F2831/F2830-1,"")</f>
        <v>0</v>
      </c>
    </row>
    <row r="2832" customFormat="false" ht="14.25" hidden="false" customHeight="true" outlineLevel="0" collapsed="false">
      <c r="A2832" s="26" t="n">
        <v>21641</v>
      </c>
      <c r="B2832" s="1" t="n">
        <v>1959</v>
      </c>
      <c r="C2832" s="1" t="n">
        <v>4</v>
      </c>
      <c r="D2832" s="1" t="s">
        <v>45</v>
      </c>
      <c r="E2832" s="1" t="s">
        <v>2</v>
      </c>
      <c r="F2832" s="1" t="n">
        <v>0.92</v>
      </c>
      <c r="G2832" s="1" t="n">
        <f aca="false">IF(E2832=E2831,F2832/F2831-1,"")</f>
        <v>0</v>
      </c>
    </row>
    <row r="2833" customFormat="false" ht="14.25" hidden="false" customHeight="true" outlineLevel="0" collapsed="false">
      <c r="A2833" s="26" t="n">
        <v>21671</v>
      </c>
      <c r="B2833" s="1" t="n">
        <v>1959</v>
      </c>
      <c r="C2833" s="1" t="n">
        <v>5</v>
      </c>
      <c r="D2833" s="1" t="s">
        <v>46</v>
      </c>
      <c r="E2833" s="1" t="s">
        <v>2</v>
      </c>
      <c r="F2833" s="1" t="n">
        <v>0.92</v>
      </c>
      <c r="G2833" s="1" t="n">
        <f aca="false">IF(E2833=E2832,F2833/F2832-1,"")</f>
        <v>0</v>
      </c>
    </row>
    <row r="2834" customFormat="false" ht="14.25" hidden="false" customHeight="true" outlineLevel="0" collapsed="false">
      <c r="A2834" s="26" t="n">
        <v>21702</v>
      </c>
      <c r="B2834" s="1" t="n">
        <v>1959</v>
      </c>
      <c r="C2834" s="1" t="n">
        <v>6</v>
      </c>
      <c r="D2834" s="1" t="s">
        <v>47</v>
      </c>
      <c r="E2834" s="1" t="s">
        <v>2</v>
      </c>
      <c r="F2834" s="1" t="n">
        <v>0.92</v>
      </c>
      <c r="G2834" s="1" t="n">
        <f aca="false">IF(E2834=E2833,F2834/F2833-1,"")</f>
        <v>0</v>
      </c>
    </row>
    <row r="2835" customFormat="false" ht="14.25" hidden="false" customHeight="true" outlineLevel="0" collapsed="false">
      <c r="A2835" s="26" t="n">
        <v>21732</v>
      </c>
      <c r="B2835" s="1" t="n">
        <v>1959</v>
      </c>
      <c r="C2835" s="1" t="n">
        <v>7</v>
      </c>
      <c r="D2835" s="1" t="s">
        <v>48</v>
      </c>
      <c r="E2835" s="1" t="s">
        <v>2</v>
      </c>
      <c r="F2835" s="1" t="n">
        <v>0.92</v>
      </c>
      <c r="G2835" s="1" t="n">
        <f aca="false">IF(E2835=E2834,F2835/F2834-1,"")</f>
        <v>0</v>
      </c>
    </row>
    <row r="2836" customFormat="false" ht="14.25" hidden="false" customHeight="true" outlineLevel="0" collapsed="false">
      <c r="A2836" s="26" t="n">
        <v>21763</v>
      </c>
      <c r="B2836" s="1" t="n">
        <v>1959</v>
      </c>
      <c r="C2836" s="1" t="n">
        <v>8</v>
      </c>
      <c r="D2836" s="1" t="s">
        <v>49</v>
      </c>
      <c r="E2836" s="1" t="s">
        <v>2</v>
      </c>
      <c r="F2836" s="1" t="n">
        <v>0.92</v>
      </c>
      <c r="G2836" s="1" t="n">
        <f aca="false">IF(E2836=E2835,F2836/F2835-1,"")</f>
        <v>0</v>
      </c>
    </row>
    <row r="2837" customFormat="false" ht="14.25" hidden="false" customHeight="true" outlineLevel="0" collapsed="false">
      <c r="A2837" s="26" t="n">
        <v>21794</v>
      </c>
      <c r="B2837" s="1" t="n">
        <v>1959</v>
      </c>
      <c r="C2837" s="1" t="n">
        <v>9</v>
      </c>
      <c r="D2837" s="1" t="s">
        <v>50</v>
      </c>
      <c r="E2837" s="1" t="s">
        <v>2</v>
      </c>
      <c r="F2837" s="1" t="n">
        <v>0.92</v>
      </c>
      <c r="G2837" s="1" t="n">
        <f aca="false">IF(E2837=E2836,F2837/F2836-1,"")</f>
        <v>0</v>
      </c>
    </row>
    <row r="2838" customFormat="false" ht="14.25" hidden="false" customHeight="true" outlineLevel="0" collapsed="false">
      <c r="A2838" s="26" t="n">
        <v>21824</v>
      </c>
      <c r="B2838" s="1" t="n">
        <v>1959</v>
      </c>
      <c r="C2838" s="1" t="n">
        <v>10</v>
      </c>
      <c r="D2838" s="1" t="s">
        <v>51</v>
      </c>
      <c r="E2838" s="1" t="s">
        <v>2</v>
      </c>
      <c r="F2838" s="1" t="n">
        <v>0.92</v>
      </c>
      <c r="G2838" s="1" t="n">
        <f aca="false">IF(E2838=E2837,F2838/F2837-1,"")</f>
        <v>0</v>
      </c>
    </row>
    <row r="2839" customFormat="false" ht="14.25" hidden="false" customHeight="true" outlineLevel="0" collapsed="false">
      <c r="A2839" s="26" t="n">
        <v>21855</v>
      </c>
      <c r="B2839" s="1" t="n">
        <v>1959</v>
      </c>
      <c r="C2839" s="1" t="n">
        <v>11</v>
      </c>
      <c r="D2839" s="1" t="s">
        <v>52</v>
      </c>
      <c r="E2839" s="1" t="s">
        <v>2</v>
      </c>
      <c r="F2839" s="1" t="n">
        <v>0.92</v>
      </c>
      <c r="G2839" s="1" t="n">
        <f aca="false">IF(E2839=E2838,F2839/F2838-1,"")</f>
        <v>0</v>
      </c>
    </row>
    <row r="2840" customFormat="false" ht="14.25" hidden="false" customHeight="true" outlineLevel="0" collapsed="false">
      <c r="A2840" s="26" t="n">
        <v>21885</v>
      </c>
      <c r="B2840" s="1" t="n">
        <v>1959</v>
      </c>
      <c r="C2840" s="1" t="n">
        <v>12</v>
      </c>
      <c r="D2840" s="1" t="s">
        <v>53</v>
      </c>
      <c r="E2840" s="1" t="s">
        <v>2</v>
      </c>
      <c r="F2840" s="1" t="n">
        <v>0.92</v>
      </c>
      <c r="G2840" s="1" t="n">
        <f aca="false">IF(E2840=E2839,F2840/F2839-1,"")</f>
        <v>0</v>
      </c>
    </row>
    <row r="2841" customFormat="false" ht="14.25" hidden="false" customHeight="true" outlineLevel="0" collapsed="false">
      <c r="A2841" s="26" t="n">
        <v>21916</v>
      </c>
      <c r="B2841" s="1" t="n">
        <v>1960</v>
      </c>
      <c r="C2841" s="1" t="n">
        <v>1</v>
      </c>
      <c r="D2841" s="1" t="s">
        <v>42</v>
      </c>
      <c r="E2841" s="1" t="s">
        <v>2</v>
      </c>
      <c r="F2841" s="1" t="n">
        <v>0.92</v>
      </c>
      <c r="G2841" s="1" t="n">
        <f aca="false">IF(E2841=E2840,F2841/F2840-1,"")</f>
        <v>0</v>
      </c>
    </row>
    <row r="2842" customFormat="false" ht="14.25" hidden="false" customHeight="true" outlineLevel="0" collapsed="false">
      <c r="A2842" s="26" t="n">
        <v>21947</v>
      </c>
      <c r="B2842" s="1" t="n">
        <v>1960</v>
      </c>
      <c r="C2842" s="1" t="n">
        <v>2</v>
      </c>
      <c r="D2842" s="1" t="s">
        <v>43</v>
      </c>
      <c r="E2842" s="1" t="s">
        <v>2</v>
      </c>
      <c r="F2842" s="1" t="n">
        <v>0.92</v>
      </c>
      <c r="G2842" s="1" t="n">
        <f aca="false">IF(E2842=E2841,F2842/F2841-1,"")</f>
        <v>0</v>
      </c>
    </row>
    <row r="2843" customFormat="false" ht="14.25" hidden="false" customHeight="true" outlineLevel="0" collapsed="false">
      <c r="A2843" s="26" t="n">
        <v>21976</v>
      </c>
      <c r="B2843" s="1" t="n">
        <v>1960</v>
      </c>
      <c r="C2843" s="1" t="n">
        <v>3</v>
      </c>
      <c r="D2843" s="1" t="s">
        <v>44</v>
      </c>
      <c r="E2843" s="1" t="s">
        <v>2</v>
      </c>
      <c r="F2843" s="1" t="n">
        <v>0.92</v>
      </c>
      <c r="G2843" s="1" t="n">
        <f aca="false">IF(E2843=E2842,F2843/F2842-1,"")</f>
        <v>0</v>
      </c>
    </row>
    <row r="2844" customFormat="false" ht="14.25" hidden="false" customHeight="true" outlineLevel="0" collapsed="false">
      <c r="A2844" s="26" t="n">
        <v>22007</v>
      </c>
      <c r="B2844" s="1" t="n">
        <v>1960</v>
      </c>
      <c r="C2844" s="1" t="n">
        <v>4</v>
      </c>
      <c r="D2844" s="1" t="s">
        <v>45</v>
      </c>
      <c r="E2844" s="1" t="s">
        <v>2</v>
      </c>
      <c r="F2844" s="1" t="n">
        <v>0.92</v>
      </c>
      <c r="G2844" s="1" t="n">
        <f aca="false">IF(E2844=E2843,F2844/F2843-1,"")</f>
        <v>0</v>
      </c>
    </row>
    <row r="2845" customFormat="false" ht="14.25" hidden="false" customHeight="true" outlineLevel="0" collapsed="false">
      <c r="A2845" s="26" t="n">
        <v>22037</v>
      </c>
      <c r="B2845" s="1" t="n">
        <v>1960</v>
      </c>
      <c r="C2845" s="1" t="n">
        <v>5</v>
      </c>
      <c r="D2845" s="1" t="s">
        <v>46</v>
      </c>
      <c r="E2845" s="1" t="s">
        <v>2</v>
      </c>
      <c r="F2845" s="1" t="n">
        <v>0.92</v>
      </c>
      <c r="G2845" s="1" t="n">
        <f aca="false">IF(E2845=E2844,F2845/F2844-1,"")</f>
        <v>0</v>
      </c>
    </row>
    <row r="2846" customFormat="false" ht="14.25" hidden="false" customHeight="true" outlineLevel="0" collapsed="false">
      <c r="A2846" s="26" t="n">
        <v>22068</v>
      </c>
      <c r="B2846" s="1" t="n">
        <v>1960</v>
      </c>
      <c r="C2846" s="1" t="n">
        <v>6</v>
      </c>
      <c r="D2846" s="1" t="s">
        <v>47</v>
      </c>
      <c r="E2846" s="1" t="s">
        <v>2</v>
      </c>
      <c r="F2846" s="1" t="n">
        <v>0.92</v>
      </c>
      <c r="G2846" s="1" t="n">
        <f aca="false">IF(E2846=E2845,F2846/F2845-1,"")</f>
        <v>0</v>
      </c>
    </row>
    <row r="2847" customFormat="false" ht="14.25" hidden="false" customHeight="true" outlineLevel="0" collapsed="false">
      <c r="A2847" s="26" t="n">
        <v>22098</v>
      </c>
      <c r="B2847" s="1" t="n">
        <v>1960</v>
      </c>
      <c r="C2847" s="1" t="n">
        <v>7</v>
      </c>
      <c r="D2847" s="1" t="s">
        <v>48</v>
      </c>
      <c r="E2847" s="1" t="s">
        <v>2</v>
      </c>
      <c r="F2847" s="1" t="n">
        <v>0.92</v>
      </c>
      <c r="G2847" s="1" t="n">
        <f aca="false">IF(E2847=E2846,F2847/F2846-1,"")</f>
        <v>0</v>
      </c>
    </row>
    <row r="2848" customFormat="false" ht="14.25" hidden="false" customHeight="true" outlineLevel="0" collapsed="false">
      <c r="A2848" s="26" t="n">
        <v>22129</v>
      </c>
      <c r="B2848" s="1" t="n">
        <v>1960</v>
      </c>
      <c r="C2848" s="1" t="n">
        <v>8</v>
      </c>
      <c r="D2848" s="1" t="s">
        <v>49</v>
      </c>
      <c r="E2848" s="1" t="s">
        <v>2</v>
      </c>
      <c r="F2848" s="1" t="n">
        <v>0.92</v>
      </c>
      <c r="G2848" s="1" t="n">
        <f aca="false">IF(E2848=E2847,F2848/F2847-1,"")</f>
        <v>0</v>
      </c>
    </row>
    <row r="2849" customFormat="false" ht="14.25" hidden="false" customHeight="true" outlineLevel="0" collapsed="false">
      <c r="A2849" s="26" t="n">
        <v>22160</v>
      </c>
      <c r="B2849" s="1" t="n">
        <v>1960</v>
      </c>
      <c r="C2849" s="1" t="n">
        <v>9</v>
      </c>
      <c r="D2849" s="1" t="s">
        <v>50</v>
      </c>
      <c r="E2849" s="1" t="s">
        <v>2</v>
      </c>
      <c r="F2849" s="1" t="n">
        <v>0.92</v>
      </c>
      <c r="G2849" s="1" t="n">
        <f aca="false">IF(E2849=E2848,F2849/F2848-1,"")</f>
        <v>0</v>
      </c>
    </row>
    <row r="2850" customFormat="false" ht="14.25" hidden="false" customHeight="true" outlineLevel="0" collapsed="false">
      <c r="A2850" s="26" t="n">
        <v>22190</v>
      </c>
      <c r="B2850" s="1" t="n">
        <v>1960</v>
      </c>
      <c r="C2850" s="1" t="n">
        <v>10</v>
      </c>
      <c r="D2850" s="1" t="s">
        <v>51</v>
      </c>
      <c r="E2850" s="1" t="s">
        <v>2</v>
      </c>
      <c r="F2850" s="1" t="n">
        <v>0.92</v>
      </c>
      <c r="G2850" s="1" t="n">
        <f aca="false">IF(E2850=E2849,F2850/F2849-1,"")</f>
        <v>0</v>
      </c>
    </row>
    <row r="2851" customFormat="false" ht="14.25" hidden="false" customHeight="true" outlineLevel="0" collapsed="false">
      <c r="A2851" s="26" t="n">
        <v>22221</v>
      </c>
      <c r="B2851" s="1" t="n">
        <v>1960</v>
      </c>
      <c r="C2851" s="1" t="n">
        <v>11</v>
      </c>
      <c r="D2851" s="1" t="s">
        <v>52</v>
      </c>
      <c r="E2851" s="1" t="s">
        <v>2</v>
      </c>
      <c r="F2851" s="1" t="n">
        <v>0.92</v>
      </c>
      <c r="G2851" s="1" t="n">
        <f aca="false">IF(E2851=E2850,F2851/F2850-1,"")</f>
        <v>0</v>
      </c>
    </row>
    <row r="2852" customFormat="false" ht="14.25" hidden="false" customHeight="true" outlineLevel="0" collapsed="false">
      <c r="A2852" s="26" t="n">
        <v>22251</v>
      </c>
      <c r="B2852" s="1" t="n">
        <v>1960</v>
      </c>
      <c r="C2852" s="1" t="n">
        <v>12</v>
      </c>
      <c r="D2852" s="1" t="s">
        <v>53</v>
      </c>
      <c r="E2852" s="1" t="s">
        <v>2</v>
      </c>
      <c r="F2852" s="1" t="n">
        <v>0.92</v>
      </c>
      <c r="G2852" s="1" t="n">
        <f aca="false">IF(E2852=E2851,F2852/F2851-1,"")</f>
        <v>0</v>
      </c>
    </row>
    <row r="2853" customFormat="false" ht="14.25" hidden="false" customHeight="true" outlineLevel="0" collapsed="false">
      <c r="A2853" s="26" t="n">
        <v>22282</v>
      </c>
      <c r="B2853" s="1" t="n">
        <v>1961</v>
      </c>
      <c r="C2853" s="1" t="n">
        <v>1</v>
      </c>
      <c r="D2853" s="1" t="s">
        <v>42</v>
      </c>
      <c r="E2853" s="1" t="s">
        <v>2</v>
      </c>
      <c r="F2853" s="1" t="n">
        <v>0.93</v>
      </c>
      <c r="G2853" s="1" t="n">
        <f aca="false">IF(E2853=E2852,F2853/F2852-1,"")</f>
        <v>0.0108695652173914</v>
      </c>
    </row>
    <row r="2854" customFormat="false" ht="14.25" hidden="false" customHeight="true" outlineLevel="0" collapsed="false">
      <c r="A2854" s="26" t="n">
        <v>22313</v>
      </c>
      <c r="B2854" s="1" t="n">
        <v>1961</v>
      </c>
      <c r="C2854" s="1" t="n">
        <v>2</v>
      </c>
      <c r="D2854" s="1" t="s">
        <v>43</v>
      </c>
      <c r="E2854" s="1" t="s">
        <v>2</v>
      </c>
      <c r="F2854" s="1" t="n">
        <v>0.93</v>
      </c>
      <c r="G2854" s="1" t="n">
        <f aca="false">IF(E2854=E2853,F2854/F2853-1,"")</f>
        <v>0</v>
      </c>
    </row>
    <row r="2855" customFormat="false" ht="14.25" hidden="false" customHeight="true" outlineLevel="0" collapsed="false">
      <c r="A2855" s="26" t="n">
        <v>22341</v>
      </c>
      <c r="B2855" s="1" t="n">
        <v>1961</v>
      </c>
      <c r="C2855" s="1" t="n">
        <v>3</v>
      </c>
      <c r="D2855" s="1" t="s">
        <v>44</v>
      </c>
      <c r="E2855" s="1" t="s">
        <v>2</v>
      </c>
      <c r="F2855" s="1" t="n">
        <v>0.93</v>
      </c>
      <c r="G2855" s="1" t="n">
        <f aca="false">IF(E2855=E2854,F2855/F2854-1,"")</f>
        <v>0</v>
      </c>
    </row>
    <row r="2856" customFormat="false" ht="14.25" hidden="false" customHeight="true" outlineLevel="0" collapsed="false">
      <c r="A2856" s="26" t="n">
        <v>22372</v>
      </c>
      <c r="B2856" s="1" t="n">
        <v>1961</v>
      </c>
      <c r="C2856" s="1" t="n">
        <v>4</v>
      </c>
      <c r="D2856" s="1" t="s">
        <v>45</v>
      </c>
      <c r="E2856" s="1" t="s">
        <v>2</v>
      </c>
      <c r="F2856" s="1" t="n">
        <v>0.93</v>
      </c>
      <c r="G2856" s="1" t="n">
        <f aca="false">IF(E2856=E2855,F2856/F2855-1,"")</f>
        <v>0</v>
      </c>
    </row>
    <row r="2857" customFormat="false" ht="14.25" hidden="false" customHeight="true" outlineLevel="0" collapsed="false">
      <c r="A2857" s="26" t="n">
        <v>22402</v>
      </c>
      <c r="B2857" s="1" t="n">
        <v>1961</v>
      </c>
      <c r="C2857" s="1" t="n">
        <v>5</v>
      </c>
      <c r="D2857" s="1" t="s">
        <v>46</v>
      </c>
      <c r="E2857" s="1" t="s">
        <v>2</v>
      </c>
      <c r="F2857" s="1" t="n">
        <v>0.93</v>
      </c>
      <c r="G2857" s="1" t="n">
        <f aca="false">IF(E2857=E2856,F2857/F2856-1,"")</f>
        <v>0</v>
      </c>
    </row>
    <row r="2858" customFormat="false" ht="14.25" hidden="false" customHeight="true" outlineLevel="0" collapsed="false">
      <c r="A2858" s="26" t="n">
        <v>22433</v>
      </c>
      <c r="B2858" s="1" t="n">
        <v>1961</v>
      </c>
      <c r="C2858" s="1" t="n">
        <v>6</v>
      </c>
      <c r="D2858" s="1" t="s">
        <v>47</v>
      </c>
      <c r="E2858" s="1" t="s">
        <v>2</v>
      </c>
      <c r="F2858" s="1" t="n">
        <v>0.93</v>
      </c>
      <c r="G2858" s="1" t="n">
        <f aca="false">IF(E2858=E2857,F2858/F2857-1,"")</f>
        <v>0</v>
      </c>
    </row>
    <row r="2859" customFormat="false" ht="14.25" hidden="false" customHeight="true" outlineLevel="0" collapsed="false">
      <c r="A2859" s="26" t="n">
        <v>22463</v>
      </c>
      <c r="B2859" s="1" t="n">
        <v>1961</v>
      </c>
      <c r="C2859" s="1" t="n">
        <v>7</v>
      </c>
      <c r="D2859" s="1" t="s">
        <v>48</v>
      </c>
      <c r="E2859" s="1" t="s">
        <v>2</v>
      </c>
      <c r="F2859" s="1" t="n">
        <v>0.93</v>
      </c>
      <c r="G2859" s="1" t="n">
        <f aca="false">IF(E2859=E2858,F2859/F2858-1,"")</f>
        <v>0</v>
      </c>
    </row>
    <row r="2860" customFormat="false" ht="14.25" hidden="false" customHeight="true" outlineLevel="0" collapsed="false">
      <c r="A2860" s="26" t="n">
        <v>22494</v>
      </c>
      <c r="B2860" s="1" t="n">
        <v>1961</v>
      </c>
      <c r="C2860" s="1" t="n">
        <v>8</v>
      </c>
      <c r="D2860" s="1" t="s">
        <v>49</v>
      </c>
      <c r="E2860" s="1" t="s">
        <v>2</v>
      </c>
      <c r="F2860" s="1" t="n">
        <v>0.93</v>
      </c>
      <c r="G2860" s="1" t="n">
        <f aca="false">IF(E2860=E2859,F2860/F2859-1,"")</f>
        <v>0</v>
      </c>
    </row>
    <row r="2861" customFormat="false" ht="14.25" hidden="false" customHeight="true" outlineLevel="0" collapsed="false">
      <c r="A2861" s="26" t="n">
        <v>22525</v>
      </c>
      <c r="B2861" s="1" t="n">
        <v>1961</v>
      </c>
      <c r="C2861" s="1" t="n">
        <v>9</v>
      </c>
      <c r="D2861" s="1" t="s">
        <v>50</v>
      </c>
      <c r="E2861" s="1" t="s">
        <v>2</v>
      </c>
      <c r="F2861" s="1" t="n">
        <v>0.93</v>
      </c>
      <c r="G2861" s="1" t="n">
        <f aca="false">IF(E2861=E2860,F2861/F2860-1,"")</f>
        <v>0</v>
      </c>
    </row>
    <row r="2862" customFormat="false" ht="14.25" hidden="false" customHeight="true" outlineLevel="0" collapsed="false">
      <c r="A2862" s="26" t="n">
        <v>22555</v>
      </c>
      <c r="B2862" s="1" t="n">
        <v>1961</v>
      </c>
      <c r="C2862" s="1" t="n">
        <v>10</v>
      </c>
      <c r="D2862" s="1" t="s">
        <v>51</v>
      </c>
      <c r="E2862" s="1" t="s">
        <v>2</v>
      </c>
      <c r="F2862" s="1" t="n">
        <v>0.93</v>
      </c>
      <c r="G2862" s="1" t="n">
        <f aca="false">IF(E2862=E2861,F2862/F2861-1,"")</f>
        <v>0</v>
      </c>
    </row>
    <row r="2863" customFormat="false" ht="14.25" hidden="false" customHeight="true" outlineLevel="0" collapsed="false">
      <c r="A2863" s="26" t="n">
        <v>22586</v>
      </c>
      <c r="B2863" s="1" t="n">
        <v>1961</v>
      </c>
      <c r="C2863" s="1" t="n">
        <v>11</v>
      </c>
      <c r="D2863" s="1" t="s">
        <v>52</v>
      </c>
      <c r="E2863" s="1" t="s">
        <v>2</v>
      </c>
      <c r="F2863" s="1" t="n">
        <v>0.93</v>
      </c>
      <c r="G2863" s="1" t="n">
        <f aca="false">IF(E2863=E2862,F2863/F2862-1,"")</f>
        <v>0</v>
      </c>
    </row>
    <row r="2864" customFormat="false" ht="14.25" hidden="false" customHeight="true" outlineLevel="0" collapsed="false">
      <c r="A2864" s="26" t="n">
        <v>22616</v>
      </c>
      <c r="B2864" s="1" t="n">
        <v>1961</v>
      </c>
      <c r="C2864" s="1" t="n">
        <v>12</v>
      </c>
      <c r="D2864" s="1" t="s">
        <v>53</v>
      </c>
      <c r="E2864" s="1" t="s">
        <v>2</v>
      </c>
      <c r="F2864" s="1" t="n">
        <v>0.93</v>
      </c>
      <c r="G2864" s="1" t="n">
        <f aca="false">IF(E2864=E2863,F2864/F2863-1,"")</f>
        <v>0</v>
      </c>
    </row>
    <row r="2865" customFormat="false" ht="14.25" hidden="false" customHeight="true" outlineLevel="0" collapsed="false">
      <c r="A2865" s="26" t="n">
        <v>22647</v>
      </c>
      <c r="B2865" s="1" t="n">
        <v>1962</v>
      </c>
      <c r="C2865" s="1" t="n">
        <v>1</v>
      </c>
      <c r="D2865" s="1" t="s">
        <v>42</v>
      </c>
      <c r="E2865" s="1" t="s">
        <v>2</v>
      </c>
      <c r="F2865" s="1" t="n">
        <v>1.09</v>
      </c>
      <c r="G2865" s="1" t="n">
        <f aca="false">IF(E2865=E2864,F2865/F2864-1,"")</f>
        <v>0.172043010752688</v>
      </c>
    </row>
    <row r="2866" customFormat="false" ht="14.25" hidden="false" customHeight="true" outlineLevel="0" collapsed="false">
      <c r="A2866" s="26" t="n">
        <v>22678</v>
      </c>
      <c r="B2866" s="1" t="n">
        <v>1962</v>
      </c>
      <c r="C2866" s="1" t="n">
        <v>2</v>
      </c>
      <c r="D2866" s="1" t="s">
        <v>43</v>
      </c>
      <c r="E2866" s="1" t="s">
        <v>2</v>
      </c>
      <c r="F2866" s="1" t="n">
        <v>1.09</v>
      </c>
      <c r="G2866" s="1" t="n">
        <f aca="false">IF(E2866=E2865,F2866/F2865-1,"")</f>
        <v>0</v>
      </c>
    </row>
    <row r="2867" customFormat="false" ht="14.25" hidden="false" customHeight="true" outlineLevel="0" collapsed="false">
      <c r="A2867" s="26" t="n">
        <v>22706</v>
      </c>
      <c r="B2867" s="1" t="n">
        <v>1962</v>
      </c>
      <c r="C2867" s="1" t="n">
        <v>3</v>
      </c>
      <c r="D2867" s="1" t="s">
        <v>44</v>
      </c>
      <c r="E2867" s="1" t="s">
        <v>2</v>
      </c>
      <c r="F2867" s="1" t="n">
        <v>1.09</v>
      </c>
      <c r="G2867" s="1" t="n">
        <f aca="false">IF(E2867=E2866,F2867/F2866-1,"")</f>
        <v>0</v>
      </c>
    </row>
    <row r="2868" customFormat="false" ht="14.25" hidden="false" customHeight="true" outlineLevel="0" collapsed="false">
      <c r="A2868" s="26" t="n">
        <v>22737</v>
      </c>
      <c r="B2868" s="1" t="n">
        <v>1962</v>
      </c>
      <c r="C2868" s="1" t="n">
        <v>4</v>
      </c>
      <c r="D2868" s="1" t="s">
        <v>45</v>
      </c>
      <c r="E2868" s="1" t="s">
        <v>2</v>
      </c>
      <c r="F2868" s="1" t="n">
        <v>1.09</v>
      </c>
      <c r="G2868" s="1" t="n">
        <f aca="false">IF(E2868=E2867,F2868/F2867-1,"")</f>
        <v>0</v>
      </c>
    </row>
    <row r="2869" customFormat="false" ht="14.25" hidden="false" customHeight="true" outlineLevel="0" collapsed="false">
      <c r="A2869" s="26" t="n">
        <v>22767</v>
      </c>
      <c r="B2869" s="1" t="n">
        <v>1962</v>
      </c>
      <c r="C2869" s="1" t="n">
        <v>5</v>
      </c>
      <c r="D2869" s="1" t="s">
        <v>46</v>
      </c>
      <c r="E2869" s="1" t="s">
        <v>2</v>
      </c>
      <c r="F2869" s="1" t="n">
        <v>1.09</v>
      </c>
      <c r="G2869" s="1" t="n">
        <f aca="false">IF(E2869=E2868,F2869/F2868-1,"")</f>
        <v>0</v>
      </c>
    </row>
    <row r="2870" customFormat="false" ht="14.25" hidden="false" customHeight="true" outlineLevel="0" collapsed="false">
      <c r="A2870" s="26" t="n">
        <v>22798</v>
      </c>
      <c r="B2870" s="1" t="n">
        <v>1962</v>
      </c>
      <c r="C2870" s="1" t="n">
        <v>6</v>
      </c>
      <c r="D2870" s="1" t="s">
        <v>47</v>
      </c>
      <c r="E2870" s="1" t="s">
        <v>2</v>
      </c>
      <c r="F2870" s="1" t="n">
        <v>1.09</v>
      </c>
      <c r="G2870" s="1" t="n">
        <f aca="false">IF(E2870=E2869,F2870/F2869-1,"")</f>
        <v>0</v>
      </c>
    </row>
    <row r="2871" customFormat="false" ht="14.25" hidden="false" customHeight="true" outlineLevel="0" collapsed="false">
      <c r="A2871" s="26" t="n">
        <v>22828</v>
      </c>
      <c r="B2871" s="1" t="n">
        <v>1962</v>
      </c>
      <c r="C2871" s="1" t="n">
        <v>7</v>
      </c>
      <c r="D2871" s="1" t="s">
        <v>48</v>
      </c>
      <c r="E2871" s="1" t="s">
        <v>2</v>
      </c>
      <c r="F2871" s="1" t="n">
        <v>1.09</v>
      </c>
      <c r="G2871" s="1" t="n">
        <f aca="false">IF(E2871=E2870,F2871/F2870-1,"")</f>
        <v>0</v>
      </c>
    </row>
    <row r="2872" customFormat="false" ht="14.25" hidden="false" customHeight="true" outlineLevel="0" collapsed="false">
      <c r="A2872" s="26" t="n">
        <v>22859</v>
      </c>
      <c r="B2872" s="1" t="n">
        <v>1962</v>
      </c>
      <c r="C2872" s="1" t="n">
        <v>8</v>
      </c>
      <c r="D2872" s="1" t="s">
        <v>49</v>
      </c>
      <c r="E2872" s="1" t="s">
        <v>2</v>
      </c>
      <c r="F2872" s="1" t="n">
        <v>1.09</v>
      </c>
      <c r="G2872" s="1" t="n">
        <f aca="false">IF(E2872=E2871,F2872/F2871-1,"")</f>
        <v>0</v>
      </c>
    </row>
    <row r="2873" customFormat="false" ht="14.25" hidden="false" customHeight="true" outlineLevel="0" collapsed="false">
      <c r="A2873" s="26" t="n">
        <v>22890</v>
      </c>
      <c r="B2873" s="1" t="n">
        <v>1962</v>
      </c>
      <c r="C2873" s="1" t="n">
        <v>9</v>
      </c>
      <c r="D2873" s="1" t="s">
        <v>50</v>
      </c>
      <c r="E2873" s="1" t="s">
        <v>2</v>
      </c>
      <c r="F2873" s="1" t="n">
        <v>1.09</v>
      </c>
      <c r="G2873" s="1" t="n">
        <f aca="false">IF(E2873=E2872,F2873/F2872-1,"")</f>
        <v>0</v>
      </c>
    </row>
    <row r="2874" customFormat="false" ht="14.25" hidden="false" customHeight="true" outlineLevel="0" collapsed="false">
      <c r="A2874" s="26" t="n">
        <v>22920</v>
      </c>
      <c r="B2874" s="1" t="n">
        <v>1962</v>
      </c>
      <c r="C2874" s="1" t="n">
        <v>10</v>
      </c>
      <c r="D2874" s="1" t="s">
        <v>51</v>
      </c>
      <c r="E2874" s="1" t="s">
        <v>2</v>
      </c>
      <c r="F2874" s="1" t="n">
        <v>1.09</v>
      </c>
      <c r="G2874" s="1" t="n">
        <f aca="false">IF(E2874=E2873,F2874/F2873-1,"")</f>
        <v>0</v>
      </c>
    </row>
    <row r="2875" customFormat="false" ht="14.25" hidden="false" customHeight="true" outlineLevel="0" collapsed="false">
      <c r="A2875" s="26" t="n">
        <v>22951</v>
      </c>
      <c r="B2875" s="1" t="n">
        <v>1962</v>
      </c>
      <c r="C2875" s="1" t="n">
        <v>11</v>
      </c>
      <c r="D2875" s="1" t="s">
        <v>52</v>
      </c>
      <c r="E2875" s="1" t="s">
        <v>2</v>
      </c>
      <c r="F2875" s="1" t="n">
        <v>1.09</v>
      </c>
      <c r="G2875" s="1" t="n">
        <f aca="false">IF(E2875=E2874,F2875/F2874-1,"")</f>
        <v>0</v>
      </c>
    </row>
    <row r="2876" customFormat="false" ht="14.25" hidden="false" customHeight="true" outlineLevel="0" collapsed="false">
      <c r="A2876" s="26" t="n">
        <v>22981</v>
      </c>
      <c r="B2876" s="1" t="n">
        <v>1962</v>
      </c>
      <c r="C2876" s="1" t="n">
        <v>12</v>
      </c>
      <c r="D2876" s="1" t="s">
        <v>53</v>
      </c>
      <c r="E2876" s="1" t="s">
        <v>2</v>
      </c>
      <c r="F2876" s="1" t="n">
        <v>1.09</v>
      </c>
      <c r="G2876" s="1" t="n">
        <f aca="false">IF(E2876=E2875,F2876/F2875-1,"")</f>
        <v>0</v>
      </c>
    </row>
    <row r="2877" customFormat="false" ht="14.25" hidden="false" customHeight="true" outlineLevel="0" collapsed="false">
      <c r="A2877" s="26" t="n">
        <v>23012</v>
      </c>
      <c r="B2877" s="1" t="n">
        <v>1963</v>
      </c>
      <c r="C2877" s="1" t="n">
        <v>1</v>
      </c>
      <c r="D2877" s="1" t="s">
        <v>42</v>
      </c>
      <c r="E2877" s="1" t="s">
        <v>2</v>
      </c>
      <c r="F2877" s="1" t="n">
        <v>1.29</v>
      </c>
      <c r="G2877" s="1" t="n">
        <f aca="false">IF(E2877=E2876,F2877/F2876-1,"")</f>
        <v>0.18348623853211</v>
      </c>
    </row>
    <row r="2878" customFormat="false" ht="14.25" hidden="false" customHeight="true" outlineLevel="0" collapsed="false">
      <c r="A2878" s="26" t="n">
        <v>23043</v>
      </c>
      <c r="B2878" s="1" t="n">
        <v>1963</v>
      </c>
      <c r="C2878" s="1" t="n">
        <v>2</v>
      </c>
      <c r="D2878" s="1" t="s">
        <v>43</v>
      </c>
      <c r="E2878" s="1" t="s">
        <v>2</v>
      </c>
      <c r="F2878" s="1" t="n">
        <v>1.29</v>
      </c>
      <c r="G2878" s="1" t="n">
        <f aca="false">IF(E2878=E2877,F2878/F2877-1,"")</f>
        <v>0</v>
      </c>
    </row>
    <row r="2879" customFormat="false" ht="14.25" hidden="false" customHeight="true" outlineLevel="0" collapsed="false">
      <c r="A2879" s="26" t="n">
        <v>23071</v>
      </c>
      <c r="B2879" s="1" t="n">
        <v>1963</v>
      </c>
      <c r="C2879" s="1" t="n">
        <v>3</v>
      </c>
      <c r="D2879" s="1" t="s">
        <v>44</v>
      </c>
      <c r="E2879" s="1" t="s">
        <v>2</v>
      </c>
      <c r="F2879" s="1" t="n">
        <v>1.29</v>
      </c>
      <c r="G2879" s="1" t="n">
        <f aca="false">IF(E2879=E2878,F2879/F2878-1,"")</f>
        <v>0</v>
      </c>
    </row>
    <row r="2880" customFormat="false" ht="14.25" hidden="false" customHeight="true" outlineLevel="0" collapsed="false">
      <c r="A2880" s="26" t="n">
        <v>23102</v>
      </c>
      <c r="B2880" s="1" t="n">
        <v>1963</v>
      </c>
      <c r="C2880" s="1" t="n">
        <v>4</v>
      </c>
      <c r="D2880" s="1" t="s">
        <v>45</v>
      </c>
      <c r="E2880" s="1" t="s">
        <v>2</v>
      </c>
      <c r="F2880" s="1" t="n">
        <v>1.29</v>
      </c>
      <c r="G2880" s="1" t="n">
        <f aca="false">IF(E2880=E2879,F2880/F2879-1,"")</f>
        <v>0</v>
      </c>
    </row>
    <row r="2881" customFormat="false" ht="14.25" hidden="false" customHeight="true" outlineLevel="0" collapsed="false">
      <c r="A2881" s="26" t="n">
        <v>23132</v>
      </c>
      <c r="B2881" s="1" t="n">
        <v>1963</v>
      </c>
      <c r="C2881" s="1" t="n">
        <v>5</v>
      </c>
      <c r="D2881" s="1" t="s">
        <v>46</v>
      </c>
      <c r="E2881" s="1" t="s">
        <v>2</v>
      </c>
      <c r="F2881" s="1" t="n">
        <v>1.29</v>
      </c>
      <c r="G2881" s="1" t="n">
        <f aca="false">IF(E2881=E2880,F2881/F2880-1,"")</f>
        <v>0</v>
      </c>
    </row>
    <row r="2882" customFormat="false" ht="14.25" hidden="false" customHeight="true" outlineLevel="0" collapsed="false">
      <c r="A2882" s="26" t="n">
        <v>23163</v>
      </c>
      <c r="B2882" s="1" t="n">
        <v>1963</v>
      </c>
      <c r="C2882" s="1" t="n">
        <v>6</v>
      </c>
      <c r="D2882" s="1" t="s">
        <v>47</v>
      </c>
      <c r="E2882" s="1" t="s">
        <v>2</v>
      </c>
      <c r="F2882" s="1" t="n">
        <v>1.295</v>
      </c>
      <c r="G2882" s="1" t="n">
        <f aca="false">IF(E2882=E2881,F2882/F2881-1,"")</f>
        <v>0.00387596899224807</v>
      </c>
    </row>
    <row r="2883" customFormat="false" ht="14.25" hidden="false" customHeight="true" outlineLevel="0" collapsed="false">
      <c r="A2883" s="26" t="n">
        <v>23193</v>
      </c>
      <c r="B2883" s="1" t="n">
        <v>1963</v>
      </c>
      <c r="C2883" s="1" t="n">
        <v>7</v>
      </c>
      <c r="D2883" s="1" t="s">
        <v>48</v>
      </c>
      <c r="E2883" s="1" t="s">
        <v>2</v>
      </c>
      <c r="F2883" s="1" t="n">
        <v>1.296</v>
      </c>
      <c r="G2883" s="1" t="n">
        <f aca="false">IF(E2883=E2882,F2883/F2882-1,"")</f>
        <v>0.00077220077220086</v>
      </c>
    </row>
    <row r="2884" customFormat="false" ht="14.25" hidden="false" customHeight="true" outlineLevel="0" collapsed="false">
      <c r="A2884" s="26" t="n">
        <v>23224</v>
      </c>
      <c r="B2884" s="1" t="n">
        <v>1963</v>
      </c>
      <c r="C2884" s="1" t="n">
        <v>8</v>
      </c>
      <c r="D2884" s="1" t="s">
        <v>49</v>
      </c>
      <c r="E2884" s="1" t="s">
        <v>2</v>
      </c>
      <c r="F2884" s="1" t="n">
        <v>1.295</v>
      </c>
      <c r="G2884" s="1" t="n">
        <f aca="false">IF(E2884=E2883,F2884/F2883-1,"")</f>
        <v>-0.000771604938271664</v>
      </c>
    </row>
    <row r="2885" customFormat="false" ht="14.25" hidden="false" customHeight="true" outlineLevel="0" collapsed="false">
      <c r="A2885" s="26" t="n">
        <v>23255</v>
      </c>
      <c r="B2885" s="1" t="n">
        <v>1963</v>
      </c>
      <c r="C2885" s="1" t="n">
        <v>9</v>
      </c>
      <c r="D2885" s="1" t="s">
        <v>50</v>
      </c>
      <c r="E2885" s="1" t="s">
        <v>2</v>
      </c>
      <c r="F2885" s="1" t="n">
        <v>1.291</v>
      </c>
      <c r="G2885" s="1" t="n">
        <f aca="false">IF(E2885=E2884,F2885/F2884-1,"")</f>
        <v>-0.00308880308880311</v>
      </c>
    </row>
    <row r="2886" customFormat="false" ht="14.25" hidden="false" customHeight="true" outlineLevel="0" collapsed="false">
      <c r="A2886" s="26" t="n">
        <v>23285</v>
      </c>
      <c r="B2886" s="1" t="n">
        <v>1963</v>
      </c>
      <c r="C2886" s="1" t="n">
        <v>10</v>
      </c>
      <c r="D2886" s="1" t="s">
        <v>51</v>
      </c>
      <c r="E2886" s="1" t="s">
        <v>2</v>
      </c>
      <c r="F2886" s="1" t="n">
        <v>1.294</v>
      </c>
      <c r="G2886" s="1" t="n">
        <f aca="false">IF(E2886=E2885,F2886/F2885-1,"")</f>
        <v>0.00232378001549205</v>
      </c>
    </row>
    <row r="2887" customFormat="false" ht="14.25" hidden="false" customHeight="true" outlineLevel="0" collapsed="false">
      <c r="A2887" s="26" t="n">
        <v>23316</v>
      </c>
      <c r="B2887" s="1" t="n">
        <v>1963</v>
      </c>
      <c r="C2887" s="1" t="n">
        <v>11</v>
      </c>
      <c r="D2887" s="1" t="s">
        <v>52</v>
      </c>
      <c r="E2887" s="1" t="s">
        <v>2</v>
      </c>
      <c r="F2887" s="1" t="n">
        <v>1.294</v>
      </c>
      <c r="G2887" s="1" t="n">
        <f aca="false">IF(E2887=E2886,F2887/F2886-1,"")</f>
        <v>0</v>
      </c>
    </row>
    <row r="2888" customFormat="false" ht="14.25" hidden="false" customHeight="true" outlineLevel="0" collapsed="false">
      <c r="A2888" s="26" t="n">
        <v>23346</v>
      </c>
      <c r="B2888" s="1" t="n">
        <v>1963</v>
      </c>
      <c r="C2888" s="1" t="n">
        <v>12</v>
      </c>
      <c r="D2888" s="1" t="s">
        <v>53</v>
      </c>
      <c r="E2888" s="1" t="s">
        <v>2</v>
      </c>
      <c r="F2888" s="1" t="n">
        <v>1.292</v>
      </c>
      <c r="G2888" s="1" t="n">
        <f aca="false">IF(E2888=E2887,F2888/F2887-1,"")</f>
        <v>-0.00154559505409579</v>
      </c>
    </row>
    <row r="2889" customFormat="false" ht="14.25" hidden="false" customHeight="true" outlineLevel="0" collapsed="false">
      <c r="A2889" s="26" t="n">
        <v>23377</v>
      </c>
      <c r="B2889" s="1" t="n">
        <v>1964</v>
      </c>
      <c r="C2889" s="1" t="n">
        <v>1</v>
      </c>
      <c r="D2889" s="1" t="s">
        <v>42</v>
      </c>
      <c r="E2889" s="1" t="s">
        <v>2</v>
      </c>
      <c r="F2889" s="1" t="n">
        <v>1.292</v>
      </c>
      <c r="G2889" s="1" t="n">
        <f aca="false">IF(E2889=E2888,F2889/F2888-1,"")</f>
        <v>0</v>
      </c>
    </row>
    <row r="2890" customFormat="false" ht="14.25" hidden="false" customHeight="true" outlineLevel="0" collapsed="false">
      <c r="A2890" s="26" t="n">
        <v>23408</v>
      </c>
      <c r="B2890" s="1" t="n">
        <v>1964</v>
      </c>
      <c r="C2890" s="1" t="n">
        <v>2</v>
      </c>
      <c r="D2890" s="1" t="s">
        <v>43</v>
      </c>
      <c r="E2890" s="1" t="s">
        <v>2</v>
      </c>
      <c r="F2890" s="1" t="n">
        <v>1.294</v>
      </c>
      <c r="G2890" s="1" t="n">
        <f aca="false">IF(E2890=E2889,F2890/F2889-1,"")</f>
        <v>0.00154798761609909</v>
      </c>
    </row>
    <row r="2891" customFormat="false" ht="14.25" hidden="false" customHeight="true" outlineLevel="0" collapsed="false">
      <c r="A2891" s="26" t="n">
        <v>23437</v>
      </c>
      <c r="B2891" s="1" t="n">
        <v>1964</v>
      </c>
      <c r="C2891" s="1" t="n">
        <v>3</v>
      </c>
      <c r="D2891" s="1" t="s">
        <v>44</v>
      </c>
      <c r="E2891" s="1" t="s">
        <v>2</v>
      </c>
      <c r="F2891" s="1" t="n">
        <v>1.303</v>
      </c>
      <c r="G2891" s="1" t="n">
        <f aca="false">IF(E2891=E2890,F2891/F2890-1,"")</f>
        <v>0.00695517774343113</v>
      </c>
    </row>
    <row r="2892" customFormat="false" ht="14.25" hidden="false" customHeight="true" outlineLevel="0" collapsed="false">
      <c r="A2892" s="26" t="n">
        <v>23468</v>
      </c>
      <c r="B2892" s="1" t="n">
        <v>1964</v>
      </c>
      <c r="C2892" s="1" t="n">
        <v>4</v>
      </c>
      <c r="D2892" s="1" t="s">
        <v>45</v>
      </c>
      <c r="E2892" s="1" t="s">
        <v>2</v>
      </c>
      <c r="F2892" s="1" t="n">
        <v>1.293</v>
      </c>
      <c r="G2892" s="1" t="n">
        <f aca="false">IF(E2892=E2891,F2892/F2891-1,"")</f>
        <v>-0.00767459708365315</v>
      </c>
    </row>
    <row r="2893" customFormat="false" ht="14.25" hidden="false" customHeight="true" outlineLevel="0" collapsed="false">
      <c r="A2893" s="26" t="n">
        <v>23498</v>
      </c>
      <c r="B2893" s="1" t="n">
        <v>1964</v>
      </c>
      <c r="C2893" s="1" t="n">
        <v>5</v>
      </c>
      <c r="D2893" s="1" t="s">
        <v>46</v>
      </c>
      <c r="E2893" s="1" t="s">
        <v>2</v>
      </c>
      <c r="F2893" s="1" t="n">
        <v>1.292</v>
      </c>
      <c r="G2893" s="1" t="n">
        <f aca="false">IF(E2893=E2892,F2893/F2892-1,"")</f>
        <v>-0.000773395204949678</v>
      </c>
    </row>
    <row r="2894" customFormat="false" ht="14.25" hidden="false" customHeight="true" outlineLevel="0" collapsed="false">
      <c r="A2894" s="26" t="n">
        <v>23529</v>
      </c>
      <c r="B2894" s="1" t="n">
        <v>1964</v>
      </c>
      <c r="C2894" s="1" t="n">
        <v>6</v>
      </c>
      <c r="D2894" s="1" t="s">
        <v>47</v>
      </c>
      <c r="E2894" s="1" t="s">
        <v>2</v>
      </c>
      <c r="F2894" s="1" t="n">
        <v>1.292</v>
      </c>
      <c r="G2894" s="1" t="n">
        <f aca="false">IF(E2894=E2893,F2894/F2893-1,"")</f>
        <v>0</v>
      </c>
    </row>
    <row r="2895" customFormat="false" ht="14.25" hidden="false" customHeight="true" outlineLevel="0" collapsed="false">
      <c r="A2895" s="26" t="n">
        <v>23559</v>
      </c>
      <c r="B2895" s="1" t="n">
        <v>1964</v>
      </c>
      <c r="C2895" s="1" t="n">
        <v>7</v>
      </c>
      <c r="D2895" s="1" t="s">
        <v>48</v>
      </c>
      <c r="E2895" s="1" t="s">
        <v>2</v>
      </c>
      <c r="F2895" s="1" t="n">
        <v>1.294</v>
      </c>
      <c r="G2895" s="1" t="n">
        <f aca="false">IF(E2895=E2894,F2895/F2894-1,"")</f>
        <v>0.00154798761609909</v>
      </c>
    </row>
    <row r="2896" customFormat="false" ht="14.25" hidden="false" customHeight="true" outlineLevel="0" collapsed="false">
      <c r="A2896" s="26" t="n">
        <v>23590</v>
      </c>
      <c r="B2896" s="1" t="n">
        <v>1964</v>
      </c>
      <c r="C2896" s="1" t="n">
        <v>8</v>
      </c>
      <c r="D2896" s="1" t="s">
        <v>49</v>
      </c>
      <c r="E2896" s="1" t="s">
        <v>2</v>
      </c>
      <c r="F2896" s="1" t="n">
        <v>1.299</v>
      </c>
      <c r="G2896" s="1" t="n">
        <f aca="false">IF(E2896=E2895,F2896/F2895-1,"")</f>
        <v>0.00386398763523954</v>
      </c>
    </row>
    <row r="2897" customFormat="false" ht="14.25" hidden="false" customHeight="true" outlineLevel="0" collapsed="false">
      <c r="A2897" s="26" t="n">
        <v>23621</v>
      </c>
      <c r="B2897" s="1" t="n">
        <v>1964</v>
      </c>
      <c r="C2897" s="1" t="n">
        <v>9</v>
      </c>
      <c r="D2897" s="1" t="s">
        <v>50</v>
      </c>
      <c r="E2897" s="1" t="s">
        <v>2</v>
      </c>
      <c r="F2897" s="1" t="n">
        <v>1.309</v>
      </c>
      <c r="G2897" s="1" t="n">
        <f aca="false">IF(E2897=E2896,F2897/F2896-1,"")</f>
        <v>0.0076982294072363</v>
      </c>
    </row>
    <row r="2898" customFormat="false" ht="14.25" hidden="false" customHeight="true" outlineLevel="0" collapsed="false">
      <c r="A2898" s="26" t="n">
        <v>23651</v>
      </c>
      <c r="B2898" s="1" t="n">
        <v>1964</v>
      </c>
      <c r="C2898" s="1" t="n">
        <v>10</v>
      </c>
      <c r="D2898" s="1" t="s">
        <v>51</v>
      </c>
      <c r="E2898" s="1" t="s">
        <v>2</v>
      </c>
      <c r="F2898" s="1" t="n">
        <v>1.3</v>
      </c>
      <c r="G2898" s="1" t="n">
        <f aca="false">IF(E2898=E2897,F2898/F2897-1,"")</f>
        <v>-0.00687547746371264</v>
      </c>
    </row>
    <row r="2899" customFormat="false" ht="14.25" hidden="false" customHeight="true" outlineLevel="0" collapsed="false">
      <c r="A2899" s="26" t="n">
        <v>23682</v>
      </c>
      <c r="B2899" s="1" t="n">
        <v>1964</v>
      </c>
      <c r="C2899" s="1" t="n">
        <v>11</v>
      </c>
      <c r="D2899" s="1" t="s">
        <v>52</v>
      </c>
      <c r="E2899" s="1" t="s">
        <v>2</v>
      </c>
      <c r="F2899" s="1" t="n">
        <v>1.298</v>
      </c>
      <c r="G2899" s="1" t="n">
        <f aca="false">IF(E2899=E2898,F2899/F2898-1,"")</f>
        <v>-0.00153846153846149</v>
      </c>
    </row>
    <row r="2900" customFormat="false" ht="14.25" hidden="false" customHeight="true" outlineLevel="0" collapsed="false">
      <c r="A2900" s="26" t="n">
        <v>23712</v>
      </c>
      <c r="B2900" s="1" t="n">
        <v>1964</v>
      </c>
      <c r="C2900" s="1" t="n">
        <v>12</v>
      </c>
      <c r="D2900" s="1" t="s">
        <v>53</v>
      </c>
      <c r="E2900" s="1" t="s">
        <v>2</v>
      </c>
      <c r="F2900" s="1" t="n">
        <v>1.313</v>
      </c>
      <c r="G2900" s="1" t="n">
        <f aca="false">IF(E2900=E2899,F2900/F2899-1,"")</f>
        <v>0.0115562403697995</v>
      </c>
    </row>
    <row r="2901" customFormat="false" ht="14.25" hidden="false" customHeight="true" outlineLevel="0" collapsed="false">
      <c r="A2901" s="26" t="n">
        <v>23743</v>
      </c>
      <c r="B2901" s="1" t="n">
        <v>1965</v>
      </c>
      <c r="C2901" s="1" t="n">
        <v>1</v>
      </c>
      <c r="D2901" s="1" t="s">
        <v>42</v>
      </c>
      <c r="E2901" s="1" t="s">
        <v>2</v>
      </c>
      <c r="F2901" s="1" t="n">
        <v>1.302</v>
      </c>
      <c r="G2901" s="1" t="n">
        <f aca="false">IF(E2901=E2900,F2901/F2900-1,"")</f>
        <v>-0.00837776085300834</v>
      </c>
    </row>
    <row r="2902" customFormat="false" ht="14.25" hidden="false" customHeight="true" outlineLevel="0" collapsed="false">
      <c r="A2902" s="26" t="n">
        <v>23774</v>
      </c>
      <c r="B2902" s="1" t="n">
        <v>1965</v>
      </c>
      <c r="C2902" s="1" t="n">
        <v>2</v>
      </c>
      <c r="D2902" s="1" t="s">
        <v>43</v>
      </c>
      <c r="E2902" s="1" t="s">
        <v>2</v>
      </c>
      <c r="F2902" s="1" t="n">
        <v>1.301</v>
      </c>
      <c r="G2902" s="1" t="n">
        <f aca="false">IF(E2902=E2901,F2902/F2901-1,"")</f>
        <v>-0.000768049155146056</v>
      </c>
    </row>
    <row r="2903" customFormat="false" ht="14.25" hidden="false" customHeight="true" outlineLevel="0" collapsed="false">
      <c r="A2903" s="26" t="n">
        <v>23802</v>
      </c>
      <c r="B2903" s="1" t="n">
        <v>1965</v>
      </c>
      <c r="C2903" s="1" t="n">
        <v>3</v>
      </c>
      <c r="D2903" s="1" t="s">
        <v>44</v>
      </c>
      <c r="E2903" s="1" t="s">
        <v>2</v>
      </c>
      <c r="F2903" s="1" t="n">
        <v>1.296</v>
      </c>
      <c r="G2903" s="1" t="n">
        <f aca="false">IF(E2903=E2902,F2903/F2902-1,"")</f>
        <v>-0.00384319754035345</v>
      </c>
    </row>
    <row r="2904" customFormat="false" ht="14.25" hidden="false" customHeight="true" outlineLevel="0" collapsed="false">
      <c r="A2904" s="26" t="n">
        <v>23833</v>
      </c>
      <c r="B2904" s="1" t="n">
        <v>1965</v>
      </c>
      <c r="C2904" s="1" t="n">
        <v>4</v>
      </c>
      <c r="D2904" s="1" t="s">
        <v>45</v>
      </c>
      <c r="E2904" s="1" t="s">
        <v>2</v>
      </c>
      <c r="F2904" s="1" t="n">
        <v>1.3</v>
      </c>
      <c r="G2904" s="1" t="n">
        <f aca="false">IF(E2904=E2903,F2904/F2903-1,"")</f>
        <v>0.00308641975308643</v>
      </c>
    </row>
    <row r="2905" customFormat="false" ht="14.25" hidden="false" customHeight="true" outlineLevel="0" collapsed="false">
      <c r="A2905" s="26" t="n">
        <v>23863</v>
      </c>
      <c r="B2905" s="1" t="n">
        <v>1965</v>
      </c>
      <c r="C2905" s="1" t="n">
        <v>5</v>
      </c>
      <c r="D2905" s="1" t="s">
        <v>46</v>
      </c>
      <c r="E2905" s="1" t="s">
        <v>2</v>
      </c>
      <c r="F2905" s="1" t="n">
        <v>1.292</v>
      </c>
      <c r="G2905" s="1" t="n">
        <f aca="false">IF(E2905=E2904,F2905/F2904-1,"")</f>
        <v>-0.00615384615384618</v>
      </c>
    </row>
    <row r="2906" customFormat="false" ht="14.25" hidden="false" customHeight="true" outlineLevel="0" collapsed="false">
      <c r="A2906" s="26" t="n">
        <v>23894</v>
      </c>
      <c r="B2906" s="1" t="n">
        <v>1965</v>
      </c>
      <c r="C2906" s="1" t="n">
        <v>6</v>
      </c>
      <c r="D2906" s="1" t="s">
        <v>47</v>
      </c>
      <c r="E2906" s="1" t="s">
        <v>2</v>
      </c>
      <c r="F2906" s="1" t="n">
        <v>1.288</v>
      </c>
      <c r="G2906" s="1" t="n">
        <f aca="false">IF(E2906=E2905,F2906/F2905-1,"")</f>
        <v>-0.00309597523219818</v>
      </c>
    </row>
    <row r="2907" customFormat="false" ht="14.25" hidden="false" customHeight="true" outlineLevel="0" collapsed="false">
      <c r="A2907" s="26" t="n">
        <v>23924</v>
      </c>
      <c r="B2907" s="1" t="n">
        <v>1965</v>
      </c>
      <c r="C2907" s="1" t="n">
        <v>7</v>
      </c>
      <c r="D2907" s="1" t="s">
        <v>48</v>
      </c>
      <c r="E2907" s="1" t="s">
        <v>2</v>
      </c>
      <c r="F2907" s="1" t="n">
        <v>1.29</v>
      </c>
      <c r="G2907" s="1" t="n">
        <f aca="false">IF(E2907=E2906,F2907/F2906-1,"")</f>
        <v>0.00155279503105588</v>
      </c>
    </row>
    <row r="2908" customFormat="false" ht="14.25" hidden="false" customHeight="true" outlineLevel="0" collapsed="false">
      <c r="A2908" s="26" t="n">
        <v>23955</v>
      </c>
      <c r="B2908" s="1" t="n">
        <v>1965</v>
      </c>
      <c r="C2908" s="1" t="n">
        <v>8</v>
      </c>
      <c r="D2908" s="1" t="s">
        <v>49</v>
      </c>
      <c r="E2908" s="1" t="s">
        <v>2</v>
      </c>
      <c r="F2908" s="1" t="n">
        <v>1.294</v>
      </c>
      <c r="G2908" s="1" t="n">
        <f aca="false">IF(E2908=E2907,F2908/F2907-1,"")</f>
        <v>0.00310077519379837</v>
      </c>
    </row>
    <row r="2909" customFormat="false" ht="14.25" hidden="false" customHeight="true" outlineLevel="0" collapsed="false">
      <c r="A2909" s="26" t="n">
        <v>23986</v>
      </c>
      <c r="B2909" s="1" t="n">
        <v>1965</v>
      </c>
      <c r="C2909" s="1" t="n">
        <v>9</v>
      </c>
      <c r="D2909" s="1" t="s">
        <v>50</v>
      </c>
      <c r="E2909" s="1" t="s">
        <v>2</v>
      </c>
      <c r="F2909" s="1" t="n">
        <v>1.295</v>
      </c>
      <c r="G2909" s="1" t="n">
        <f aca="false">IF(E2909=E2908,F2909/F2908-1,"")</f>
        <v>0.000772797527047731</v>
      </c>
    </row>
    <row r="2910" customFormat="false" ht="14.25" hidden="false" customHeight="true" outlineLevel="0" collapsed="false">
      <c r="A2910" s="26" t="n">
        <v>24016</v>
      </c>
      <c r="B2910" s="1" t="n">
        <v>1965</v>
      </c>
      <c r="C2910" s="1" t="n">
        <v>10</v>
      </c>
      <c r="D2910" s="1" t="s">
        <v>51</v>
      </c>
      <c r="E2910" s="1" t="s">
        <v>2</v>
      </c>
      <c r="F2910" s="1" t="n">
        <v>1.293</v>
      </c>
      <c r="G2910" s="1" t="n">
        <f aca="false">IF(E2910=E2909,F2910/F2909-1,"")</f>
        <v>-0.0015444015444015</v>
      </c>
    </row>
    <row r="2911" customFormat="false" ht="14.25" hidden="false" customHeight="true" outlineLevel="0" collapsed="false">
      <c r="A2911" s="26" t="n">
        <v>24047</v>
      </c>
      <c r="B2911" s="1" t="n">
        <v>1965</v>
      </c>
      <c r="C2911" s="1" t="n">
        <v>11</v>
      </c>
      <c r="D2911" s="1" t="s">
        <v>52</v>
      </c>
      <c r="E2911" s="1" t="s">
        <v>2</v>
      </c>
      <c r="F2911" s="1" t="n">
        <v>1.294</v>
      </c>
      <c r="G2911" s="1" t="n">
        <f aca="false">IF(E2911=E2910,F2911/F2910-1,"")</f>
        <v>0.000773395204949789</v>
      </c>
    </row>
    <row r="2912" customFormat="false" ht="14.25" hidden="false" customHeight="true" outlineLevel="0" collapsed="false">
      <c r="A2912" s="26" t="n">
        <v>24077</v>
      </c>
      <c r="B2912" s="1" t="n">
        <v>1965</v>
      </c>
      <c r="C2912" s="1" t="n">
        <v>12</v>
      </c>
      <c r="D2912" s="1" t="s">
        <v>53</v>
      </c>
      <c r="E2912" s="1" t="s">
        <v>2</v>
      </c>
      <c r="F2912" s="1" t="n">
        <v>1.297</v>
      </c>
      <c r="G2912" s="1" t="n">
        <f aca="false">IF(E2912=E2911,F2912/F2911-1,"")</f>
        <v>0.00231839258114364</v>
      </c>
    </row>
    <row r="2913" customFormat="false" ht="14.25" hidden="false" customHeight="true" outlineLevel="0" collapsed="false">
      <c r="A2913" s="26" t="n">
        <v>24108</v>
      </c>
      <c r="B2913" s="1" t="n">
        <v>1966</v>
      </c>
      <c r="C2913" s="1" t="n">
        <v>1</v>
      </c>
      <c r="D2913" s="1" t="s">
        <v>42</v>
      </c>
      <c r="E2913" s="1" t="s">
        <v>2</v>
      </c>
      <c r="F2913" s="1" t="n">
        <v>1.295</v>
      </c>
      <c r="G2913" s="1" t="n">
        <f aca="false">IF(E2913=E2912,F2913/F2912-1,"")</f>
        <v>-0.00154202004626058</v>
      </c>
    </row>
    <row r="2914" customFormat="false" ht="14.25" hidden="false" customHeight="true" outlineLevel="0" collapsed="false">
      <c r="A2914" s="26" t="n">
        <v>24139</v>
      </c>
      <c r="B2914" s="1" t="n">
        <v>1966</v>
      </c>
      <c r="C2914" s="1" t="n">
        <v>2</v>
      </c>
      <c r="D2914" s="1" t="s">
        <v>43</v>
      </c>
      <c r="E2914" s="1" t="s">
        <v>2</v>
      </c>
      <c r="F2914" s="1" t="n">
        <v>1.293</v>
      </c>
      <c r="G2914" s="1" t="n">
        <f aca="false">IF(E2914=E2913,F2914/F2913-1,"")</f>
        <v>-0.0015444015444015</v>
      </c>
    </row>
    <row r="2915" customFormat="false" ht="14.25" hidden="false" customHeight="true" outlineLevel="0" collapsed="false">
      <c r="A2915" s="26" t="n">
        <v>24167</v>
      </c>
      <c r="B2915" s="1" t="n">
        <v>1966</v>
      </c>
      <c r="C2915" s="1" t="n">
        <v>3</v>
      </c>
      <c r="D2915" s="1" t="s">
        <v>44</v>
      </c>
      <c r="E2915" s="1" t="s">
        <v>2</v>
      </c>
      <c r="F2915" s="1" t="n">
        <v>1.29</v>
      </c>
      <c r="G2915" s="1" t="n">
        <f aca="false">IF(E2915=E2914,F2915/F2914-1,"")</f>
        <v>-0.00232018561484915</v>
      </c>
    </row>
    <row r="2916" customFormat="false" ht="14.25" hidden="false" customHeight="true" outlineLevel="0" collapsed="false">
      <c r="A2916" s="26" t="n">
        <v>24198</v>
      </c>
      <c r="B2916" s="1" t="n">
        <v>1966</v>
      </c>
      <c r="C2916" s="1" t="n">
        <v>4</v>
      </c>
      <c r="D2916" s="1" t="s">
        <v>45</v>
      </c>
      <c r="E2916" s="1" t="s">
        <v>2</v>
      </c>
      <c r="F2916" s="1" t="n">
        <v>1.295</v>
      </c>
      <c r="G2916" s="1" t="n">
        <f aca="false">IF(E2916=E2915,F2916/F2915-1,"")</f>
        <v>0.00387596899224807</v>
      </c>
    </row>
    <row r="2917" customFormat="false" ht="14.25" hidden="false" customHeight="true" outlineLevel="0" collapsed="false">
      <c r="A2917" s="26" t="n">
        <v>24228</v>
      </c>
      <c r="B2917" s="1" t="n">
        <v>1966</v>
      </c>
      <c r="C2917" s="1" t="n">
        <v>5</v>
      </c>
      <c r="D2917" s="1" t="s">
        <v>46</v>
      </c>
      <c r="E2917" s="1" t="s">
        <v>2</v>
      </c>
      <c r="F2917" s="1" t="n">
        <v>1.29</v>
      </c>
      <c r="G2917" s="1" t="n">
        <f aca="false">IF(E2917=E2916,F2917/F2916-1,"")</f>
        <v>-0.00386100386100374</v>
      </c>
    </row>
    <row r="2918" customFormat="false" ht="14.25" hidden="false" customHeight="true" outlineLevel="0" collapsed="false">
      <c r="A2918" s="26" t="n">
        <v>24259</v>
      </c>
      <c r="B2918" s="1" t="n">
        <v>1966</v>
      </c>
      <c r="C2918" s="1" t="n">
        <v>6</v>
      </c>
      <c r="D2918" s="1" t="s">
        <v>47</v>
      </c>
      <c r="E2918" s="1" t="s">
        <v>2</v>
      </c>
      <c r="F2918" s="1" t="n">
        <v>1.295</v>
      </c>
      <c r="G2918" s="1" t="n">
        <f aca="false">IF(E2918=E2917,F2918/F2917-1,"")</f>
        <v>0.00387596899224807</v>
      </c>
    </row>
    <row r="2919" customFormat="false" ht="14.25" hidden="false" customHeight="true" outlineLevel="0" collapsed="false">
      <c r="A2919" s="26" t="n">
        <v>24289</v>
      </c>
      <c r="B2919" s="1" t="n">
        <v>1966</v>
      </c>
      <c r="C2919" s="1" t="n">
        <v>7</v>
      </c>
      <c r="D2919" s="1" t="s">
        <v>48</v>
      </c>
      <c r="E2919" s="1" t="s">
        <v>2</v>
      </c>
      <c r="F2919" s="1" t="n">
        <v>1.301</v>
      </c>
      <c r="G2919" s="1" t="n">
        <f aca="false">IF(E2919=E2918,F2919/F2918-1,"")</f>
        <v>0.00463320463320471</v>
      </c>
    </row>
    <row r="2920" customFormat="false" ht="14.25" hidden="false" customHeight="true" outlineLevel="0" collapsed="false">
      <c r="A2920" s="26" t="n">
        <v>24320</v>
      </c>
      <c r="B2920" s="1" t="n">
        <v>1966</v>
      </c>
      <c r="C2920" s="1" t="n">
        <v>8</v>
      </c>
      <c r="D2920" s="1" t="s">
        <v>49</v>
      </c>
      <c r="E2920" s="1" t="s">
        <v>2</v>
      </c>
      <c r="F2920" s="1" t="n">
        <v>1.308</v>
      </c>
      <c r="G2920" s="1" t="n">
        <f aca="false">IF(E2920=E2919,F2920/F2919-1,"")</f>
        <v>0.0053804765564951</v>
      </c>
    </row>
    <row r="2921" customFormat="false" ht="14.25" hidden="false" customHeight="true" outlineLevel="0" collapsed="false">
      <c r="A2921" s="26" t="n">
        <v>24351</v>
      </c>
      <c r="B2921" s="1" t="n">
        <v>1966</v>
      </c>
      <c r="C2921" s="1" t="n">
        <v>9</v>
      </c>
      <c r="D2921" s="1" t="s">
        <v>50</v>
      </c>
      <c r="E2921" s="1" t="s">
        <v>2</v>
      </c>
      <c r="F2921" s="1" t="n">
        <v>1.307</v>
      </c>
      <c r="G2921" s="1" t="n">
        <f aca="false">IF(E2921=E2920,F2921/F2920-1,"")</f>
        <v>-0.00076452599388388</v>
      </c>
    </row>
    <row r="2922" customFormat="false" ht="14.25" hidden="false" customHeight="true" outlineLevel="0" collapsed="false">
      <c r="A2922" s="26" t="n">
        <v>24381</v>
      </c>
      <c r="B2922" s="1" t="n">
        <v>1966</v>
      </c>
      <c r="C2922" s="1" t="n">
        <v>10</v>
      </c>
      <c r="D2922" s="1" t="s">
        <v>51</v>
      </c>
      <c r="E2922" s="1" t="s">
        <v>2</v>
      </c>
      <c r="F2922" s="1" t="n">
        <v>1.296</v>
      </c>
      <c r="G2922" s="1" t="n">
        <f aca="false">IF(E2922=E2921,F2922/F2921-1,"")</f>
        <v>-0.008416220351951</v>
      </c>
    </row>
    <row r="2923" customFormat="false" ht="14.25" hidden="false" customHeight="true" outlineLevel="0" collapsed="false">
      <c r="A2923" s="26" t="n">
        <v>24412</v>
      </c>
      <c r="B2923" s="1" t="n">
        <v>1966</v>
      </c>
      <c r="C2923" s="1" t="n">
        <v>11</v>
      </c>
      <c r="D2923" s="1" t="s">
        <v>52</v>
      </c>
      <c r="E2923" s="1" t="s">
        <v>2</v>
      </c>
      <c r="F2923" s="1" t="n">
        <v>1.296</v>
      </c>
      <c r="G2923" s="1" t="n">
        <f aca="false">IF(E2923=E2922,F2923/F2922-1,"")</f>
        <v>0</v>
      </c>
    </row>
    <row r="2924" customFormat="false" ht="14.25" hidden="false" customHeight="true" outlineLevel="0" collapsed="false">
      <c r="A2924" s="26" t="n">
        <v>24442</v>
      </c>
      <c r="B2924" s="1" t="n">
        <v>1966</v>
      </c>
      <c r="C2924" s="1" t="n">
        <v>12</v>
      </c>
      <c r="D2924" s="1" t="s">
        <v>53</v>
      </c>
      <c r="E2924" s="1" t="s">
        <v>2</v>
      </c>
      <c r="F2924" s="1" t="n">
        <v>1.305</v>
      </c>
      <c r="G2924" s="1" t="n">
        <f aca="false">IF(E2924=E2923,F2924/F2923-1,"")</f>
        <v>0.00694444444444442</v>
      </c>
    </row>
    <row r="2925" customFormat="false" ht="14.25" hidden="false" customHeight="true" outlineLevel="0" collapsed="false">
      <c r="A2925" s="26" t="n">
        <v>24473</v>
      </c>
      <c r="B2925" s="1" t="n">
        <v>1967</v>
      </c>
      <c r="C2925" s="1" t="n">
        <v>1</v>
      </c>
      <c r="D2925" s="1" t="s">
        <v>42</v>
      </c>
      <c r="E2925" s="1" t="s">
        <v>2</v>
      </c>
      <c r="F2925" s="1" t="n">
        <v>1.293</v>
      </c>
      <c r="G2925" s="1" t="n">
        <f aca="false">IF(E2925=E2924,F2925/F2924-1,"")</f>
        <v>-0.00919540229885063</v>
      </c>
    </row>
    <row r="2926" customFormat="false" ht="14.25" hidden="false" customHeight="true" outlineLevel="0" collapsed="false">
      <c r="A2926" s="26" t="n">
        <v>24504</v>
      </c>
      <c r="B2926" s="1" t="n">
        <v>1967</v>
      </c>
      <c r="C2926" s="1" t="n">
        <v>2</v>
      </c>
      <c r="D2926" s="1" t="s">
        <v>43</v>
      </c>
      <c r="E2926" s="1" t="s">
        <v>2</v>
      </c>
      <c r="F2926" s="1" t="n">
        <v>1.3</v>
      </c>
      <c r="G2926" s="1" t="n">
        <f aca="false">IF(E2926=E2925,F2926/F2925-1,"")</f>
        <v>0.0054137664346483</v>
      </c>
    </row>
    <row r="2927" customFormat="false" ht="14.25" hidden="false" customHeight="true" outlineLevel="0" collapsed="false">
      <c r="A2927" s="26" t="n">
        <v>24532</v>
      </c>
      <c r="B2927" s="1" t="n">
        <v>1967</v>
      </c>
      <c r="C2927" s="1" t="n">
        <v>3</v>
      </c>
      <c r="D2927" s="1" t="s">
        <v>44</v>
      </c>
      <c r="E2927" s="1" t="s">
        <v>2</v>
      </c>
      <c r="F2927" s="1" t="n">
        <v>1.296</v>
      </c>
      <c r="G2927" s="1" t="n">
        <f aca="false">IF(E2927=E2926,F2927/F2926-1,"")</f>
        <v>-0.00307692307692309</v>
      </c>
    </row>
    <row r="2928" customFormat="false" ht="14.25" hidden="false" customHeight="true" outlineLevel="0" collapsed="false">
      <c r="A2928" s="26" t="n">
        <v>24563</v>
      </c>
      <c r="B2928" s="1" t="n">
        <v>1967</v>
      </c>
      <c r="C2928" s="1" t="n">
        <v>4</v>
      </c>
      <c r="D2928" s="1" t="s">
        <v>45</v>
      </c>
      <c r="E2928" s="1" t="s">
        <v>2</v>
      </c>
      <c r="F2928" s="1" t="n">
        <v>1.304</v>
      </c>
      <c r="G2928" s="1" t="n">
        <f aca="false">IF(E2928=E2927,F2928/F2927-1,"")</f>
        <v>0.00617283950617287</v>
      </c>
    </row>
    <row r="2929" customFormat="false" ht="14.25" hidden="false" customHeight="true" outlineLevel="0" collapsed="false">
      <c r="A2929" s="26" t="n">
        <v>24593</v>
      </c>
      <c r="B2929" s="1" t="n">
        <v>1967</v>
      </c>
      <c r="C2929" s="1" t="n">
        <v>5</v>
      </c>
      <c r="D2929" s="1" t="s">
        <v>46</v>
      </c>
      <c r="E2929" s="1" t="s">
        <v>2</v>
      </c>
      <c r="F2929" s="1" t="n">
        <v>1.611</v>
      </c>
      <c r="G2929" s="1" t="n">
        <f aca="false">IF(E2929=E2928,F2929/F2928-1,"")</f>
        <v>0.235429447852761</v>
      </c>
    </row>
    <row r="2930" customFormat="false" ht="14.25" hidden="false" customHeight="true" outlineLevel="0" collapsed="false">
      <c r="A2930" s="26" t="n">
        <v>24624</v>
      </c>
      <c r="B2930" s="1" t="n">
        <v>1967</v>
      </c>
      <c r="C2930" s="1" t="n">
        <v>6</v>
      </c>
      <c r="D2930" s="1" t="s">
        <v>47</v>
      </c>
      <c r="E2930" s="1" t="s">
        <v>2</v>
      </c>
      <c r="F2930" s="1" t="n">
        <v>1.696</v>
      </c>
      <c r="G2930" s="1" t="n">
        <f aca="false">IF(E2930=E2929,F2930/F2929-1,"")</f>
        <v>0.0527622594661701</v>
      </c>
    </row>
    <row r="2931" customFormat="false" ht="14.25" hidden="false" customHeight="true" outlineLevel="0" collapsed="false">
      <c r="A2931" s="26" t="n">
        <v>24654</v>
      </c>
      <c r="B2931" s="1" t="n">
        <v>1967</v>
      </c>
      <c r="C2931" s="1" t="n">
        <v>7</v>
      </c>
      <c r="D2931" s="1" t="s">
        <v>48</v>
      </c>
      <c r="E2931" s="1" t="s">
        <v>2</v>
      </c>
      <c r="F2931" s="1" t="n">
        <v>1.844</v>
      </c>
      <c r="G2931" s="1" t="n">
        <f aca="false">IF(E2931=E2930,F2931/F2930-1,"")</f>
        <v>0.0872641509433962</v>
      </c>
    </row>
    <row r="2932" customFormat="false" ht="14.25" hidden="false" customHeight="true" outlineLevel="0" collapsed="false">
      <c r="A2932" s="26" t="n">
        <v>24685</v>
      </c>
      <c r="B2932" s="1" t="n">
        <v>1967</v>
      </c>
      <c r="C2932" s="1" t="n">
        <v>8</v>
      </c>
      <c r="D2932" s="1" t="s">
        <v>49</v>
      </c>
      <c r="E2932" s="1" t="s">
        <v>2</v>
      </c>
      <c r="F2932" s="1" t="n">
        <v>1.682</v>
      </c>
      <c r="G2932" s="1" t="n">
        <f aca="false">IF(E2932=E2931,F2932/F2931-1,"")</f>
        <v>-0.0878524945770066</v>
      </c>
    </row>
    <row r="2933" customFormat="false" ht="14.25" hidden="false" customHeight="true" outlineLevel="0" collapsed="false">
      <c r="A2933" s="26" t="n">
        <v>24716</v>
      </c>
      <c r="B2933" s="1" t="n">
        <v>1967</v>
      </c>
      <c r="C2933" s="1" t="n">
        <v>9</v>
      </c>
      <c r="D2933" s="1" t="s">
        <v>50</v>
      </c>
      <c r="E2933" s="1" t="s">
        <v>2</v>
      </c>
      <c r="F2933" s="1" t="n">
        <v>1.71</v>
      </c>
      <c r="G2933" s="1" t="n">
        <f aca="false">IF(E2933=E2932,F2933/F2932-1,"")</f>
        <v>0.0166468489892986</v>
      </c>
    </row>
    <row r="2934" customFormat="false" ht="14.25" hidden="false" customHeight="true" outlineLevel="0" collapsed="false">
      <c r="A2934" s="26" t="n">
        <v>24746</v>
      </c>
      <c r="B2934" s="1" t="n">
        <v>1967</v>
      </c>
      <c r="C2934" s="1" t="n">
        <v>10</v>
      </c>
      <c r="D2934" s="1" t="s">
        <v>51</v>
      </c>
      <c r="E2934" s="1" t="s">
        <v>2</v>
      </c>
      <c r="F2934" s="1" t="n">
        <v>1.878</v>
      </c>
      <c r="G2934" s="1" t="n">
        <f aca="false">IF(E2934=E2933,F2934/F2933-1,"")</f>
        <v>0.0982456140350876</v>
      </c>
    </row>
    <row r="2935" customFormat="false" ht="14.25" hidden="false" customHeight="true" outlineLevel="0" collapsed="false">
      <c r="A2935" s="26" t="n">
        <v>24777</v>
      </c>
      <c r="B2935" s="1" t="n">
        <v>1967</v>
      </c>
      <c r="C2935" s="1" t="n">
        <v>11</v>
      </c>
      <c r="D2935" s="1" t="s">
        <v>52</v>
      </c>
      <c r="E2935" s="1" t="s">
        <v>2</v>
      </c>
      <c r="F2935" s="1" t="n">
        <v>2.032</v>
      </c>
      <c r="G2935" s="1" t="n">
        <f aca="false">IF(E2935=E2934,F2935/F2934-1,"")</f>
        <v>0.0820021299254528</v>
      </c>
    </row>
    <row r="2936" customFormat="false" ht="14.25" hidden="false" customHeight="true" outlineLevel="0" collapsed="false">
      <c r="A2936" s="26" t="n">
        <v>24807</v>
      </c>
      <c r="B2936" s="1" t="n">
        <v>1967</v>
      </c>
      <c r="C2936" s="1" t="n">
        <v>12</v>
      </c>
      <c r="D2936" s="1" t="s">
        <v>53</v>
      </c>
      <c r="E2936" s="1" t="s">
        <v>2</v>
      </c>
      <c r="F2936" s="1" t="n">
        <v>2.253</v>
      </c>
      <c r="G2936" s="1" t="n">
        <f aca="false">IF(E2936=E2935,F2936/F2935-1,"")</f>
        <v>0.108759842519685</v>
      </c>
    </row>
    <row r="2937" customFormat="false" ht="14.25" hidden="false" customHeight="true" outlineLevel="0" collapsed="false">
      <c r="A2937" s="26" t="n">
        <v>24838</v>
      </c>
      <c r="B2937" s="1" t="n">
        <v>1968</v>
      </c>
      <c r="C2937" s="1" t="n">
        <v>1</v>
      </c>
      <c r="D2937" s="1" t="s">
        <v>42</v>
      </c>
      <c r="E2937" s="1" t="s">
        <v>2</v>
      </c>
      <c r="F2937" s="1" t="n">
        <v>1.96</v>
      </c>
      <c r="G2937" s="1" t="n">
        <f aca="false">IF(E2937=E2936,F2937/F2936-1,"")</f>
        <v>-0.130048823790502</v>
      </c>
    </row>
    <row r="2938" customFormat="false" ht="14.25" hidden="false" customHeight="true" outlineLevel="0" collapsed="false">
      <c r="A2938" s="26" t="n">
        <v>24869</v>
      </c>
      <c r="B2938" s="1" t="n">
        <v>1968</v>
      </c>
      <c r="C2938" s="1" t="n">
        <v>2</v>
      </c>
      <c r="D2938" s="1" t="s">
        <v>43</v>
      </c>
      <c r="E2938" s="1" t="s">
        <v>2</v>
      </c>
      <c r="F2938" s="1" t="n">
        <v>2.08</v>
      </c>
      <c r="G2938" s="1" t="n">
        <f aca="false">IF(E2938=E2937,F2938/F2937-1,"")</f>
        <v>0.0612244897959184</v>
      </c>
    </row>
    <row r="2939" customFormat="false" ht="14.25" hidden="false" customHeight="true" outlineLevel="0" collapsed="false">
      <c r="A2939" s="26" t="n">
        <v>24898</v>
      </c>
      <c r="B2939" s="1" t="n">
        <v>1968</v>
      </c>
      <c r="C2939" s="1" t="n">
        <v>3</v>
      </c>
      <c r="D2939" s="1" t="s">
        <v>44</v>
      </c>
      <c r="E2939" s="1" t="s">
        <v>2</v>
      </c>
      <c r="F2939" s="1" t="n">
        <v>2.28</v>
      </c>
      <c r="G2939" s="1" t="n">
        <f aca="false">IF(E2939=E2938,F2939/F2938-1,"")</f>
        <v>0.096153846153846</v>
      </c>
    </row>
    <row r="2940" customFormat="false" ht="14.25" hidden="false" customHeight="true" outlineLevel="0" collapsed="false">
      <c r="A2940" s="26" t="n">
        <v>24929</v>
      </c>
      <c r="B2940" s="1" t="n">
        <v>1968</v>
      </c>
      <c r="C2940" s="1" t="n">
        <v>4</v>
      </c>
      <c r="D2940" s="1" t="s">
        <v>45</v>
      </c>
      <c r="E2940" s="1" t="s">
        <v>2</v>
      </c>
      <c r="F2940" s="1" t="n">
        <v>2.4</v>
      </c>
      <c r="G2940" s="1" t="n">
        <f aca="false">IF(E2940=E2939,F2940/F2939-1,"")</f>
        <v>0.0526315789473684</v>
      </c>
    </row>
    <row r="2941" customFormat="false" ht="14.25" hidden="false" customHeight="true" outlineLevel="0" collapsed="false">
      <c r="A2941" s="26" t="n">
        <v>24959</v>
      </c>
      <c r="B2941" s="1" t="n">
        <v>1968</v>
      </c>
      <c r="C2941" s="1" t="n">
        <v>5</v>
      </c>
      <c r="D2941" s="1" t="s">
        <v>46</v>
      </c>
      <c r="E2941" s="1" t="s">
        <v>2</v>
      </c>
      <c r="F2941" s="1" t="n">
        <v>2.48</v>
      </c>
      <c r="G2941" s="1" t="n">
        <f aca="false">IF(E2941=E2940,F2941/F2940-1,"")</f>
        <v>0.0333333333333334</v>
      </c>
    </row>
    <row r="2942" customFormat="false" ht="14.25" hidden="false" customHeight="true" outlineLevel="0" collapsed="false">
      <c r="A2942" s="26" t="n">
        <v>24990</v>
      </c>
      <c r="B2942" s="1" t="n">
        <v>1968</v>
      </c>
      <c r="C2942" s="1" t="n">
        <v>6</v>
      </c>
      <c r="D2942" s="1" t="s">
        <v>47</v>
      </c>
      <c r="E2942" s="1" t="s">
        <v>2</v>
      </c>
      <c r="F2942" s="1" t="n">
        <v>2.5</v>
      </c>
      <c r="G2942" s="1" t="n">
        <f aca="false">IF(E2942=E2941,F2942/F2941-1,"")</f>
        <v>0.00806451612903225</v>
      </c>
    </row>
    <row r="2943" customFormat="false" ht="14.25" hidden="false" customHeight="true" outlineLevel="0" collapsed="false">
      <c r="A2943" s="26" t="n">
        <v>25020</v>
      </c>
      <c r="B2943" s="1" t="n">
        <v>1968</v>
      </c>
      <c r="C2943" s="1" t="n">
        <v>7</v>
      </c>
      <c r="D2943" s="1" t="s">
        <v>48</v>
      </c>
      <c r="E2943" s="1" t="s">
        <v>2</v>
      </c>
      <c r="F2943" s="1" t="n">
        <v>2.29</v>
      </c>
      <c r="G2943" s="1" t="n">
        <f aca="false">IF(E2943=E2942,F2943/F2942-1,"")</f>
        <v>-0.084</v>
      </c>
    </row>
    <row r="2944" customFormat="false" ht="14.25" hidden="false" customHeight="true" outlineLevel="0" collapsed="false">
      <c r="A2944" s="26" t="n">
        <v>25051</v>
      </c>
      <c r="B2944" s="1" t="n">
        <v>1968</v>
      </c>
      <c r="C2944" s="1" t="n">
        <v>8</v>
      </c>
      <c r="D2944" s="1" t="s">
        <v>49</v>
      </c>
      <c r="E2944" s="1" t="s">
        <v>2</v>
      </c>
      <c r="F2944" s="1" t="n">
        <v>2.24</v>
      </c>
      <c r="G2944" s="1" t="n">
        <f aca="false">IF(E2944=E2943,F2944/F2943-1,"")</f>
        <v>-0.0218340611353711</v>
      </c>
    </row>
    <row r="2945" customFormat="false" ht="14.25" hidden="false" customHeight="true" outlineLevel="0" collapsed="false">
      <c r="A2945" s="26" t="n">
        <v>25082</v>
      </c>
      <c r="B2945" s="1" t="n">
        <v>1968</v>
      </c>
      <c r="C2945" s="1" t="n">
        <v>9</v>
      </c>
      <c r="D2945" s="1" t="s">
        <v>50</v>
      </c>
      <c r="E2945" s="1" t="s">
        <v>2</v>
      </c>
      <c r="F2945" s="1" t="n">
        <v>2.17</v>
      </c>
      <c r="G2945" s="1" t="n">
        <f aca="false">IF(E2945=E2944,F2945/F2944-1,"")</f>
        <v>-0.0312500000000001</v>
      </c>
    </row>
    <row r="2946" customFormat="false" ht="14.25" hidden="false" customHeight="true" outlineLevel="0" collapsed="false">
      <c r="A2946" s="26" t="n">
        <v>25112</v>
      </c>
      <c r="B2946" s="1" t="n">
        <v>1968</v>
      </c>
      <c r="C2946" s="1" t="n">
        <v>10</v>
      </c>
      <c r="D2946" s="1" t="s">
        <v>51</v>
      </c>
      <c r="E2946" s="1" t="s">
        <v>2</v>
      </c>
      <c r="F2946" s="1" t="n">
        <v>1.93</v>
      </c>
      <c r="G2946" s="1" t="n">
        <f aca="false">IF(E2946=E2945,F2946/F2945-1,"")</f>
        <v>-0.110599078341014</v>
      </c>
    </row>
    <row r="2947" customFormat="false" ht="14.25" hidden="false" customHeight="true" outlineLevel="0" collapsed="false">
      <c r="A2947" s="26" t="n">
        <v>25143</v>
      </c>
      <c r="B2947" s="1" t="n">
        <v>1968</v>
      </c>
      <c r="C2947" s="1" t="n">
        <v>11</v>
      </c>
      <c r="D2947" s="1" t="s">
        <v>52</v>
      </c>
      <c r="E2947" s="1" t="s">
        <v>2</v>
      </c>
      <c r="F2947" s="1" t="n">
        <v>1.97</v>
      </c>
      <c r="G2947" s="1" t="n">
        <f aca="false">IF(E2947=E2946,F2947/F2946-1,"")</f>
        <v>0.0207253886010363</v>
      </c>
    </row>
    <row r="2948" customFormat="false" ht="14.25" hidden="false" customHeight="true" outlineLevel="0" collapsed="false">
      <c r="A2948" s="26" t="n">
        <v>25173</v>
      </c>
      <c r="B2948" s="1" t="n">
        <v>1968</v>
      </c>
      <c r="C2948" s="1" t="n">
        <v>12</v>
      </c>
      <c r="D2948" s="1" t="s">
        <v>53</v>
      </c>
      <c r="E2948" s="1" t="s">
        <v>2</v>
      </c>
      <c r="F2948" s="1" t="n">
        <v>1.95</v>
      </c>
      <c r="G2948" s="1" t="n">
        <f aca="false">IF(E2948=E2947,F2948/F2947-1,"")</f>
        <v>-0.0101522842639594</v>
      </c>
    </row>
    <row r="2949" customFormat="false" ht="14.25" hidden="false" customHeight="true" outlineLevel="0" collapsed="false">
      <c r="A2949" s="26" t="n">
        <v>25204</v>
      </c>
      <c r="B2949" s="1" t="n">
        <v>1969</v>
      </c>
      <c r="C2949" s="1" t="n">
        <v>1</v>
      </c>
      <c r="D2949" s="1" t="s">
        <v>42</v>
      </c>
      <c r="E2949" s="1" t="s">
        <v>2</v>
      </c>
      <c r="F2949" s="1" t="n">
        <v>2</v>
      </c>
      <c r="G2949" s="1" t="n">
        <f aca="false">IF(E2949=E2948,F2949/F2948-1,"")</f>
        <v>0.0256410256410258</v>
      </c>
    </row>
    <row r="2950" customFormat="false" ht="14.25" hidden="false" customHeight="true" outlineLevel="0" collapsed="false">
      <c r="A2950" s="26" t="n">
        <v>25235</v>
      </c>
      <c r="B2950" s="1" t="n">
        <v>1969</v>
      </c>
      <c r="C2950" s="1" t="n">
        <v>2</v>
      </c>
      <c r="D2950" s="1" t="s">
        <v>43</v>
      </c>
      <c r="E2950" s="1" t="s">
        <v>2</v>
      </c>
      <c r="F2950" s="1" t="n">
        <v>1.83</v>
      </c>
      <c r="G2950" s="1" t="n">
        <f aca="false">IF(E2950=E2949,F2950/F2949-1,"")</f>
        <v>-0.085</v>
      </c>
    </row>
    <row r="2951" customFormat="false" ht="14.25" hidden="false" customHeight="true" outlineLevel="0" collapsed="false">
      <c r="A2951" s="26" t="n">
        <v>25263</v>
      </c>
      <c r="B2951" s="1" t="n">
        <v>1969</v>
      </c>
      <c r="C2951" s="1" t="n">
        <v>3</v>
      </c>
      <c r="D2951" s="1" t="s">
        <v>44</v>
      </c>
      <c r="E2951" s="1" t="s">
        <v>2</v>
      </c>
      <c r="F2951" s="1" t="n">
        <v>1.83</v>
      </c>
      <c r="G2951" s="1" t="n">
        <f aca="false">IF(E2951=E2950,F2951/F2950-1,"")</f>
        <v>0</v>
      </c>
    </row>
    <row r="2952" customFormat="false" ht="14.25" hidden="false" customHeight="true" outlineLevel="0" collapsed="false">
      <c r="A2952" s="26" t="n">
        <v>25294</v>
      </c>
      <c r="B2952" s="1" t="n">
        <v>1969</v>
      </c>
      <c r="C2952" s="1" t="n">
        <v>4</v>
      </c>
      <c r="D2952" s="1" t="s">
        <v>45</v>
      </c>
      <c r="E2952" s="1" t="s">
        <v>2</v>
      </c>
      <c r="F2952" s="1" t="n">
        <v>1.78</v>
      </c>
      <c r="G2952" s="1" t="n">
        <f aca="false">IF(E2952=E2951,F2952/F2951-1,"")</f>
        <v>-0.0273224043715847</v>
      </c>
    </row>
    <row r="2953" customFormat="false" ht="14.25" hidden="false" customHeight="true" outlineLevel="0" collapsed="false">
      <c r="A2953" s="26" t="n">
        <v>25324</v>
      </c>
      <c r="B2953" s="1" t="n">
        <v>1969</v>
      </c>
      <c r="C2953" s="1" t="n">
        <v>5</v>
      </c>
      <c r="D2953" s="1" t="s">
        <v>46</v>
      </c>
      <c r="E2953" s="1" t="s">
        <v>2</v>
      </c>
      <c r="F2953" s="1" t="n">
        <v>1.77</v>
      </c>
      <c r="G2953" s="1" t="n">
        <f aca="false">IF(E2953=E2952,F2953/F2952-1,"")</f>
        <v>-0.0056179775280899</v>
      </c>
    </row>
    <row r="2954" customFormat="false" ht="14.25" hidden="false" customHeight="true" outlineLevel="0" collapsed="false">
      <c r="A2954" s="26" t="n">
        <v>25355</v>
      </c>
      <c r="B2954" s="1" t="n">
        <v>1969</v>
      </c>
      <c r="C2954" s="1" t="n">
        <v>6</v>
      </c>
      <c r="D2954" s="1" t="s">
        <v>47</v>
      </c>
      <c r="E2954" s="1" t="s">
        <v>2</v>
      </c>
      <c r="F2954" s="1" t="n">
        <v>1.56</v>
      </c>
      <c r="G2954" s="1" t="n">
        <f aca="false">IF(E2954=E2953,F2954/F2953-1,"")</f>
        <v>-0.11864406779661</v>
      </c>
    </row>
    <row r="2955" customFormat="false" ht="14.25" hidden="false" customHeight="true" outlineLevel="0" collapsed="false">
      <c r="A2955" s="26" t="n">
        <v>25385</v>
      </c>
      <c r="B2955" s="1" t="n">
        <v>1969</v>
      </c>
      <c r="C2955" s="1" t="n">
        <v>7</v>
      </c>
      <c r="D2955" s="1" t="s">
        <v>48</v>
      </c>
      <c r="E2955" s="1" t="s">
        <v>2</v>
      </c>
      <c r="F2955" s="1" t="n">
        <v>1.63</v>
      </c>
      <c r="G2955" s="1" t="n">
        <f aca="false">IF(E2955=E2954,F2955/F2954-1,"")</f>
        <v>0.0448717948717947</v>
      </c>
    </row>
    <row r="2956" customFormat="false" ht="14.25" hidden="false" customHeight="true" outlineLevel="0" collapsed="false">
      <c r="A2956" s="26" t="n">
        <v>25416</v>
      </c>
      <c r="B2956" s="1" t="n">
        <v>1969</v>
      </c>
      <c r="C2956" s="1" t="n">
        <v>8</v>
      </c>
      <c r="D2956" s="1" t="s">
        <v>49</v>
      </c>
      <c r="E2956" s="1" t="s">
        <v>2</v>
      </c>
      <c r="F2956" s="1" t="n">
        <v>1.67</v>
      </c>
      <c r="G2956" s="1" t="n">
        <f aca="false">IF(E2956=E2955,F2956/F2955-1,"")</f>
        <v>0.0245398773006136</v>
      </c>
    </row>
    <row r="2957" customFormat="false" ht="14.25" hidden="false" customHeight="true" outlineLevel="0" collapsed="false">
      <c r="A2957" s="26" t="n">
        <v>25447</v>
      </c>
      <c r="B2957" s="1" t="n">
        <v>1969</v>
      </c>
      <c r="C2957" s="1" t="n">
        <v>9</v>
      </c>
      <c r="D2957" s="1" t="s">
        <v>50</v>
      </c>
      <c r="E2957" s="1" t="s">
        <v>2</v>
      </c>
      <c r="F2957" s="1" t="n">
        <v>1.88</v>
      </c>
      <c r="G2957" s="1" t="n">
        <f aca="false">IF(E2957=E2956,F2957/F2956-1,"")</f>
        <v>0.125748502994012</v>
      </c>
    </row>
    <row r="2958" customFormat="false" ht="14.25" hidden="false" customHeight="true" outlineLevel="0" collapsed="false">
      <c r="A2958" s="26" t="n">
        <v>25477</v>
      </c>
      <c r="B2958" s="1" t="n">
        <v>1969</v>
      </c>
      <c r="C2958" s="1" t="n">
        <v>10</v>
      </c>
      <c r="D2958" s="1" t="s">
        <v>51</v>
      </c>
      <c r="E2958" s="1" t="s">
        <v>2</v>
      </c>
      <c r="F2958" s="1" t="n">
        <v>1.95</v>
      </c>
      <c r="G2958" s="1" t="n">
        <f aca="false">IF(E2958=E2957,F2958/F2957-1,"")</f>
        <v>0.0372340425531916</v>
      </c>
    </row>
    <row r="2959" customFormat="false" ht="14.25" hidden="false" customHeight="true" outlineLevel="0" collapsed="false">
      <c r="A2959" s="26" t="n">
        <v>25508</v>
      </c>
      <c r="B2959" s="1" t="n">
        <v>1969</v>
      </c>
      <c r="C2959" s="1" t="n">
        <v>11</v>
      </c>
      <c r="D2959" s="1" t="s">
        <v>52</v>
      </c>
      <c r="E2959" s="1" t="s">
        <v>2</v>
      </c>
      <c r="F2959" s="1" t="n">
        <v>1.89</v>
      </c>
      <c r="G2959" s="1" t="n">
        <f aca="false">IF(E2959=E2958,F2959/F2958-1,"")</f>
        <v>-0.0307692307692308</v>
      </c>
    </row>
    <row r="2960" customFormat="false" ht="14.25" hidden="false" customHeight="true" outlineLevel="0" collapsed="false">
      <c r="A2960" s="26" t="n">
        <v>25538</v>
      </c>
      <c r="B2960" s="1" t="n">
        <v>1969</v>
      </c>
      <c r="C2960" s="1" t="n">
        <v>12</v>
      </c>
      <c r="D2960" s="1" t="s">
        <v>53</v>
      </c>
      <c r="E2960" s="1" t="s">
        <v>2</v>
      </c>
      <c r="F2960" s="1" t="n">
        <v>1.79</v>
      </c>
      <c r="G2960" s="1" t="n">
        <f aca="false">IF(E2960=E2959,F2960/F2959-1,"")</f>
        <v>-0.0529100529100528</v>
      </c>
    </row>
    <row r="2961" customFormat="false" ht="14.25" hidden="false" customHeight="true" outlineLevel="0" collapsed="false">
      <c r="A2961" s="26" t="n">
        <v>25569</v>
      </c>
      <c r="B2961" s="1" t="n">
        <v>1970</v>
      </c>
      <c r="C2961" s="1" t="n">
        <v>1</v>
      </c>
      <c r="D2961" s="1" t="s">
        <v>42</v>
      </c>
      <c r="E2961" s="1" t="s">
        <v>2</v>
      </c>
      <c r="F2961" s="1" t="n">
        <v>1.91</v>
      </c>
      <c r="G2961" s="1" t="n">
        <f aca="false">IF(E2961=E2960,F2961/F2960-1,"")</f>
        <v>0.0670391061452513</v>
      </c>
    </row>
    <row r="2962" customFormat="false" ht="14.25" hidden="false" customHeight="true" outlineLevel="0" collapsed="false">
      <c r="A2962" s="26" t="n">
        <v>25600</v>
      </c>
      <c r="B2962" s="1" t="n">
        <v>1970</v>
      </c>
      <c r="C2962" s="1" t="n">
        <v>2</v>
      </c>
      <c r="D2962" s="1" t="s">
        <v>43</v>
      </c>
      <c r="E2962" s="1" t="s">
        <v>2</v>
      </c>
      <c r="F2962" s="1" t="n">
        <v>1.9</v>
      </c>
      <c r="G2962" s="1" t="n">
        <f aca="false">IF(E2962=E2961,F2962/F2961-1,"")</f>
        <v>-0.00523560209424079</v>
      </c>
    </row>
    <row r="2963" customFormat="false" ht="14.25" hidden="false" customHeight="true" outlineLevel="0" collapsed="false">
      <c r="A2963" s="26" t="n">
        <v>25628</v>
      </c>
      <c r="B2963" s="1" t="n">
        <v>1970</v>
      </c>
      <c r="C2963" s="1" t="n">
        <v>3</v>
      </c>
      <c r="D2963" s="1" t="s">
        <v>44</v>
      </c>
      <c r="E2963" s="1" t="s">
        <v>2</v>
      </c>
      <c r="F2963" s="1" t="n">
        <v>1.88</v>
      </c>
      <c r="G2963" s="1" t="n">
        <f aca="false">IF(E2963=E2962,F2963/F2962-1,"")</f>
        <v>-0.0105263157894737</v>
      </c>
    </row>
    <row r="2964" customFormat="false" ht="14.25" hidden="false" customHeight="true" outlineLevel="0" collapsed="false">
      <c r="A2964" s="26" t="n">
        <v>25659</v>
      </c>
      <c r="B2964" s="1" t="n">
        <v>1970</v>
      </c>
      <c r="C2964" s="1" t="n">
        <v>4</v>
      </c>
      <c r="D2964" s="1" t="s">
        <v>45</v>
      </c>
      <c r="E2964" s="1" t="s">
        <v>2</v>
      </c>
      <c r="F2964" s="1" t="n">
        <v>1.72</v>
      </c>
      <c r="G2964" s="1" t="n">
        <f aca="false">IF(E2964=E2963,F2964/F2963-1,"")</f>
        <v>-0.0851063829787234</v>
      </c>
    </row>
    <row r="2965" customFormat="false" ht="14.25" hidden="false" customHeight="true" outlineLevel="0" collapsed="false">
      <c r="A2965" s="26" t="n">
        <v>25689</v>
      </c>
      <c r="B2965" s="1" t="n">
        <v>1970</v>
      </c>
      <c r="C2965" s="1" t="n">
        <v>5</v>
      </c>
      <c r="D2965" s="1" t="s">
        <v>46</v>
      </c>
      <c r="E2965" s="1" t="s">
        <v>2</v>
      </c>
      <c r="F2965" s="1" t="n">
        <v>1.63</v>
      </c>
      <c r="G2965" s="1" t="n">
        <f aca="false">IF(E2965=E2964,F2965/F2964-1,"")</f>
        <v>-0.0523255813953489</v>
      </c>
    </row>
    <row r="2966" customFormat="false" ht="14.25" hidden="false" customHeight="true" outlineLevel="0" collapsed="false">
      <c r="A2966" s="26" t="n">
        <v>25720</v>
      </c>
      <c r="B2966" s="1" t="n">
        <v>1970</v>
      </c>
      <c r="C2966" s="1" t="n">
        <v>6</v>
      </c>
      <c r="D2966" s="1" t="s">
        <v>47</v>
      </c>
      <c r="E2966" s="1" t="s">
        <v>2</v>
      </c>
      <c r="F2966" s="1" t="n">
        <v>1.61</v>
      </c>
      <c r="G2966" s="1" t="n">
        <f aca="false">IF(E2966=E2965,F2966/F2965-1,"")</f>
        <v>-0.0122699386503067</v>
      </c>
    </row>
    <row r="2967" customFormat="false" ht="14.25" hidden="false" customHeight="true" outlineLevel="0" collapsed="false">
      <c r="A2967" s="26" t="n">
        <v>25750</v>
      </c>
      <c r="B2967" s="1" t="n">
        <v>1970</v>
      </c>
      <c r="C2967" s="1" t="n">
        <v>7</v>
      </c>
      <c r="D2967" s="1" t="s">
        <v>48</v>
      </c>
      <c r="E2967" s="1" t="s">
        <v>2</v>
      </c>
      <c r="F2967" s="1" t="n">
        <v>1.77</v>
      </c>
      <c r="G2967" s="1" t="n">
        <f aca="false">IF(E2967=E2966,F2967/F2966-1,"")</f>
        <v>0.0993788819875776</v>
      </c>
    </row>
    <row r="2968" customFormat="false" ht="14.25" hidden="false" customHeight="true" outlineLevel="0" collapsed="false">
      <c r="A2968" s="26" t="n">
        <v>25781</v>
      </c>
      <c r="B2968" s="1" t="n">
        <v>1970</v>
      </c>
      <c r="C2968" s="1" t="n">
        <v>8</v>
      </c>
      <c r="D2968" s="1" t="s">
        <v>49</v>
      </c>
      <c r="E2968" s="1" t="s">
        <v>2</v>
      </c>
      <c r="F2968" s="1" t="n">
        <v>1.84</v>
      </c>
      <c r="G2968" s="1" t="n">
        <f aca="false">IF(E2968=E2967,F2968/F2967-1,"")</f>
        <v>0.03954802259887</v>
      </c>
    </row>
    <row r="2969" customFormat="false" ht="14.25" hidden="false" customHeight="true" outlineLevel="0" collapsed="false">
      <c r="A2969" s="26" t="n">
        <v>25812</v>
      </c>
      <c r="B2969" s="1" t="n">
        <v>1970</v>
      </c>
      <c r="C2969" s="1" t="n">
        <v>9</v>
      </c>
      <c r="D2969" s="1" t="s">
        <v>50</v>
      </c>
      <c r="E2969" s="1" t="s">
        <v>2</v>
      </c>
      <c r="F2969" s="1" t="n">
        <v>1.7</v>
      </c>
      <c r="G2969" s="1" t="n">
        <f aca="false">IF(E2969=E2968,F2969/F2968-1,"")</f>
        <v>-0.0760869565217393</v>
      </c>
    </row>
    <row r="2970" customFormat="false" ht="14.25" hidden="false" customHeight="true" outlineLevel="0" collapsed="false">
      <c r="A2970" s="26" t="n">
        <v>25842</v>
      </c>
      <c r="B2970" s="1" t="n">
        <v>1970</v>
      </c>
      <c r="C2970" s="1" t="n">
        <v>10</v>
      </c>
      <c r="D2970" s="1" t="s">
        <v>51</v>
      </c>
      <c r="E2970" s="1" t="s">
        <v>2</v>
      </c>
      <c r="F2970" s="1" t="n">
        <v>1.78</v>
      </c>
      <c r="G2970" s="1" t="n">
        <f aca="false">IF(E2970=E2969,F2970/F2969-1,"")</f>
        <v>0.0470588235294118</v>
      </c>
    </row>
    <row r="2971" customFormat="false" ht="14.25" hidden="false" customHeight="true" outlineLevel="0" collapsed="false">
      <c r="A2971" s="26" t="n">
        <v>25873</v>
      </c>
      <c r="B2971" s="1" t="n">
        <v>1970</v>
      </c>
      <c r="C2971" s="1" t="n">
        <v>11</v>
      </c>
      <c r="D2971" s="1" t="s">
        <v>52</v>
      </c>
      <c r="E2971" s="1" t="s">
        <v>2</v>
      </c>
      <c r="F2971" s="1" t="n">
        <v>1.65</v>
      </c>
      <c r="G2971" s="1" t="n">
        <f aca="false">IF(E2971=E2970,F2971/F2970-1,"")</f>
        <v>-0.0730337078651686</v>
      </c>
    </row>
    <row r="2972" customFormat="false" ht="14.25" hidden="false" customHeight="true" outlineLevel="0" collapsed="false">
      <c r="A2972" s="26" t="n">
        <v>25903</v>
      </c>
      <c r="B2972" s="1" t="n">
        <v>1970</v>
      </c>
      <c r="C2972" s="1" t="n">
        <v>12</v>
      </c>
      <c r="D2972" s="1" t="s">
        <v>53</v>
      </c>
      <c r="E2972" s="1" t="s">
        <v>2</v>
      </c>
      <c r="F2972" s="1" t="n">
        <v>1.63</v>
      </c>
      <c r="G2972" s="1" t="n">
        <f aca="false">IF(E2972=E2971,F2972/F2971-1,"")</f>
        <v>-0.0121212121212121</v>
      </c>
    </row>
    <row r="2973" customFormat="false" ht="14.25" hidden="false" customHeight="true" outlineLevel="0" collapsed="false">
      <c r="A2973" s="26" t="n">
        <v>25934</v>
      </c>
      <c r="B2973" s="1" t="n">
        <v>1971</v>
      </c>
      <c r="C2973" s="1" t="n">
        <v>1</v>
      </c>
      <c r="D2973" s="1" t="s">
        <v>42</v>
      </c>
      <c r="E2973" s="1" t="s">
        <v>2</v>
      </c>
      <c r="F2973" s="1" t="n">
        <v>1.59</v>
      </c>
      <c r="G2973" s="1" t="n">
        <f aca="false">IF(E2973=E2972,F2973/F2972-1,"")</f>
        <v>-0.0245398773006134</v>
      </c>
    </row>
    <row r="2974" customFormat="false" ht="14.25" hidden="false" customHeight="true" outlineLevel="0" collapsed="false">
      <c r="A2974" s="26" t="n">
        <v>25965</v>
      </c>
      <c r="B2974" s="1" t="n">
        <v>1971</v>
      </c>
      <c r="C2974" s="1" t="n">
        <v>2</v>
      </c>
      <c r="D2974" s="1" t="s">
        <v>43</v>
      </c>
      <c r="E2974" s="1" t="s">
        <v>2</v>
      </c>
      <c r="F2974" s="1" t="n">
        <v>1.59</v>
      </c>
      <c r="G2974" s="1" t="n">
        <f aca="false">IF(E2974=E2973,F2974/F2973-1,"")</f>
        <v>0</v>
      </c>
    </row>
    <row r="2975" customFormat="false" ht="14.25" hidden="false" customHeight="true" outlineLevel="0" collapsed="false">
      <c r="A2975" s="26" t="n">
        <v>25993</v>
      </c>
      <c r="B2975" s="1" t="n">
        <v>1971</v>
      </c>
      <c r="C2975" s="1" t="n">
        <v>3</v>
      </c>
      <c r="D2975" s="1" t="s">
        <v>44</v>
      </c>
      <c r="E2975" s="1" t="s">
        <v>2</v>
      </c>
      <c r="F2975" s="1" t="n">
        <v>1.69</v>
      </c>
      <c r="G2975" s="1" t="n">
        <f aca="false">IF(E2975=E2974,F2975/F2974-1,"")</f>
        <v>0.0628930817610063</v>
      </c>
    </row>
    <row r="2976" customFormat="false" ht="14.25" hidden="false" customHeight="true" outlineLevel="0" collapsed="false">
      <c r="A2976" s="26" t="n">
        <v>26024</v>
      </c>
      <c r="B2976" s="1" t="n">
        <v>1971</v>
      </c>
      <c r="C2976" s="1" t="n">
        <v>4</v>
      </c>
      <c r="D2976" s="1" t="s">
        <v>45</v>
      </c>
      <c r="E2976" s="1" t="s">
        <v>2</v>
      </c>
      <c r="F2976" s="1" t="n">
        <v>1.69</v>
      </c>
      <c r="G2976" s="1" t="n">
        <f aca="false">IF(E2976=E2975,F2976/F2975-1,"")</f>
        <v>0</v>
      </c>
    </row>
    <row r="2977" customFormat="false" ht="14.25" hidden="false" customHeight="true" outlineLevel="0" collapsed="false">
      <c r="A2977" s="26" t="n">
        <v>26054</v>
      </c>
      <c r="B2977" s="1" t="n">
        <v>1971</v>
      </c>
      <c r="C2977" s="1" t="n">
        <v>5</v>
      </c>
      <c r="D2977" s="1" t="s">
        <v>46</v>
      </c>
      <c r="E2977" s="1" t="s">
        <v>2</v>
      </c>
      <c r="F2977" s="1" t="n">
        <v>1.6</v>
      </c>
      <c r="G2977" s="1" t="n">
        <f aca="false">IF(E2977=E2976,F2977/F2976-1,"")</f>
        <v>-0.0532544378698224</v>
      </c>
    </row>
    <row r="2978" customFormat="false" ht="14.25" hidden="false" customHeight="true" outlineLevel="0" collapsed="false">
      <c r="A2978" s="26" t="n">
        <v>26085</v>
      </c>
      <c r="B2978" s="1" t="n">
        <v>1971</v>
      </c>
      <c r="C2978" s="1" t="n">
        <v>6</v>
      </c>
      <c r="D2978" s="1" t="s">
        <v>47</v>
      </c>
      <c r="E2978" s="1" t="s">
        <v>2</v>
      </c>
      <c r="F2978" s="1" t="n">
        <v>1.58</v>
      </c>
      <c r="G2978" s="1" t="n">
        <f aca="false">IF(E2978=E2977,F2978/F2977-1,"")</f>
        <v>-0.0125</v>
      </c>
    </row>
    <row r="2979" customFormat="false" ht="14.25" hidden="false" customHeight="true" outlineLevel="0" collapsed="false">
      <c r="A2979" s="26" t="n">
        <v>26115</v>
      </c>
      <c r="B2979" s="1" t="n">
        <v>1971</v>
      </c>
      <c r="C2979" s="1" t="n">
        <v>7</v>
      </c>
      <c r="D2979" s="1" t="s">
        <v>48</v>
      </c>
      <c r="E2979" s="1" t="s">
        <v>2</v>
      </c>
      <c r="F2979" s="1" t="n">
        <v>1.59</v>
      </c>
      <c r="G2979" s="1" t="n">
        <f aca="false">IF(E2979=E2978,F2979/F2978-1,"")</f>
        <v>0.00632911392405067</v>
      </c>
    </row>
    <row r="2980" customFormat="false" ht="14.25" hidden="false" customHeight="true" outlineLevel="0" collapsed="false">
      <c r="A2980" s="26" t="n">
        <v>26146</v>
      </c>
      <c r="B2980" s="1" t="n">
        <v>1971</v>
      </c>
      <c r="C2980" s="1" t="n">
        <v>8</v>
      </c>
      <c r="D2980" s="1" t="s">
        <v>49</v>
      </c>
      <c r="E2980" s="1" t="s">
        <v>2</v>
      </c>
      <c r="F2980" s="1" t="n">
        <v>1.5</v>
      </c>
      <c r="G2980" s="1" t="n">
        <f aca="false">IF(E2980=E2979,F2980/F2979-1,"")</f>
        <v>-0.0566037735849058</v>
      </c>
    </row>
    <row r="2981" customFormat="false" ht="14.25" hidden="false" customHeight="true" outlineLevel="0" collapsed="false">
      <c r="A2981" s="26" t="n">
        <v>26177</v>
      </c>
      <c r="B2981" s="1" t="n">
        <v>1971</v>
      </c>
      <c r="C2981" s="1" t="n">
        <v>9</v>
      </c>
      <c r="D2981" s="1" t="s">
        <v>50</v>
      </c>
      <c r="E2981" s="1" t="s">
        <v>2</v>
      </c>
      <c r="F2981" s="1" t="n">
        <v>1.38</v>
      </c>
      <c r="G2981" s="1" t="n">
        <f aca="false">IF(E2981=E2980,F2981/F2980-1,"")</f>
        <v>-0.0800000000000001</v>
      </c>
    </row>
    <row r="2982" customFormat="false" ht="14.25" hidden="false" customHeight="true" outlineLevel="0" collapsed="false">
      <c r="A2982" s="26" t="n">
        <v>26207</v>
      </c>
      <c r="B2982" s="1" t="n">
        <v>1971</v>
      </c>
      <c r="C2982" s="1" t="n">
        <v>10</v>
      </c>
      <c r="D2982" s="1" t="s">
        <v>51</v>
      </c>
      <c r="E2982" s="1" t="s">
        <v>2</v>
      </c>
      <c r="F2982" s="1" t="n">
        <v>1.31</v>
      </c>
      <c r="G2982" s="1" t="n">
        <f aca="false">IF(E2982=E2981,F2982/F2981-1,"")</f>
        <v>-0.0507246376811593</v>
      </c>
    </row>
    <row r="2983" customFormat="false" ht="14.25" hidden="false" customHeight="true" outlineLevel="0" collapsed="false">
      <c r="A2983" s="26" t="n">
        <v>26238</v>
      </c>
      <c r="B2983" s="1" t="n">
        <v>1971</v>
      </c>
      <c r="C2983" s="1" t="n">
        <v>11</v>
      </c>
      <c r="D2983" s="1" t="s">
        <v>52</v>
      </c>
      <c r="E2983" s="1" t="s">
        <v>2</v>
      </c>
      <c r="F2983" s="1" t="n">
        <v>1.33</v>
      </c>
      <c r="G2983" s="1" t="n">
        <f aca="false">IF(E2983=E2982,F2983/F2982-1,"")</f>
        <v>0.0152671755725191</v>
      </c>
    </row>
    <row r="2984" customFormat="false" ht="14.25" hidden="false" customHeight="true" outlineLevel="0" collapsed="false">
      <c r="A2984" s="26" t="n">
        <v>26268</v>
      </c>
      <c r="B2984" s="1" t="n">
        <v>1971</v>
      </c>
      <c r="C2984" s="1" t="n">
        <v>12</v>
      </c>
      <c r="D2984" s="1" t="s">
        <v>53</v>
      </c>
      <c r="E2984" s="1" t="s">
        <v>2</v>
      </c>
      <c r="F2984" s="1" t="n">
        <v>1.37</v>
      </c>
      <c r="G2984" s="1" t="n">
        <f aca="false">IF(E2984=E2983,F2984/F2983-1,"")</f>
        <v>0.0300751879699248</v>
      </c>
    </row>
    <row r="2985" customFormat="false" ht="14.25" hidden="false" customHeight="true" outlineLevel="0" collapsed="false">
      <c r="A2985" s="26" t="n">
        <v>26299</v>
      </c>
      <c r="B2985" s="1" t="n">
        <v>1972</v>
      </c>
      <c r="C2985" s="1" t="n">
        <v>1</v>
      </c>
      <c r="D2985" s="1" t="s">
        <v>42</v>
      </c>
      <c r="E2985" s="1" t="s">
        <v>2</v>
      </c>
      <c r="F2985" s="1" t="n">
        <v>1.5</v>
      </c>
      <c r="G2985" s="1" t="n">
        <f aca="false">IF(E2985=E2984,F2985/F2984-1,"")</f>
        <v>0.0948905109489051</v>
      </c>
    </row>
    <row r="2986" customFormat="false" ht="14.25" hidden="false" customHeight="true" outlineLevel="0" collapsed="false">
      <c r="A2986" s="26" t="n">
        <v>26330</v>
      </c>
      <c r="B2986" s="1" t="n">
        <v>1972</v>
      </c>
      <c r="C2986" s="1" t="n">
        <v>2</v>
      </c>
      <c r="D2986" s="1" t="s">
        <v>43</v>
      </c>
      <c r="E2986" s="1" t="s">
        <v>2</v>
      </c>
      <c r="F2986" s="1" t="n">
        <v>1.47</v>
      </c>
      <c r="G2986" s="1" t="n">
        <f aca="false">IF(E2986=E2985,F2986/F2985-1,"")</f>
        <v>-0.02</v>
      </c>
    </row>
    <row r="2987" customFormat="false" ht="14.25" hidden="false" customHeight="true" outlineLevel="0" collapsed="false">
      <c r="A2987" s="26" t="n">
        <v>26359</v>
      </c>
      <c r="B2987" s="1" t="n">
        <v>1972</v>
      </c>
      <c r="C2987" s="1" t="n">
        <v>3</v>
      </c>
      <c r="D2987" s="1" t="s">
        <v>44</v>
      </c>
      <c r="E2987" s="1" t="s">
        <v>2</v>
      </c>
      <c r="F2987" s="1" t="n">
        <v>1.56</v>
      </c>
      <c r="G2987" s="1" t="n">
        <f aca="false">IF(E2987=E2986,F2987/F2986-1,"")</f>
        <v>0.0612244897959184</v>
      </c>
    </row>
    <row r="2988" customFormat="false" ht="14.25" hidden="false" customHeight="true" outlineLevel="0" collapsed="false">
      <c r="A2988" s="26" t="n">
        <v>26390</v>
      </c>
      <c r="B2988" s="1" t="n">
        <v>1972</v>
      </c>
      <c r="C2988" s="1" t="n">
        <v>4</v>
      </c>
      <c r="D2988" s="1" t="s">
        <v>45</v>
      </c>
      <c r="E2988" s="1" t="s">
        <v>2</v>
      </c>
      <c r="F2988" s="1" t="n">
        <v>1.57</v>
      </c>
      <c r="G2988" s="1" t="n">
        <f aca="false">IF(E2988=E2987,F2988/F2987-1,"")</f>
        <v>0.00641025641025639</v>
      </c>
    </row>
    <row r="2989" customFormat="false" ht="14.25" hidden="false" customHeight="true" outlineLevel="0" collapsed="false">
      <c r="A2989" s="26" t="n">
        <v>26420</v>
      </c>
      <c r="B2989" s="1" t="n">
        <v>1972</v>
      </c>
      <c r="C2989" s="1" t="n">
        <v>5</v>
      </c>
      <c r="D2989" s="1" t="s">
        <v>46</v>
      </c>
      <c r="E2989" s="1" t="s">
        <v>2</v>
      </c>
      <c r="F2989" s="1" t="n">
        <v>1.55</v>
      </c>
      <c r="G2989" s="1" t="n">
        <f aca="false">IF(E2989=E2988,F2989/F2988-1,"")</f>
        <v>-0.0127388535031847</v>
      </c>
    </row>
    <row r="2990" customFormat="false" ht="14.25" hidden="false" customHeight="true" outlineLevel="0" collapsed="false">
      <c r="A2990" s="26" t="n">
        <v>26451</v>
      </c>
      <c r="B2990" s="1" t="n">
        <v>1972</v>
      </c>
      <c r="C2990" s="1" t="n">
        <v>6</v>
      </c>
      <c r="D2990" s="1" t="s">
        <v>47</v>
      </c>
      <c r="E2990" s="1" t="s">
        <v>2</v>
      </c>
      <c r="F2990" s="1" t="n">
        <v>1.56</v>
      </c>
      <c r="G2990" s="1" t="n">
        <f aca="false">IF(E2990=E2989,F2990/F2989-1,"")</f>
        <v>0.00645161290322571</v>
      </c>
    </row>
    <row r="2991" customFormat="false" ht="14.25" hidden="false" customHeight="true" outlineLevel="0" collapsed="false">
      <c r="A2991" s="26" t="n">
        <v>26481</v>
      </c>
      <c r="B2991" s="1" t="n">
        <v>1972</v>
      </c>
      <c r="C2991" s="1" t="n">
        <v>7</v>
      </c>
      <c r="D2991" s="1" t="s">
        <v>48</v>
      </c>
      <c r="E2991" s="1" t="s">
        <v>2</v>
      </c>
      <c r="F2991" s="1" t="n">
        <v>1.83</v>
      </c>
      <c r="G2991" s="1" t="n">
        <f aca="false">IF(E2991=E2990,F2991/F2990-1,"")</f>
        <v>0.173076923076923</v>
      </c>
    </row>
    <row r="2992" customFormat="false" ht="14.25" hidden="false" customHeight="true" outlineLevel="0" collapsed="false">
      <c r="A2992" s="26" t="n">
        <v>26512</v>
      </c>
      <c r="B2992" s="1" t="n">
        <v>1972</v>
      </c>
      <c r="C2992" s="1" t="n">
        <v>8</v>
      </c>
      <c r="D2992" s="1" t="s">
        <v>49</v>
      </c>
      <c r="E2992" s="1" t="s">
        <v>2</v>
      </c>
      <c r="F2992" s="1" t="n">
        <v>1.91</v>
      </c>
      <c r="G2992" s="1" t="n">
        <f aca="false">IF(E2992=E2991,F2992/F2991-1,"")</f>
        <v>0.0437158469945353</v>
      </c>
    </row>
    <row r="2993" customFormat="false" ht="14.25" hidden="false" customHeight="true" outlineLevel="0" collapsed="false">
      <c r="A2993" s="26" t="n">
        <v>26543</v>
      </c>
      <c r="B2993" s="1" t="n">
        <v>1972</v>
      </c>
      <c r="C2993" s="1" t="n">
        <v>9</v>
      </c>
      <c r="D2993" s="1" t="s">
        <v>50</v>
      </c>
      <c r="E2993" s="1" t="s">
        <v>2</v>
      </c>
      <c r="F2993" s="1" t="n">
        <v>1.74</v>
      </c>
      <c r="G2993" s="1" t="n">
        <f aca="false">IF(E2993=E2992,F2993/F2992-1,"")</f>
        <v>-0.0890052356020942</v>
      </c>
    </row>
    <row r="2994" customFormat="false" ht="14.25" hidden="false" customHeight="true" outlineLevel="0" collapsed="false">
      <c r="A2994" s="26" t="n">
        <v>26573</v>
      </c>
      <c r="B2994" s="1" t="n">
        <v>1972</v>
      </c>
      <c r="C2994" s="1" t="n">
        <v>10</v>
      </c>
      <c r="D2994" s="1" t="s">
        <v>51</v>
      </c>
      <c r="E2994" s="1" t="s">
        <v>2</v>
      </c>
      <c r="F2994" s="1" t="n">
        <v>1.8</v>
      </c>
      <c r="G2994" s="1" t="n">
        <f aca="false">IF(E2994=E2993,F2994/F2993-1,"")</f>
        <v>0.0344827586206897</v>
      </c>
    </row>
    <row r="2995" customFormat="false" ht="14.25" hidden="false" customHeight="true" outlineLevel="0" collapsed="false">
      <c r="A2995" s="26" t="n">
        <v>26604</v>
      </c>
      <c r="B2995" s="1" t="n">
        <v>1972</v>
      </c>
      <c r="C2995" s="1" t="n">
        <v>11</v>
      </c>
      <c r="D2995" s="1" t="s">
        <v>52</v>
      </c>
      <c r="E2995" s="1" t="s">
        <v>2</v>
      </c>
      <c r="F2995" s="1" t="n">
        <v>1.85</v>
      </c>
      <c r="G2995" s="1" t="n">
        <f aca="false">IF(E2995=E2994,F2995/F2994-1,"")</f>
        <v>0.0277777777777779</v>
      </c>
    </row>
    <row r="2996" customFormat="false" ht="14.25" hidden="false" customHeight="true" outlineLevel="0" collapsed="false">
      <c r="A2996" s="26" t="n">
        <v>26634</v>
      </c>
      <c r="B2996" s="1" t="n">
        <v>1972</v>
      </c>
      <c r="C2996" s="1" t="n">
        <v>12</v>
      </c>
      <c r="D2996" s="1" t="s">
        <v>53</v>
      </c>
      <c r="E2996" s="1" t="s">
        <v>2</v>
      </c>
      <c r="F2996" s="1" t="n">
        <v>2.03</v>
      </c>
      <c r="G2996" s="1" t="n">
        <f aca="false">IF(E2996=E2995,F2996/F2995-1,"")</f>
        <v>0.0972972972972972</v>
      </c>
    </row>
    <row r="2997" customFormat="false" ht="14.25" hidden="false" customHeight="true" outlineLevel="0" collapsed="false">
      <c r="A2997" s="26" t="n">
        <v>26665</v>
      </c>
      <c r="B2997" s="1" t="n">
        <v>1973</v>
      </c>
      <c r="C2997" s="1" t="n">
        <v>1</v>
      </c>
      <c r="D2997" s="1" t="s">
        <v>42</v>
      </c>
      <c r="E2997" s="1" t="s">
        <v>2</v>
      </c>
      <c r="F2997" s="1" t="n">
        <v>2.01</v>
      </c>
      <c r="G2997" s="1" t="n">
        <f aca="false">IF(E2997=E2996,F2997/F2996-1,"")</f>
        <v>-0.00985221674876846</v>
      </c>
    </row>
    <row r="2998" customFormat="false" ht="14.25" hidden="false" customHeight="true" outlineLevel="0" collapsed="false">
      <c r="A2998" s="26" t="n">
        <v>26696</v>
      </c>
      <c r="B2998" s="1" t="n">
        <v>1973</v>
      </c>
      <c r="C2998" s="1" t="n">
        <v>2</v>
      </c>
      <c r="D2998" s="1" t="s">
        <v>43</v>
      </c>
      <c r="E2998" s="1" t="s">
        <v>2</v>
      </c>
      <c r="F2998" s="1" t="n">
        <v>2.43</v>
      </c>
      <c r="G2998" s="1" t="n">
        <f aca="false">IF(E2998=E2997,F2998/F2997-1,"")</f>
        <v>0.208955223880597</v>
      </c>
    </row>
    <row r="2999" customFormat="false" ht="14.25" hidden="false" customHeight="true" outlineLevel="0" collapsed="false">
      <c r="A2999" s="26" t="n">
        <v>26724</v>
      </c>
      <c r="B2999" s="1" t="n">
        <v>1973</v>
      </c>
      <c r="C2999" s="1" t="n">
        <v>3</v>
      </c>
      <c r="D2999" s="1" t="s">
        <v>44</v>
      </c>
      <c r="E2999" s="1" t="s">
        <v>2</v>
      </c>
      <c r="F2999" s="1" t="n">
        <v>2.2</v>
      </c>
      <c r="G2999" s="1" t="n">
        <f aca="false">IF(E2999=E2998,F2999/F2998-1,"")</f>
        <v>-0.0946502057613169</v>
      </c>
    </row>
    <row r="3000" customFormat="false" ht="14.25" hidden="false" customHeight="true" outlineLevel="0" collapsed="false">
      <c r="A3000" s="26" t="n">
        <v>26755</v>
      </c>
      <c r="B3000" s="1" t="n">
        <v>1973</v>
      </c>
      <c r="C3000" s="1" t="n">
        <v>4</v>
      </c>
      <c r="D3000" s="1" t="s">
        <v>45</v>
      </c>
      <c r="E3000" s="1" t="s">
        <v>2</v>
      </c>
      <c r="F3000" s="1" t="n">
        <v>2.15</v>
      </c>
      <c r="G3000" s="1" t="n">
        <f aca="false">IF(E3000=E2999,F3000/F2999-1,"")</f>
        <v>-0.0227272727272728</v>
      </c>
    </row>
    <row r="3001" customFormat="false" ht="14.25" hidden="false" customHeight="true" outlineLevel="0" collapsed="false">
      <c r="A3001" s="26" t="n">
        <v>26785</v>
      </c>
      <c r="B3001" s="1" t="n">
        <v>1973</v>
      </c>
      <c r="C3001" s="1" t="n">
        <v>5</v>
      </c>
      <c r="D3001" s="1" t="s">
        <v>46</v>
      </c>
      <c r="E3001" s="1" t="s">
        <v>2</v>
      </c>
      <c r="F3001" s="1" t="n">
        <v>2.55</v>
      </c>
      <c r="G3001" s="1" t="n">
        <f aca="false">IF(E3001=E3000,F3001/F3000-1,"")</f>
        <v>0.186046511627907</v>
      </c>
    </row>
    <row r="3002" customFormat="false" ht="14.25" hidden="false" customHeight="true" outlineLevel="0" collapsed="false">
      <c r="A3002" s="26" t="n">
        <v>26816</v>
      </c>
      <c r="B3002" s="1" t="n">
        <v>1973</v>
      </c>
      <c r="C3002" s="1" t="n">
        <v>6</v>
      </c>
      <c r="D3002" s="1" t="s">
        <v>47</v>
      </c>
      <c r="E3002" s="1" t="s">
        <v>2</v>
      </c>
      <c r="F3002" s="1" t="n">
        <v>2.67</v>
      </c>
      <c r="G3002" s="1" t="n">
        <f aca="false">IF(E3002=E3001,F3002/F3001-1,"")</f>
        <v>0.0470588235294118</v>
      </c>
    </row>
    <row r="3003" customFormat="false" ht="14.25" hidden="false" customHeight="true" outlineLevel="0" collapsed="false">
      <c r="A3003" s="26" t="n">
        <v>26846</v>
      </c>
      <c r="B3003" s="1" t="n">
        <v>1973</v>
      </c>
      <c r="C3003" s="1" t="n">
        <v>7</v>
      </c>
      <c r="D3003" s="1" t="s">
        <v>48</v>
      </c>
      <c r="E3003" s="1" t="s">
        <v>2</v>
      </c>
      <c r="F3003" s="1" t="n">
        <v>2.76</v>
      </c>
      <c r="G3003" s="1" t="n">
        <f aca="false">IF(E3003=E3002,F3003/F3002-1,"")</f>
        <v>0.0337078651685392</v>
      </c>
    </row>
    <row r="3004" customFormat="false" ht="14.25" hidden="false" customHeight="true" outlineLevel="0" collapsed="false">
      <c r="A3004" s="26" t="n">
        <v>26877</v>
      </c>
      <c r="B3004" s="1" t="n">
        <v>1973</v>
      </c>
      <c r="C3004" s="1" t="n">
        <v>8</v>
      </c>
      <c r="D3004" s="1" t="s">
        <v>49</v>
      </c>
      <c r="E3004" s="1" t="s">
        <v>2</v>
      </c>
      <c r="F3004" s="1" t="n">
        <v>2.6</v>
      </c>
      <c r="G3004" s="1" t="n">
        <f aca="false">IF(E3004=E3003,F3004/F3003-1,"")</f>
        <v>-0.0579710144927536</v>
      </c>
    </row>
    <row r="3005" customFormat="false" ht="14.25" hidden="false" customHeight="true" outlineLevel="0" collapsed="false">
      <c r="A3005" s="26" t="n">
        <v>26908</v>
      </c>
      <c r="B3005" s="1" t="n">
        <v>1973</v>
      </c>
      <c r="C3005" s="1" t="n">
        <v>9</v>
      </c>
      <c r="D3005" s="1" t="s">
        <v>50</v>
      </c>
      <c r="E3005" s="1" t="s">
        <v>2</v>
      </c>
      <c r="F3005" s="1" t="n">
        <v>2.7</v>
      </c>
      <c r="G3005" s="1" t="n">
        <f aca="false">IF(E3005=E3004,F3005/F3004-1,"")</f>
        <v>0.0384615384615386</v>
      </c>
    </row>
    <row r="3006" customFormat="false" ht="14.25" hidden="false" customHeight="true" outlineLevel="0" collapsed="false">
      <c r="A3006" s="26" t="n">
        <v>26938</v>
      </c>
      <c r="B3006" s="1" t="n">
        <v>1973</v>
      </c>
      <c r="C3006" s="1" t="n">
        <v>10</v>
      </c>
      <c r="D3006" s="1" t="s">
        <v>51</v>
      </c>
      <c r="E3006" s="1" t="s">
        <v>2</v>
      </c>
      <c r="F3006" s="1" t="n">
        <v>2.84</v>
      </c>
      <c r="G3006" s="1" t="n">
        <f aca="false">IF(E3006=E3005,F3006/F3005-1,"")</f>
        <v>0.0518518518518518</v>
      </c>
    </row>
    <row r="3007" customFormat="false" ht="14.25" hidden="false" customHeight="true" outlineLevel="0" collapsed="false">
      <c r="A3007" s="26" t="n">
        <v>26969</v>
      </c>
      <c r="B3007" s="1" t="n">
        <v>1973</v>
      </c>
      <c r="C3007" s="1" t="n">
        <v>11</v>
      </c>
      <c r="D3007" s="1" t="s">
        <v>52</v>
      </c>
      <c r="E3007" s="1" t="s">
        <v>2</v>
      </c>
      <c r="F3007" s="1" t="n">
        <v>2.92</v>
      </c>
      <c r="G3007" s="1" t="n">
        <f aca="false">IF(E3007=E3006,F3007/F3006-1,"")</f>
        <v>0.028169014084507</v>
      </c>
    </row>
    <row r="3008" customFormat="false" ht="14.25" hidden="false" customHeight="true" outlineLevel="0" collapsed="false">
      <c r="A3008" s="26" t="n">
        <v>26999</v>
      </c>
      <c r="B3008" s="1" t="n">
        <v>1973</v>
      </c>
      <c r="C3008" s="1" t="n">
        <v>12</v>
      </c>
      <c r="D3008" s="1" t="s">
        <v>53</v>
      </c>
      <c r="E3008" s="1" t="s">
        <v>2</v>
      </c>
      <c r="F3008" s="1" t="n">
        <v>3.26</v>
      </c>
      <c r="G3008" s="1" t="n">
        <f aca="false">IF(E3008=E3007,F3008/F3007-1,"")</f>
        <v>0.116438356164384</v>
      </c>
    </row>
    <row r="3009" customFormat="false" ht="14.25" hidden="false" customHeight="true" outlineLevel="0" collapsed="false">
      <c r="A3009" s="26" t="n">
        <v>27030</v>
      </c>
      <c r="B3009" s="1" t="n">
        <v>1974</v>
      </c>
      <c r="C3009" s="1" t="n">
        <v>1</v>
      </c>
      <c r="D3009" s="1" t="s">
        <v>42</v>
      </c>
      <c r="E3009" s="1" t="s">
        <v>2</v>
      </c>
      <c r="F3009" s="1" t="n">
        <v>3.87</v>
      </c>
      <c r="G3009" s="1" t="n">
        <f aca="false">IF(E3009=E3008,F3009/F3008-1,"")</f>
        <v>0.187116564417178</v>
      </c>
    </row>
    <row r="3010" customFormat="false" ht="14.25" hidden="false" customHeight="true" outlineLevel="0" collapsed="false">
      <c r="A3010" s="26" t="n">
        <v>27061</v>
      </c>
      <c r="B3010" s="1" t="n">
        <v>1974</v>
      </c>
      <c r="C3010" s="1" t="n">
        <v>2</v>
      </c>
      <c r="D3010" s="1" t="s">
        <v>43</v>
      </c>
      <c r="E3010" s="1" t="s">
        <v>2</v>
      </c>
      <c r="F3010" s="1" t="n">
        <v>5.69</v>
      </c>
      <c r="G3010" s="1" t="n">
        <f aca="false">IF(E3010=E3009,F3010/F3009-1,"")</f>
        <v>0.470284237726098</v>
      </c>
    </row>
    <row r="3011" customFormat="false" ht="14.25" hidden="false" customHeight="true" outlineLevel="0" collapsed="false">
      <c r="A3011" s="26" t="n">
        <v>27089</v>
      </c>
      <c r="B3011" s="1" t="n">
        <v>1974</v>
      </c>
      <c r="C3011" s="1" t="n">
        <v>3</v>
      </c>
      <c r="D3011" s="1" t="s">
        <v>44</v>
      </c>
      <c r="E3011" s="1" t="s">
        <v>2</v>
      </c>
      <c r="F3011" s="1" t="n">
        <v>5.35</v>
      </c>
      <c r="G3011" s="1" t="n">
        <f aca="false">IF(E3011=E3010,F3011/F3010-1,"")</f>
        <v>-0.0597539543057998</v>
      </c>
    </row>
    <row r="3012" customFormat="false" ht="14.25" hidden="false" customHeight="true" outlineLevel="0" collapsed="false">
      <c r="A3012" s="26" t="n">
        <v>27120</v>
      </c>
      <c r="B3012" s="1" t="n">
        <v>1974</v>
      </c>
      <c r="C3012" s="1" t="n">
        <v>4</v>
      </c>
      <c r="D3012" s="1" t="s">
        <v>45</v>
      </c>
      <c r="E3012" s="1" t="s">
        <v>2</v>
      </c>
      <c r="F3012" s="1" t="n">
        <v>5.62</v>
      </c>
      <c r="G3012" s="1" t="n">
        <f aca="false">IF(E3012=E3011,F3012/F3011-1,"")</f>
        <v>0.0504672897196263</v>
      </c>
    </row>
    <row r="3013" customFormat="false" ht="14.25" hidden="false" customHeight="true" outlineLevel="0" collapsed="false">
      <c r="A3013" s="26" t="n">
        <v>27150</v>
      </c>
      <c r="B3013" s="1" t="n">
        <v>1974</v>
      </c>
      <c r="C3013" s="1" t="n">
        <v>5</v>
      </c>
      <c r="D3013" s="1" t="s">
        <v>46</v>
      </c>
      <c r="E3013" s="1" t="s">
        <v>2</v>
      </c>
      <c r="F3013" s="1" t="n">
        <v>4.92</v>
      </c>
      <c r="G3013" s="1" t="n">
        <f aca="false">IF(E3013=E3012,F3013/F3012-1,"")</f>
        <v>-0.124555160142349</v>
      </c>
    </row>
    <row r="3014" customFormat="false" ht="14.25" hidden="false" customHeight="true" outlineLevel="0" collapsed="false">
      <c r="A3014" s="26" t="n">
        <v>27181</v>
      </c>
      <c r="B3014" s="1" t="n">
        <v>1974</v>
      </c>
      <c r="C3014" s="1" t="n">
        <v>6</v>
      </c>
      <c r="D3014" s="1" t="s">
        <v>47</v>
      </c>
      <c r="E3014" s="1" t="s">
        <v>2</v>
      </c>
      <c r="F3014" s="1" t="n">
        <v>4.61</v>
      </c>
      <c r="G3014" s="1" t="n">
        <f aca="false">IF(E3014=E3013,F3014/F3013-1,"")</f>
        <v>-0.0630081300813007</v>
      </c>
    </row>
    <row r="3015" customFormat="false" ht="14.25" hidden="false" customHeight="true" outlineLevel="0" collapsed="false">
      <c r="A3015" s="26" t="n">
        <v>27211</v>
      </c>
      <c r="B3015" s="1" t="n">
        <v>1974</v>
      </c>
      <c r="C3015" s="1" t="n">
        <v>7</v>
      </c>
      <c r="D3015" s="1" t="s">
        <v>48</v>
      </c>
      <c r="E3015" s="1" t="s">
        <v>2</v>
      </c>
      <c r="F3015" s="1" t="n">
        <v>4.79</v>
      </c>
      <c r="G3015" s="1" t="n">
        <f aca="false">IF(E3015=E3014,F3015/F3014-1,"")</f>
        <v>0.0390455531453362</v>
      </c>
    </row>
    <row r="3016" customFormat="false" ht="14.25" hidden="false" customHeight="true" outlineLevel="0" collapsed="false">
      <c r="A3016" s="26" t="n">
        <v>27242</v>
      </c>
      <c r="B3016" s="1" t="n">
        <v>1974</v>
      </c>
      <c r="C3016" s="1" t="n">
        <v>8</v>
      </c>
      <c r="D3016" s="1" t="s">
        <v>49</v>
      </c>
      <c r="E3016" s="1" t="s">
        <v>2</v>
      </c>
      <c r="F3016" s="1" t="n">
        <v>4.12</v>
      </c>
      <c r="G3016" s="1" t="n">
        <f aca="false">IF(E3016=E3015,F3016/F3015-1,"")</f>
        <v>-0.139874739039666</v>
      </c>
    </row>
    <row r="3017" customFormat="false" ht="14.25" hidden="false" customHeight="true" outlineLevel="0" collapsed="false">
      <c r="A3017" s="26" t="n">
        <v>27273</v>
      </c>
      <c r="B3017" s="1" t="n">
        <v>1974</v>
      </c>
      <c r="C3017" s="1" t="n">
        <v>9</v>
      </c>
      <c r="D3017" s="1" t="s">
        <v>50</v>
      </c>
      <c r="E3017" s="1" t="s">
        <v>2</v>
      </c>
      <c r="F3017" s="1" t="n">
        <v>4.25</v>
      </c>
      <c r="G3017" s="1" t="n">
        <f aca="false">IF(E3017=E3016,F3017/F3016-1,"")</f>
        <v>0.0315533980582523</v>
      </c>
    </row>
    <row r="3018" customFormat="false" ht="14.25" hidden="false" customHeight="true" outlineLevel="0" collapsed="false">
      <c r="A3018" s="26" t="n">
        <v>27303</v>
      </c>
      <c r="B3018" s="1" t="n">
        <v>1974</v>
      </c>
      <c r="C3018" s="1" t="n">
        <v>10</v>
      </c>
      <c r="D3018" s="1" t="s">
        <v>51</v>
      </c>
      <c r="E3018" s="1" t="s">
        <v>2</v>
      </c>
      <c r="F3018" s="1" t="n">
        <v>4.86</v>
      </c>
      <c r="G3018" s="1" t="n">
        <f aca="false">IF(E3018=E3017,F3018/F3017-1,"")</f>
        <v>0.143529411764706</v>
      </c>
    </row>
    <row r="3019" customFormat="false" ht="14.25" hidden="false" customHeight="true" outlineLevel="0" collapsed="false">
      <c r="A3019" s="26" t="n">
        <v>27334</v>
      </c>
      <c r="B3019" s="1" t="n">
        <v>1974</v>
      </c>
      <c r="C3019" s="1" t="n">
        <v>11</v>
      </c>
      <c r="D3019" s="1" t="s">
        <v>52</v>
      </c>
      <c r="E3019" s="1" t="s">
        <v>2</v>
      </c>
      <c r="F3019" s="1" t="n">
        <v>4.46</v>
      </c>
      <c r="G3019" s="1" t="n">
        <f aca="false">IF(E3019=E3018,F3019/F3018-1,"")</f>
        <v>-0.0823045267489713</v>
      </c>
    </row>
    <row r="3020" customFormat="false" ht="14.25" hidden="false" customHeight="true" outlineLevel="0" collapsed="false">
      <c r="A3020" s="26" t="n">
        <v>27364</v>
      </c>
      <c r="B3020" s="1" t="n">
        <v>1974</v>
      </c>
      <c r="C3020" s="1" t="n">
        <v>12</v>
      </c>
      <c r="D3020" s="1" t="s">
        <v>53</v>
      </c>
      <c r="E3020" s="1" t="s">
        <v>2</v>
      </c>
      <c r="F3020" s="1" t="n">
        <v>4.47</v>
      </c>
      <c r="G3020" s="1" t="n">
        <f aca="false">IF(E3020=E3019,F3020/F3019-1,"")</f>
        <v>0.00224215246636761</v>
      </c>
    </row>
    <row r="3021" customFormat="false" ht="14.25" hidden="false" customHeight="true" outlineLevel="0" collapsed="false">
      <c r="A3021" s="26" t="n">
        <v>27395</v>
      </c>
      <c r="B3021" s="1" t="n">
        <v>1975</v>
      </c>
      <c r="C3021" s="1" t="n">
        <v>1</v>
      </c>
      <c r="D3021" s="1" t="s">
        <v>42</v>
      </c>
      <c r="E3021" s="1" t="s">
        <v>2</v>
      </c>
      <c r="F3021" s="1" t="n">
        <v>4.15</v>
      </c>
      <c r="G3021" s="1" t="n">
        <f aca="false">IF(E3021=E3020,F3021/F3020-1,"")</f>
        <v>-0.0715883668903802</v>
      </c>
    </row>
    <row r="3022" customFormat="false" ht="14.25" hidden="false" customHeight="true" outlineLevel="0" collapsed="false">
      <c r="A3022" s="26" t="n">
        <v>27426</v>
      </c>
      <c r="B3022" s="1" t="n">
        <v>1975</v>
      </c>
      <c r="C3022" s="1" t="n">
        <v>2</v>
      </c>
      <c r="D3022" s="1" t="s">
        <v>43</v>
      </c>
      <c r="E3022" s="1" t="s">
        <v>2</v>
      </c>
      <c r="F3022" s="1" t="n">
        <v>4.42</v>
      </c>
      <c r="G3022" s="1" t="n">
        <f aca="false">IF(E3022=E3021,F3022/F3021-1,"")</f>
        <v>0.0650602409638552</v>
      </c>
    </row>
    <row r="3023" customFormat="false" ht="14.25" hidden="false" customHeight="true" outlineLevel="0" collapsed="false">
      <c r="A3023" s="26" t="n">
        <v>27454</v>
      </c>
      <c r="B3023" s="1" t="n">
        <v>1975</v>
      </c>
      <c r="C3023" s="1" t="n">
        <v>3</v>
      </c>
      <c r="D3023" s="1" t="s">
        <v>44</v>
      </c>
      <c r="E3023" s="1" t="s">
        <v>2</v>
      </c>
      <c r="F3023" s="1" t="n">
        <v>4.28</v>
      </c>
      <c r="G3023" s="1" t="n">
        <f aca="false">IF(E3023=E3022,F3023/F3022-1,"")</f>
        <v>-0.0316742081447963</v>
      </c>
    </row>
    <row r="3024" customFormat="false" ht="14.25" hidden="false" customHeight="true" outlineLevel="0" collapsed="false">
      <c r="A3024" s="26" t="n">
        <v>27485</v>
      </c>
      <c r="B3024" s="1" t="n">
        <v>1975</v>
      </c>
      <c r="C3024" s="1" t="n">
        <v>4</v>
      </c>
      <c r="D3024" s="1" t="s">
        <v>45</v>
      </c>
      <c r="E3024" s="1" t="s">
        <v>2</v>
      </c>
      <c r="F3024" s="1" t="n">
        <v>4.43</v>
      </c>
      <c r="G3024" s="1" t="n">
        <f aca="false">IF(E3024=E3023,F3024/F3023-1,"")</f>
        <v>0.0350467289719625</v>
      </c>
    </row>
    <row r="3025" customFormat="false" ht="14.25" hidden="false" customHeight="true" outlineLevel="0" collapsed="false">
      <c r="A3025" s="26" t="n">
        <v>27515</v>
      </c>
      <c r="B3025" s="1" t="n">
        <v>1975</v>
      </c>
      <c r="C3025" s="1" t="n">
        <v>5</v>
      </c>
      <c r="D3025" s="1" t="s">
        <v>46</v>
      </c>
      <c r="E3025" s="1" t="s">
        <v>2</v>
      </c>
      <c r="F3025" s="1" t="n">
        <v>4.53</v>
      </c>
      <c r="G3025" s="1" t="n">
        <f aca="false">IF(E3025=E3024,F3025/F3024-1,"")</f>
        <v>0.0225733634311514</v>
      </c>
    </row>
    <row r="3026" customFormat="false" ht="14.25" hidden="false" customHeight="true" outlineLevel="0" collapsed="false">
      <c r="A3026" s="26" t="n">
        <v>27546</v>
      </c>
      <c r="B3026" s="1" t="n">
        <v>1975</v>
      </c>
      <c r="C3026" s="1" t="n">
        <v>6</v>
      </c>
      <c r="D3026" s="1" t="s">
        <v>47</v>
      </c>
      <c r="E3026" s="1" t="s">
        <v>2</v>
      </c>
      <c r="F3026" s="1" t="n">
        <v>4.57</v>
      </c>
      <c r="G3026" s="1" t="n">
        <f aca="false">IF(E3026=E3025,F3026/F3025-1,"")</f>
        <v>0.00883002207505523</v>
      </c>
    </row>
    <row r="3027" customFormat="false" ht="14.25" hidden="false" customHeight="true" outlineLevel="0" collapsed="false">
      <c r="A3027" s="26" t="n">
        <v>27576</v>
      </c>
      <c r="B3027" s="1" t="n">
        <v>1975</v>
      </c>
      <c r="C3027" s="1" t="n">
        <v>7</v>
      </c>
      <c r="D3027" s="1" t="s">
        <v>48</v>
      </c>
      <c r="E3027" s="1" t="s">
        <v>2</v>
      </c>
      <c r="F3027" s="1" t="n">
        <v>5</v>
      </c>
      <c r="G3027" s="1" t="n">
        <f aca="false">IF(E3027=E3026,F3027/F3026-1,"")</f>
        <v>0.0940919037199124</v>
      </c>
    </row>
    <row r="3028" customFormat="false" ht="14.25" hidden="false" customHeight="true" outlineLevel="0" collapsed="false">
      <c r="A3028" s="26" t="n">
        <v>27607</v>
      </c>
      <c r="B3028" s="1" t="n">
        <v>1975</v>
      </c>
      <c r="C3028" s="1" t="n">
        <v>8</v>
      </c>
      <c r="D3028" s="1" t="s">
        <v>49</v>
      </c>
      <c r="E3028" s="1" t="s">
        <v>2</v>
      </c>
      <c r="F3028" s="1" t="n">
        <v>4.63</v>
      </c>
      <c r="G3028" s="1" t="n">
        <f aca="false">IF(E3028=E3027,F3028/F3027-1,"")</f>
        <v>-0.0740000000000001</v>
      </c>
    </row>
    <row r="3029" customFormat="false" ht="14.25" hidden="false" customHeight="true" outlineLevel="0" collapsed="false">
      <c r="A3029" s="26" t="n">
        <v>27638</v>
      </c>
      <c r="B3029" s="1" t="n">
        <v>1975</v>
      </c>
      <c r="C3029" s="1" t="n">
        <v>9</v>
      </c>
      <c r="D3029" s="1" t="s">
        <v>50</v>
      </c>
      <c r="E3029" s="1" t="s">
        <v>2</v>
      </c>
      <c r="F3029" s="1" t="n">
        <v>4.44</v>
      </c>
      <c r="G3029" s="1" t="n">
        <f aca="false">IF(E3029=E3028,F3029/F3028-1,"")</f>
        <v>-0.0410367170626349</v>
      </c>
    </row>
    <row r="3030" customFormat="false" ht="14.25" hidden="false" customHeight="true" outlineLevel="0" collapsed="false">
      <c r="A3030" s="26" t="n">
        <v>27668</v>
      </c>
      <c r="B3030" s="1" t="n">
        <v>1975</v>
      </c>
      <c r="C3030" s="1" t="n">
        <v>10</v>
      </c>
      <c r="D3030" s="1" t="s">
        <v>51</v>
      </c>
      <c r="E3030" s="1" t="s">
        <v>2</v>
      </c>
      <c r="F3030" s="1" t="n">
        <v>4.19</v>
      </c>
      <c r="G3030" s="1" t="n">
        <f aca="false">IF(E3030=E3029,F3030/F3029-1,"")</f>
        <v>-0.0563063063063063</v>
      </c>
    </row>
    <row r="3031" customFormat="false" ht="14.25" hidden="false" customHeight="true" outlineLevel="0" collapsed="false">
      <c r="A3031" s="26" t="n">
        <v>27699</v>
      </c>
      <c r="B3031" s="1" t="n">
        <v>1975</v>
      </c>
      <c r="C3031" s="1" t="n">
        <v>11</v>
      </c>
      <c r="D3031" s="1" t="s">
        <v>52</v>
      </c>
      <c r="E3031" s="1" t="s">
        <v>2</v>
      </c>
      <c r="F3031" s="1" t="n">
        <v>4.23</v>
      </c>
      <c r="G3031" s="1" t="n">
        <f aca="false">IF(E3031=E3030,F3031/F3030-1,"")</f>
        <v>0.00954653937947492</v>
      </c>
    </row>
    <row r="3032" customFormat="false" ht="14.25" hidden="false" customHeight="true" outlineLevel="0" collapsed="false">
      <c r="A3032" s="26" t="n">
        <v>27729</v>
      </c>
      <c r="B3032" s="1" t="n">
        <v>1975</v>
      </c>
      <c r="C3032" s="1" t="n">
        <v>12</v>
      </c>
      <c r="D3032" s="1" t="s">
        <v>53</v>
      </c>
      <c r="E3032" s="1" t="s">
        <v>2</v>
      </c>
      <c r="F3032" s="1" t="n">
        <v>4.18</v>
      </c>
      <c r="G3032" s="1" t="n">
        <f aca="false">IF(E3032=E3031,F3032/F3031-1,"")</f>
        <v>-0.0118203309692673</v>
      </c>
    </row>
    <row r="3033" customFormat="false" ht="14.25" hidden="false" customHeight="true" outlineLevel="0" collapsed="false">
      <c r="A3033" s="26" t="n">
        <v>27760</v>
      </c>
      <c r="B3033" s="1" t="n">
        <v>1976</v>
      </c>
      <c r="C3033" s="1" t="n">
        <v>1</v>
      </c>
      <c r="D3033" s="1" t="s">
        <v>42</v>
      </c>
      <c r="E3033" s="1" t="s">
        <v>2</v>
      </c>
      <c r="F3033" s="1" t="n">
        <v>4.01</v>
      </c>
      <c r="G3033" s="1" t="n">
        <f aca="false">IF(E3033=E3032,F3033/F3032-1,"")</f>
        <v>-0.0406698564593301</v>
      </c>
    </row>
    <row r="3034" customFormat="false" ht="14.25" hidden="false" customHeight="true" outlineLevel="0" collapsed="false">
      <c r="A3034" s="26" t="n">
        <v>27791</v>
      </c>
      <c r="B3034" s="1" t="n">
        <v>1976</v>
      </c>
      <c r="C3034" s="1" t="n">
        <v>2</v>
      </c>
      <c r="D3034" s="1" t="s">
        <v>43</v>
      </c>
      <c r="E3034" s="1" t="s">
        <v>2</v>
      </c>
      <c r="F3034" s="1" t="n">
        <v>4.16</v>
      </c>
      <c r="G3034" s="1" t="n">
        <f aca="false">IF(E3034=E3033,F3034/F3033-1,"")</f>
        <v>0.0374064837905237</v>
      </c>
    </row>
    <row r="3035" customFormat="false" ht="14.25" hidden="false" customHeight="true" outlineLevel="0" collapsed="false">
      <c r="A3035" s="26" t="n">
        <v>27820</v>
      </c>
      <c r="B3035" s="1" t="n">
        <v>1976</v>
      </c>
      <c r="C3035" s="1" t="n">
        <v>3</v>
      </c>
      <c r="D3035" s="1" t="s">
        <v>44</v>
      </c>
      <c r="E3035" s="1" t="s">
        <v>2</v>
      </c>
      <c r="F3035" s="1" t="n">
        <v>4.11</v>
      </c>
      <c r="G3035" s="1" t="n">
        <f aca="false">IF(E3035=E3034,F3035/F3034-1,"")</f>
        <v>-0.0120192307692307</v>
      </c>
    </row>
    <row r="3036" customFormat="false" ht="14.25" hidden="false" customHeight="true" outlineLevel="0" collapsed="false">
      <c r="A3036" s="26" t="n">
        <v>27851</v>
      </c>
      <c r="B3036" s="1" t="n">
        <v>1976</v>
      </c>
      <c r="C3036" s="1" t="n">
        <v>4</v>
      </c>
      <c r="D3036" s="1" t="s">
        <v>45</v>
      </c>
      <c r="E3036" s="1" t="s">
        <v>2</v>
      </c>
      <c r="F3036" s="1" t="n">
        <v>4.43</v>
      </c>
      <c r="G3036" s="1" t="n">
        <f aca="false">IF(E3036=E3035,F3036/F3035-1,"")</f>
        <v>0.0778588807785887</v>
      </c>
    </row>
    <row r="3037" customFormat="false" ht="14.25" hidden="false" customHeight="true" outlineLevel="0" collapsed="false">
      <c r="A3037" s="26" t="n">
        <v>27881</v>
      </c>
      <c r="B3037" s="1" t="n">
        <v>1976</v>
      </c>
      <c r="C3037" s="1" t="n">
        <v>5</v>
      </c>
      <c r="D3037" s="1" t="s">
        <v>46</v>
      </c>
      <c r="E3037" s="1" t="s">
        <v>2</v>
      </c>
      <c r="F3037" s="1" t="n">
        <v>4.62</v>
      </c>
      <c r="G3037" s="1" t="n">
        <f aca="false">IF(E3037=E3036,F3037/F3036-1,"")</f>
        <v>0.0428893905191874</v>
      </c>
    </row>
    <row r="3038" customFormat="false" ht="14.25" hidden="false" customHeight="true" outlineLevel="0" collapsed="false">
      <c r="A3038" s="26" t="n">
        <v>27912</v>
      </c>
      <c r="B3038" s="1" t="n">
        <v>1976</v>
      </c>
      <c r="C3038" s="1" t="n">
        <v>6</v>
      </c>
      <c r="D3038" s="1" t="s">
        <v>47</v>
      </c>
      <c r="E3038" s="1" t="s">
        <v>2</v>
      </c>
      <c r="F3038" s="1" t="n">
        <v>4.83</v>
      </c>
      <c r="G3038" s="1" t="n">
        <f aca="false">IF(E3038=E3037,F3038/F3037-1,"")</f>
        <v>0.0454545454545454</v>
      </c>
    </row>
    <row r="3039" customFormat="false" ht="14.25" hidden="false" customHeight="true" outlineLevel="0" collapsed="false">
      <c r="A3039" s="26" t="n">
        <v>27942</v>
      </c>
      <c r="B3039" s="1" t="n">
        <v>1976</v>
      </c>
      <c r="C3039" s="1" t="n">
        <v>7</v>
      </c>
      <c r="D3039" s="1" t="s">
        <v>48</v>
      </c>
      <c r="E3039" s="1" t="s">
        <v>2</v>
      </c>
      <c r="F3039" s="1" t="n">
        <v>4.54</v>
      </c>
      <c r="G3039" s="1" t="n">
        <f aca="false">IF(E3039=E3038,F3039/F3038-1,"")</f>
        <v>-0.0600414078674948</v>
      </c>
    </row>
    <row r="3040" customFormat="false" ht="14.25" hidden="false" customHeight="true" outlineLevel="0" collapsed="false">
      <c r="A3040" s="26" t="n">
        <v>27973</v>
      </c>
      <c r="B3040" s="1" t="n">
        <v>1976</v>
      </c>
      <c r="C3040" s="1" t="n">
        <v>8</v>
      </c>
      <c r="D3040" s="1" t="s">
        <v>49</v>
      </c>
      <c r="E3040" s="1" t="s">
        <v>2</v>
      </c>
      <c r="F3040" s="1" t="n">
        <v>4.11</v>
      </c>
      <c r="G3040" s="1" t="n">
        <f aca="false">IF(E3040=E3039,F3040/F3039-1,"")</f>
        <v>-0.0947136563876652</v>
      </c>
    </row>
    <row r="3041" customFormat="false" ht="14.25" hidden="false" customHeight="true" outlineLevel="0" collapsed="false">
      <c r="A3041" s="26" t="n">
        <v>28004</v>
      </c>
      <c r="B3041" s="1" t="n">
        <v>1976</v>
      </c>
      <c r="C3041" s="1" t="n">
        <v>9</v>
      </c>
      <c r="D3041" s="1" t="s">
        <v>50</v>
      </c>
      <c r="E3041" s="1" t="s">
        <v>2</v>
      </c>
      <c r="F3041" s="1" t="n">
        <v>4.39</v>
      </c>
      <c r="G3041" s="1" t="n">
        <f aca="false">IF(E3041=E3040,F3041/F3040-1,"")</f>
        <v>0.0681265206812651</v>
      </c>
    </row>
    <row r="3042" customFormat="false" ht="14.25" hidden="false" customHeight="true" outlineLevel="0" collapsed="false">
      <c r="A3042" s="26" t="n">
        <v>28034</v>
      </c>
      <c r="B3042" s="1" t="n">
        <v>1976</v>
      </c>
      <c r="C3042" s="1" t="n">
        <v>10</v>
      </c>
      <c r="D3042" s="1" t="s">
        <v>51</v>
      </c>
      <c r="E3042" s="1" t="s">
        <v>2</v>
      </c>
      <c r="F3042" s="1" t="n">
        <v>4.27</v>
      </c>
      <c r="G3042" s="1" t="n">
        <f aca="false">IF(E3042=E3041,F3042/F3041-1,"")</f>
        <v>-0.0273348519362187</v>
      </c>
    </row>
    <row r="3043" customFormat="false" ht="14.25" hidden="false" customHeight="true" outlineLevel="0" collapsed="false">
      <c r="A3043" s="26" t="n">
        <v>28065</v>
      </c>
      <c r="B3043" s="1" t="n">
        <v>1976</v>
      </c>
      <c r="C3043" s="1" t="n">
        <v>11</v>
      </c>
      <c r="D3043" s="1" t="s">
        <v>52</v>
      </c>
      <c r="E3043" s="1" t="s">
        <v>2</v>
      </c>
      <c r="F3043" s="1" t="n">
        <v>4.28</v>
      </c>
      <c r="G3043" s="1" t="n">
        <f aca="false">IF(E3043=E3042,F3043/F3042-1,"")</f>
        <v>0.00234192037470748</v>
      </c>
    </row>
    <row r="3044" customFormat="false" ht="14.25" hidden="false" customHeight="true" outlineLevel="0" collapsed="false">
      <c r="A3044" s="26" t="n">
        <v>28095</v>
      </c>
      <c r="B3044" s="1" t="n">
        <v>1976</v>
      </c>
      <c r="C3044" s="1" t="n">
        <v>12</v>
      </c>
      <c r="D3044" s="1" t="s">
        <v>53</v>
      </c>
      <c r="E3044" s="1" t="s">
        <v>2</v>
      </c>
      <c r="F3044" s="1" t="n">
        <v>4.36</v>
      </c>
      <c r="G3044" s="1" t="n">
        <f aca="false">IF(E3044=E3043,F3044/F3043-1,"")</f>
        <v>0.0186915887850467</v>
      </c>
    </row>
    <row r="3045" customFormat="false" ht="14.25" hidden="false" customHeight="true" outlineLevel="0" collapsed="false">
      <c r="A3045" s="26" t="n">
        <v>28126</v>
      </c>
      <c r="B3045" s="1" t="n">
        <v>1977</v>
      </c>
      <c r="C3045" s="1" t="n">
        <v>1</v>
      </c>
      <c r="D3045" s="1" t="s">
        <v>42</v>
      </c>
      <c r="E3045" s="1" t="s">
        <v>2</v>
      </c>
      <c r="F3045" s="1" t="n">
        <v>4.45</v>
      </c>
      <c r="G3045" s="1" t="n">
        <f aca="false">IF(E3045=E3044,F3045/F3044-1,"")</f>
        <v>0.0206422018348624</v>
      </c>
    </row>
    <row r="3046" customFormat="false" ht="14.25" hidden="false" customHeight="true" outlineLevel="0" collapsed="false">
      <c r="A3046" s="26" t="n">
        <v>28157</v>
      </c>
      <c r="B3046" s="1" t="n">
        <v>1977</v>
      </c>
      <c r="C3046" s="1" t="n">
        <v>2</v>
      </c>
      <c r="D3046" s="1" t="s">
        <v>43</v>
      </c>
      <c r="E3046" s="1" t="s">
        <v>2</v>
      </c>
      <c r="F3046" s="1" t="n">
        <v>4.73</v>
      </c>
      <c r="G3046" s="1" t="n">
        <f aca="false">IF(E3046=E3045,F3046/F3045-1,"")</f>
        <v>0.0629213483146067</v>
      </c>
    </row>
    <row r="3047" customFormat="false" ht="14.25" hidden="false" customHeight="true" outlineLevel="0" collapsed="false">
      <c r="A3047" s="26" t="n">
        <v>28185</v>
      </c>
      <c r="B3047" s="1" t="n">
        <v>1977</v>
      </c>
      <c r="C3047" s="1" t="n">
        <v>3</v>
      </c>
      <c r="D3047" s="1" t="s">
        <v>44</v>
      </c>
      <c r="E3047" s="1" t="s">
        <v>2</v>
      </c>
      <c r="F3047" s="1" t="n">
        <v>4.83</v>
      </c>
      <c r="G3047" s="1" t="n">
        <f aca="false">IF(E3047=E3046,F3047/F3046-1,"")</f>
        <v>0.0211416490486258</v>
      </c>
    </row>
    <row r="3048" customFormat="false" ht="14.25" hidden="false" customHeight="true" outlineLevel="0" collapsed="false">
      <c r="A3048" s="26" t="n">
        <v>28216</v>
      </c>
      <c r="B3048" s="1" t="n">
        <v>1977</v>
      </c>
      <c r="C3048" s="1" t="n">
        <v>4</v>
      </c>
      <c r="D3048" s="1" t="s">
        <v>45</v>
      </c>
      <c r="E3048" s="1" t="s">
        <v>2</v>
      </c>
      <c r="F3048" s="1" t="n">
        <v>4.71</v>
      </c>
      <c r="G3048" s="1" t="n">
        <f aca="false">IF(E3048=E3047,F3048/F3047-1,"")</f>
        <v>-0.0248447204968945</v>
      </c>
    </row>
    <row r="3049" customFormat="false" ht="14.25" hidden="false" customHeight="true" outlineLevel="0" collapsed="false">
      <c r="A3049" s="26" t="n">
        <v>28246</v>
      </c>
      <c r="B3049" s="1" t="n">
        <v>1977</v>
      </c>
      <c r="C3049" s="1" t="n">
        <v>5</v>
      </c>
      <c r="D3049" s="1" t="s">
        <v>46</v>
      </c>
      <c r="E3049" s="1" t="s">
        <v>2</v>
      </c>
      <c r="F3049" s="1" t="n">
        <v>4.56</v>
      </c>
      <c r="G3049" s="1" t="n">
        <f aca="false">IF(E3049=E3048,F3049/F3048-1,"")</f>
        <v>-0.0318471337579619</v>
      </c>
    </row>
    <row r="3050" customFormat="false" ht="14.25" hidden="false" customHeight="true" outlineLevel="0" collapsed="false">
      <c r="A3050" s="26" t="n">
        <v>28277</v>
      </c>
      <c r="B3050" s="1" t="n">
        <v>1977</v>
      </c>
      <c r="C3050" s="1" t="n">
        <v>6</v>
      </c>
      <c r="D3050" s="1" t="s">
        <v>47</v>
      </c>
      <c r="E3050" s="1" t="s">
        <v>2</v>
      </c>
      <c r="F3050" s="1" t="n">
        <v>4.51</v>
      </c>
      <c r="G3050" s="1" t="n">
        <f aca="false">IF(E3050=E3049,F3050/F3049-1,"")</f>
        <v>-0.0109649122807017</v>
      </c>
    </row>
    <row r="3051" customFormat="false" ht="14.25" hidden="false" customHeight="true" outlineLevel="0" collapsed="false">
      <c r="A3051" s="26" t="n">
        <v>28307</v>
      </c>
      <c r="B3051" s="1" t="n">
        <v>1977</v>
      </c>
      <c r="C3051" s="1" t="n">
        <v>7</v>
      </c>
      <c r="D3051" s="1" t="s">
        <v>48</v>
      </c>
      <c r="E3051" s="1" t="s">
        <v>2</v>
      </c>
      <c r="F3051" s="1" t="n">
        <v>4.52</v>
      </c>
      <c r="G3051" s="1" t="n">
        <f aca="false">IF(E3051=E3050,F3051/F3050-1,"")</f>
        <v>0.00221729490022171</v>
      </c>
    </row>
    <row r="3052" customFormat="false" ht="14.25" hidden="false" customHeight="true" outlineLevel="0" collapsed="false">
      <c r="A3052" s="26" t="n">
        <v>28338</v>
      </c>
      <c r="B3052" s="1" t="n">
        <v>1977</v>
      </c>
      <c r="C3052" s="1" t="n">
        <v>8</v>
      </c>
      <c r="D3052" s="1" t="s">
        <v>49</v>
      </c>
      <c r="E3052" s="1" t="s">
        <v>2</v>
      </c>
      <c r="F3052" s="1" t="n">
        <v>4.45</v>
      </c>
      <c r="G3052" s="1" t="n">
        <f aca="false">IF(E3052=E3051,F3052/F3051-1,"")</f>
        <v>-0.0154867256637167</v>
      </c>
    </row>
    <row r="3053" customFormat="false" ht="14.25" hidden="false" customHeight="true" outlineLevel="0" collapsed="false">
      <c r="A3053" s="26" t="n">
        <v>28369</v>
      </c>
      <c r="B3053" s="1" t="n">
        <v>1977</v>
      </c>
      <c r="C3053" s="1" t="n">
        <v>9</v>
      </c>
      <c r="D3053" s="1" t="s">
        <v>50</v>
      </c>
      <c r="E3053" s="1" t="s">
        <v>2</v>
      </c>
      <c r="F3053" s="1" t="n">
        <v>4.65</v>
      </c>
      <c r="G3053" s="1" t="n">
        <f aca="false">IF(E3053=E3052,F3053/F3052-1,"")</f>
        <v>0.0449438202247192</v>
      </c>
    </row>
    <row r="3054" customFormat="false" ht="14.25" hidden="false" customHeight="true" outlineLevel="0" collapsed="false">
      <c r="A3054" s="26" t="n">
        <v>28399</v>
      </c>
      <c r="B3054" s="1" t="n">
        <v>1977</v>
      </c>
      <c r="C3054" s="1" t="n">
        <v>10</v>
      </c>
      <c r="D3054" s="1" t="s">
        <v>51</v>
      </c>
      <c r="E3054" s="1" t="s">
        <v>2</v>
      </c>
      <c r="F3054" s="1" t="n">
        <v>4.85</v>
      </c>
      <c r="G3054" s="1" t="n">
        <f aca="false">IF(E3054=E3053,F3054/F3053-1,"")</f>
        <v>0.0430107526881718</v>
      </c>
    </row>
    <row r="3055" customFormat="false" ht="14.25" hidden="false" customHeight="true" outlineLevel="0" collapsed="false">
      <c r="A3055" s="26" t="n">
        <v>28430</v>
      </c>
      <c r="B3055" s="1" t="n">
        <v>1977</v>
      </c>
      <c r="C3055" s="1" t="n">
        <v>11</v>
      </c>
      <c r="D3055" s="1" t="s">
        <v>52</v>
      </c>
      <c r="E3055" s="1" t="s">
        <v>2</v>
      </c>
      <c r="F3055" s="1" t="n">
        <v>4.74</v>
      </c>
      <c r="G3055" s="1" t="n">
        <f aca="false">IF(E3055=E3054,F3055/F3054-1,"")</f>
        <v>-0.0226804123711339</v>
      </c>
    </row>
    <row r="3056" customFormat="false" ht="14.25" hidden="false" customHeight="true" outlineLevel="0" collapsed="false">
      <c r="A3056" s="26" t="n">
        <v>28460</v>
      </c>
      <c r="B3056" s="1" t="n">
        <v>1977</v>
      </c>
      <c r="C3056" s="1" t="n">
        <v>12</v>
      </c>
      <c r="D3056" s="1" t="s">
        <v>53</v>
      </c>
      <c r="E3056" s="1" t="s">
        <v>2</v>
      </c>
      <c r="F3056" s="1" t="n">
        <v>4.76</v>
      </c>
      <c r="G3056" s="1" t="n">
        <f aca="false">IF(E3056=E3055,F3056/F3055-1,"")</f>
        <v>0.00421940928270037</v>
      </c>
    </row>
    <row r="3057" customFormat="false" ht="14.25" hidden="false" customHeight="true" outlineLevel="0" collapsed="false">
      <c r="A3057" s="26" t="n">
        <v>28491</v>
      </c>
      <c r="B3057" s="1" t="n">
        <v>1978</v>
      </c>
      <c r="C3057" s="1" t="n">
        <v>1</v>
      </c>
      <c r="D3057" s="1" t="s">
        <v>42</v>
      </c>
      <c r="E3057" s="1" t="s">
        <v>2</v>
      </c>
      <c r="F3057" s="1" t="n">
        <v>4.95</v>
      </c>
      <c r="G3057" s="1" t="n">
        <f aca="false">IF(E3057=E3056,F3057/F3056-1,"")</f>
        <v>0.0399159663865547</v>
      </c>
    </row>
    <row r="3058" customFormat="false" ht="14.25" hidden="false" customHeight="true" outlineLevel="0" collapsed="false">
      <c r="A3058" s="26" t="n">
        <v>28522</v>
      </c>
      <c r="B3058" s="1" t="n">
        <v>1978</v>
      </c>
      <c r="C3058" s="1" t="n">
        <v>2</v>
      </c>
      <c r="D3058" s="1" t="s">
        <v>43</v>
      </c>
      <c r="E3058" s="1" t="s">
        <v>2</v>
      </c>
      <c r="F3058" s="1" t="n">
        <v>4.97</v>
      </c>
      <c r="G3058" s="1" t="n">
        <f aca="false">IF(E3058=E3057,F3058/F3057-1,"")</f>
        <v>0.00404040404040384</v>
      </c>
    </row>
    <row r="3059" customFormat="false" ht="14.25" hidden="false" customHeight="true" outlineLevel="0" collapsed="false">
      <c r="A3059" s="26" t="n">
        <v>28550</v>
      </c>
      <c r="B3059" s="1" t="n">
        <v>1978</v>
      </c>
      <c r="C3059" s="1" t="n">
        <v>3</v>
      </c>
      <c r="D3059" s="1" t="s">
        <v>44</v>
      </c>
      <c r="E3059" s="1" t="s">
        <v>2</v>
      </c>
      <c r="F3059" s="1" t="n">
        <v>5.35</v>
      </c>
      <c r="G3059" s="1" t="n">
        <f aca="false">IF(E3059=E3058,F3059/F3058-1,"")</f>
        <v>0.0764587525150906</v>
      </c>
    </row>
    <row r="3060" customFormat="false" ht="14.25" hidden="false" customHeight="true" outlineLevel="0" collapsed="false">
      <c r="A3060" s="26" t="n">
        <v>28581</v>
      </c>
      <c r="B3060" s="1" t="n">
        <v>1978</v>
      </c>
      <c r="C3060" s="1" t="n">
        <v>4</v>
      </c>
      <c r="D3060" s="1" t="s">
        <v>45</v>
      </c>
      <c r="E3060" s="1" t="s">
        <v>2</v>
      </c>
      <c r="F3060" s="1" t="n">
        <v>5</v>
      </c>
      <c r="G3060" s="1" t="n">
        <f aca="false">IF(E3060=E3059,F3060/F3059-1,"")</f>
        <v>-0.0654205607476635</v>
      </c>
    </row>
    <row r="3061" customFormat="false" ht="14.25" hidden="false" customHeight="true" outlineLevel="0" collapsed="false">
      <c r="A3061" s="26" t="n">
        <v>28611</v>
      </c>
      <c r="B3061" s="1" t="n">
        <v>1978</v>
      </c>
      <c r="C3061" s="1" t="n">
        <v>5</v>
      </c>
      <c r="D3061" s="1" t="s">
        <v>46</v>
      </c>
      <c r="E3061" s="1" t="s">
        <v>2</v>
      </c>
      <c r="F3061" s="1" t="n">
        <v>5.47</v>
      </c>
      <c r="G3061" s="1" t="n">
        <f aca="false">IF(E3061=E3060,F3061/F3060-1,"")</f>
        <v>0.0939999999999999</v>
      </c>
    </row>
    <row r="3062" customFormat="false" ht="14.25" hidden="false" customHeight="true" outlineLevel="0" collapsed="false">
      <c r="A3062" s="26" t="n">
        <v>28642</v>
      </c>
      <c r="B3062" s="1" t="n">
        <v>1978</v>
      </c>
      <c r="C3062" s="1" t="n">
        <v>6</v>
      </c>
      <c r="D3062" s="1" t="s">
        <v>47</v>
      </c>
      <c r="E3062" s="1" t="s">
        <v>2</v>
      </c>
      <c r="F3062" s="1" t="n">
        <v>5.28</v>
      </c>
      <c r="G3062" s="1" t="n">
        <f aca="false">IF(E3062=E3061,F3062/F3061-1,"")</f>
        <v>-0.0347349177330895</v>
      </c>
    </row>
    <row r="3063" customFormat="false" ht="14.25" hidden="false" customHeight="true" outlineLevel="0" collapsed="false">
      <c r="A3063" s="26" t="n">
        <v>28672</v>
      </c>
      <c r="B3063" s="1" t="n">
        <v>1978</v>
      </c>
      <c r="C3063" s="1" t="n">
        <v>7</v>
      </c>
      <c r="D3063" s="1" t="s">
        <v>48</v>
      </c>
      <c r="E3063" s="1" t="s">
        <v>2</v>
      </c>
      <c r="F3063" s="1" t="n">
        <v>5.57</v>
      </c>
      <c r="G3063" s="1" t="n">
        <f aca="false">IF(E3063=E3062,F3063/F3062-1,"")</f>
        <v>0.0549242424242424</v>
      </c>
    </row>
    <row r="3064" customFormat="false" ht="14.25" hidden="false" customHeight="true" outlineLevel="0" collapsed="false">
      <c r="A3064" s="26" t="n">
        <v>28703</v>
      </c>
      <c r="B3064" s="1" t="n">
        <v>1978</v>
      </c>
      <c r="C3064" s="1" t="n">
        <v>8</v>
      </c>
      <c r="D3064" s="1" t="s">
        <v>49</v>
      </c>
      <c r="E3064" s="1" t="s">
        <v>2</v>
      </c>
      <c r="F3064" s="1" t="n">
        <v>5.53</v>
      </c>
      <c r="G3064" s="1" t="n">
        <f aca="false">IF(E3064=E3063,F3064/F3063-1,"")</f>
        <v>-0.00718132854578102</v>
      </c>
    </row>
    <row r="3065" customFormat="false" ht="14.25" hidden="false" customHeight="true" outlineLevel="0" collapsed="false">
      <c r="A3065" s="26" t="n">
        <v>28734</v>
      </c>
      <c r="B3065" s="1" t="n">
        <v>1978</v>
      </c>
      <c r="C3065" s="1" t="n">
        <v>9</v>
      </c>
      <c r="D3065" s="1" t="s">
        <v>50</v>
      </c>
      <c r="E3065" s="1" t="s">
        <v>2</v>
      </c>
      <c r="F3065" s="1" t="n">
        <v>5.67</v>
      </c>
      <c r="G3065" s="1" t="n">
        <f aca="false">IF(E3065=E3064,F3065/F3064-1,"")</f>
        <v>0.0253164556962024</v>
      </c>
    </row>
    <row r="3066" customFormat="false" ht="14.25" hidden="false" customHeight="true" outlineLevel="0" collapsed="false">
      <c r="A3066" s="26" t="n">
        <v>28764</v>
      </c>
      <c r="B3066" s="1" t="n">
        <v>1978</v>
      </c>
      <c r="C3066" s="1" t="n">
        <v>10</v>
      </c>
      <c r="D3066" s="1" t="s">
        <v>51</v>
      </c>
      <c r="E3066" s="1" t="s">
        <v>2</v>
      </c>
      <c r="F3066" s="1" t="n">
        <v>6.26</v>
      </c>
      <c r="G3066" s="1" t="n">
        <f aca="false">IF(E3066=E3065,F3066/F3065-1,"")</f>
        <v>0.104056437389771</v>
      </c>
    </row>
    <row r="3067" customFormat="false" ht="14.25" hidden="false" customHeight="true" outlineLevel="0" collapsed="false">
      <c r="A3067" s="26" t="n">
        <v>28795</v>
      </c>
      <c r="B3067" s="1" t="n">
        <v>1978</v>
      </c>
      <c r="C3067" s="1" t="n">
        <v>11</v>
      </c>
      <c r="D3067" s="1" t="s">
        <v>52</v>
      </c>
      <c r="E3067" s="1" t="s">
        <v>2</v>
      </c>
      <c r="F3067" s="1" t="n">
        <v>5.91</v>
      </c>
      <c r="G3067" s="1" t="n">
        <f aca="false">IF(E3067=E3066,F3067/F3066-1,"")</f>
        <v>-0.0559105431309903</v>
      </c>
    </row>
    <row r="3068" customFormat="false" ht="14.25" hidden="false" customHeight="true" outlineLevel="0" collapsed="false">
      <c r="A3068" s="26" t="n">
        <v>28825</v>
      </c>
      <c r="B3068" s="1" t="n">
        <v>1978</v>
      </c>
      <c r="C3068" s="1" t="n">
        <v>12</v>
      </c>
      <c r="D3068" s="1" t="s">
        <v>53</v>
      </c>
      <c r="E3068" s="1" t="s">
        <v>2</v>
      </c>
      <c r="F3068" s="1" t="n">
        <v>6.02</v>
      </c>
      <c r="G3068" s="1" t="n">
        <f aca="false">IF(E3068=E3067,F3068/F3067-1,"")</f>
        <v>0.0186125211505921</v>
      </c>
    </row>
    <row r="3069" customFormat="false" ht="14.25" hidden="false" customHeight="true" outlineLevel="0" collapsed="false">
      <c r="A3069" s="26" t="n">
        <v>28856</v>
      </c>
      <c r="B3069" s="1" t="n">
        <v>1979</v>
      </c>
      <c r="C3069" s="1" t="n">
        <v>1</v>
      </c>
      <c r="D3069" s="1" t="s">
        <v>42</v>
      </c>
      <c r="E3069" s="1" t="s">
        <v>2</v>
      </c>
      <c r="F3069" s="1" t="n">
        <v>6.71</v>
      </c>
      <c r="G3069" s="1" t="n">
        <f aca="false">IF(E3069=E3068,F3069/F3068-1,"")</f>
        <v>0.114617940199336</v>
      </c>
    </row>
    <row r="3070" customFormat="false" ht="14.25" hidden="false" customHeight="true" outlineLevel="0" collapsed="false">
      <c r="A3070" s="26" t="n">
        <v>28887</v>
      </c>
      <c r="B3070" s="1" t="n">
        <v>1979</v>
      </c>
      <c r="C3070" s="1" t="n">
        <v>2</v>
      </c>
      <c r="D3070" s="1" t="s">
        <v>43</v>
      </c>
      <c r="E3070" s="1" t="s">
        <v>2</v>
      </c>
      <c r="F3070" s="1" t="n">
        <v>7.69</v>
      </c>
      <c r="G3070" s="1" t="n">
        <f aca="false">IF(E3070=E3069,F3070/F3069-1,"")</f>
        <v>0.146050670640835</v>
      </c>
    </row>
    <row r="3071" customFormat="false" ht="14.25" hidden="false" customHeight="true" outlineLevel="0" collapsed="false">
      <c r="A3071" s="26" t="n">
        <v>28915</v>
      </c>
      <c r="B3071" s="1" t="n">
        <v>1979</v>
      </c>
      <c r="C3071" s="1" t="n">
        <v>3</v>
      </c>
      <c r="D3071" s="1" t="s">
        <v>44</v>
      </c>
      <c r="E3071" s="1" t="s">
        <v>2</v>
      </c>
      <c r="F3071" s="1" t="n">
        <v>7.45</v>
      </c>
      <c r="G3071" s="1" t="n">
        <f aca="false">IF(E3071=E3070,F3071/F3070-1,"")</f>
        <v>-0.0312093628088427</v>
      </c>
    </row>
    <row r="3072" customFormat="false" ht="14.25" hidden="false" customHeight="true" outlineLevel="0" collapsed="false">
      <c r="A3072" s="26" t="n">
        <v>28946</v>
      </c>
      <c r="B3072" s="1" t="n">
        <v>1979</v>
      </c>
      <c r="C3072" s="1" t="n">
        <v>4</v>
      </c>
      <c r="D3072" s="1" t="s">
        <v>45</v>
      </c>
      <c r="E3072" s="1" t="s">
        <v>2</v>
      </c>
      <c r="F3072" s="1" t="n">
        <v>7.65</v>
      </c>
      <c r="G3072" s="1" t="n">
        <f aca="false">IF(E3072=E3071,F3072/F3071-1,"")</f>
        <v>0.0268456375838926</v>
      </c>
    </row>
    <row r="3073" customFormat="false" ht="14.25" hidden="false" customHeight="true" outlineLevel="0" collapsed="false">
      <c r="A3073" s="26" t="n">
        <v>28976</v>
      </c>
      <c r="B3073" s="1" t="n">
        <v>1979</v>
      </c>
      <c r="C3073" s="1" t="n">
        <v>5</v>
      </c>
      <c r="D3073" s="1" t="s">
        <v>46</v>
      </c>
      <c r="E3073" s="1" t="s">
        <v>2</v>
      </c>
      <c r="F3073" s="1" t="n">
        <v>8.77</v>
      </c>
      <c r="G3073" s="1" t="n">
        <f aca="false">IF(E3073=E3072,F3073/F3072-1,"")</f>
        <v>0.14640522875817</v>
      </c>
    </row>
    <row r="3074" customFormat="false" ht="14.25" hidden="false" customHeight="true" outlineLevel="0" collapsed="false">
      <c r="A3074" s="26" t="n">
        <v>29007</v>
      </c>
      <c r="B3074" s="1" t="n">
        <v>1979</v>
      </c>
      <c r="C3074" s="1" t="n">
        <v>6</v>
      </c>
      <c r="D3074" s="1" t="s">
        <v>47</v>
      </c>
      <c r="E3074" s="1" t="s">
        <v>2</v>
      </c>
      <c r="F3074" s="1" t="n">
        <v>8.54</v>
      </c>
      <c r="G3074" s="1" t="n">
        <f aca="false">IF(E3074=E3073,F3074/F3073-1,"")</f>
        <v>-0.0262257696693273</v>
      </c>
    </row>
    <row r="3075" customFormat="false" ht="14.25" hidden="false" customHeight="true" outlineLevel="0" collapsed="false">
      <c r="A3075" s="26" t="n">
        <v>29037</v>
      </c>
      <c r="B3075" s="1" t="n">
        <v>1979</v>
      </c>
      <c r="C3075" s="1" t="n">
        <v>7</v>
      </c>
      <c r="D3075" s="1" t="s">
        <v>48</v>
      </c>
      <c r="E3075" s="1" t="s">
        <v>2</v>
      </c>
      <c r="F3075" s="1" t="n">
        <v>9.08</v>
      </c>
      <c r="G3075" s="1" t="n">
        <f aca="false">IF(E3075=E3074,F3075/F3074-1,"")</f>
        <v>0.0632318501170961</v>
      </c>
    </row>
    <row r="3076" customFormat="false" ht="14.25" hidden="false" customHeight="true" outlineLevel="0" collapsed="false">
      <c r="A3076" s="26" t="n">
        <v>29068</v>
      </c>
      <c r="B3076" s="1" t="n">
        <v>1979</v>
      </c>
      <c r="C3076" s="1" t="n">
        <v>8</v>
      </c>
      <c r="D3076" s="1" t="s">
        <v>49</v>
      </c>
      <c r="E3076" s="1" t="s">
        <v>2</v>
      </c>
      <c r="F3076" s="1" t="n">
        <v>10.32</v>
      </c>
      <c r="G3076" s="1" t="n">
        <f aca="false">IF(E3076=E3075,F3076/F3075-1,"")</f>
        <v>0.136563876651982</v>
      </c>
    </row>
    <row r="3077" customFormat="false" ht="14.25" hidden="false" customHeight="true" outlineLevel="0" collapsed="false">
      <c r="A3077" s="26" t="n">
        <v>29099</v>
      </c>
      <c r="B3077" s="1" t="n">
        <v>1979</v>
      </c>
      <c r="C3077" s="1" t="n">
        <v>9</v>
      </c>
      <c r="D3077" s="1" t="s">
        <v>50</v>
      </c>
      <c r="E3077" s="1" t="s">
        <v>2</v>
      </c>
      <c r="F3077" s="1" t="n">
        <v>16.25</v>
      </c>
      <c r="G3077" s="1" t="n">
        <f aca="false">IF(E3077=E3076,F3077/F3076-1,"")</f>
        <v>0.574612403100775</v>
      </c>
    </row>
    <row r="3078" customFormat="false" ht="14.25" hidden="false" customHeight="true" outlineLevel="0" collapsed="false">
      <c r="A3078" s="26" t="n">
        <v>29129</v>
      </c>
      <c r="B3078" s="1" t="n">
        <v>1979</v>
      </c>
      <c r="C3078" s="1" t="n">
        <v>10</v>
      </c>
      <c r="D3078" s="1" t="s">
        <v>51</v>
      </c>
      <c r="E3078" s="1" t="s">
        <v>2</v>
      </c>
      <c r="F3078" s="1" t="n">
        <v>16.6</v>
      </c>
      <c r="G3078" s="1" t="n">
        <f aca="false">IF(E3078=E3077,F3078/F3077-1,"")</f>
        <v>0.0215384615384617</v>
      </c>
    </row>
    <row r="3079" customFormat="false" ht="14.25" hidden="false" customHeight="true" outlineLevel="0" collapsed="false">
      <c r="A3079" s="26" t="n">
        <v>29160</v>
      </c>
      <c r="B3079" s="1" t="n">
        <v>1979</v>
      </c>
      <c r="C3079" s="1" t="n">
        <v>11</v>
      </c>
      <c r="D3079" s="1" t="s">
        <v>52</v>
      </c>
      <c r="E3079" s="1" t="s">
        <v>2</v>
      </c>
      <c r="F3079" s="1" t="n">
        <v>19</v>
      </c>
      <c r="G3079" s="1" t="n">
        <f aca="false">IF(E3079=E3078,F3079/F3078-1,"")</f>
        <v>0.144578313253012</v>
      </c>
    </row>
    <row r="3080" customFormat="false" ht="14.25" hidden="false" customHeight="true" outlineLevel="0" collapsed="false">
      <c r="A3080" s="26" t="n">
        <v>29190</v>
      </c>
      <c r="B3080" s="1" t="n">
        <v>1979</v>
      </c>
      <c r="C3080" s="1" t="n">
        <v>12</v>
      </c>
      <c r="D3080" s="1" t="s">
        <v>53</v>
      </c>
      <c r="E3080" s="1" t="s">
        <v>2</v>
      </c>
      <c r="F3080" s="1" t="n">
        <v>32.2</v>
      </c>
      <c r="G3080" s="1" t="n">
        <f aca="false">IF(E3080=E3079,F3080/F3079-1,"")</f>
        <v>0.694736842105263</v>
      </c>
    </row>
    <row r="3081" customFormat="false" ht="14.25" hidden="false" customHeight="true" outlineLevel="0" collapsed="false">
      <c r="A3081" s="26" t="n">
        <v>29221</v>
      </c>
      <c r="B3081" s="1" t="n">
        <v>1980</v>
      </c>
      <c r="C3081" s="1" t="n">
        <v>1</v>
      </c>
      <c r="D3081" s="1" t="s">
        <v>42</v>
      </c>
      <c r="E3081" s="1" t="s">
        <v>2</v>
      </c>
      <c r="F3081" s="1" t="n">
        <v>35.28</v>
      </c>
      <c r="G3081" s="1" t="n">
        <f aca="false">IF(E3081=E3080,F3081/F3080-1,"")</f>
        <v>0.0956521739130434</v>
      </c>
    </row>
    <row r="3082" customFormat="false" ht="14.25" hidden="false" customHeight="true" outlineLevel="0" collapsed="false">
      <c r="A3082" s="26" t="n">
        <v>29252</v>
      </c>
      <c r="B3082" s="1" t="n">
        <v>1980</v>
      </c>
      <c r="C3082" s="1" t="n">
        <v>2</v>
      </c>
      <c r="D3082" s="1" t="s">
        <v>43</v>
      </c>
      <c r="E3082" s="1" t="s">
        <v>2</v>
      </c>
      <c r="F3082" s="1" t="n">
        <v>35.52</v>
      </c>
      <c r="G3082" s="1" t="n">
        <f aca="false">IF(E3082=E3081,F3082/F3081-1,"")</f>
        <v>0.00680272108843538</v>
      </c>
    </row>
    <row r="3083" customFormat="false" ht="14.25" hidden="false" customHeight="true" outlineLevel="0" collapsed="false">
      <c r="A3083" s="26" t="n">
        <v>29281</v>
      </c>
      <c r="B3083" s="1" t="n">
        <v>1980</v>
      </c>
      <c r="C3083" s="1" t="n">
        <v>3</v>
      </c>
      <c r="D3083" s="1" t="s">
        <v>44</v>
      </c>
      <c r="E3083" s="1" t="s">
        <v>2</v>
      </c>
      <c r="F3083" s="1" t="n">
        <v>13.49</v>
      </c>
      <c r="G3083" s="1" t="n">
        <f aca="false">IF(E3083=E3082,F3083/F3082-1,"")</f>
        <v>-0.620213963963964</v>
      </c>
    </row>
    <row r="3084" customFormat="false" ht="14.25" hidden="false" customHeight="true" outlineLevel="0" collapsed="false">
      <c r="A3084" s="26" t="n">
        <v>29312</v>
      </c>
      <c r="B3084" s="1" t="n">
        <v>1980</v>
      </c>
      <c r="C3084" s="1" t="n">
        <v>4</v>
      </c>
      <c r="D3084" s="1" t="s">
        <v>45</v>
      </c>
      <c r="E3084" s="1" t="s">
        <v>2</v>
      </c>
      <c r="F3084" s="1" t="n">
        <v>13.83</v>
      </c>
      <c r="G3084" s="1" t="n">
        <f aca="false">IF(E3084=E3083,F3084/F3083-1,"")</f>
        <v>0.0252038547071904</v>
      </c>
    </row>
    <row r="3085" customFormat="false" ht="14.25" hidden="false" customHeight="true" outlineLevel="0" collapsed="false">
      <c r="A3085" s="26" t="n">
        <v>29342</v>
      </c>
      <c r="B3085" s="1" t="n">
        <v>1980</v>
      </c>
      <c r="C3085" s="1" t="n">
        <v>5</v>
      </c>
      <c r="D3085" s="1" t="s">
        <v>46</v>
      </c>
      <c r="E3085" s="1" t="s">
        <v>2</v>
      </c>
      <c r="F3085" s="1" t="n">
        <v>13.7</v>
      </c>
      <c r="G3085" s="1" t="n">
        <f aca="false">IF(E3085=E3084,F3085/F3084-1,"")</f>
        <v>-0.0093998553868403</v>
      </c>
    </row>
    <row r="3086" customFormat="false" ht="14.25" hidden="false" customHeight="true" outlineLevel="0" collapsed="false">
      <c r="A3086" s="26" t="n">
        <v>29373</v>
      </c>
      <c r="B3086" s="1" t="n">
        <v>1980</v>
      </c>
      <c r="C3086" s="1" t="n">
        <v>6</v>
      </c>
      <c r="D3086" s="1" t="s">
        <v>47</v>
      </c>
      <c r="E3086" s="1" t="s">
        <v>2</v>
      </c>
      <c r="F3086" s="1" t="n">
        <v>16.75</v>
      </c>
      <c r="G3086" s="1" t="n">
        <f aca="false">IF(E3086=E3085,F3086/F3085-1,"")</f>
        <v>0.222627737226278</v>
      </c>
    </row>
    <row r="3087" customFormat="false" ht="14.25" hidden="false" customHeight="true" outlineLevel="0" collapsed="false">
      <c r="A3087" s="26" t="n">
        <v>29403</v>
      </c>
      <c r="B3087" s="1" t="n">
        <v>1980</v>
      </c>
      <c r="C3087" s="1" t="n">
        <v>7</v>
      </c>
      <c r="D3087" s="1" t="s">
        <v>48</v>
      </c>
      <c r="E3087" s="1" t="s">
        <v>2</v>
      </c>
      <c r="F3087" s="1" t="n">
        <v>15.78</v>
      </c>
      <c r="G3087" s="1" t="n">
        <f aca="false">IF(E3087=E3086,F3087/F3086-1,"")</f>
        <v>-0.057910447761194</v>
      </c>
    </row>
    <row r="3088" customFormat="false" ht="14.25" hidden="false" customHeight="true" outlineLevel="0" collapsed="false">
      <c r="A3088" s="26" t="n">
        <v>29434</v>
      </c>
      <c r="B3088" s="1" t="n">
        <v>1980</v>
      </c>
      <c r="C3088" s="1" t="n">
        <v>8</v>
      </c>
      <c r="D3088" s="1" t="s">
        <v>49</v>
      </c>
      <c r="E3088" s="1" t="s">
        <v>2</v>
      </c>
      <c r="F3088" s="1" t="n">
        <v>16.06</v>
      </c>
      <c r="G3088" s="1" t="n">
        <f aca="false">IF(E3088=E3087,F3088/F3087-1,"")</f>
        <v>0.017743979721166</v>
      </c>
    </row>
    <row r="3089" customFormat="false" ht="14.25" hidden="false" customHeight="true" outlineLevel="0" collapsed="false">
      <c r="A3089" s="26" t="n">
        <v>29465</v>
      </c>
      <c r="B3089" s="1" t="n">
        <v>1980</v>
      </c>
      <c r="C3089" s="1" t="n">
        <v>9</v>
      </c>
      <c r="D3089" s="1" t="s">
        <v>50</v>
      </c>
      <c r="E3089" s="1" t="s">
        <v>2</v>
      </c>
      <c r="F3089" s="1" t="n">
        <v>20.5</v>
      </c>
      <c r="G3089" s="1" t="n">
        <f aca="false">IF(E3089=E3088,F3089/F3088-1,"")</f>
        <v>0.276463262764633</v>
      </c>
    </row>
    <row r="3090" customFormat="false" ht="14.25" hidden="false" customHeight="true" outlineLevel="0" collapsed="false">
      <c r="A3090" s="26" t="n">
        <v>29495</v>
      </c>
      <c r="B3090" s="1" t="n">
        <v>1980</v>
      </c>
      <c r="C3090" s="1" t="n">
        <v>10</v>
      </c>
      <c r="D3090" s="1" t="s">
        <v>51</v>
      </c>
      <c r="E3090" s="1" t="s">
        <v>2</v>
      </c>
      <c r="F3090" s="1" t="n">
        <v>18.88</v>
      </c>
      <c r="G3090" s="1" t="n">
        <f aca="false">IF(E3090=E3089,F3090/F3089-1,"")</f>
        <v>-0.0790243902439025</v>
      </c>
    </row>
    <row r="3091" customFormat="false" ht="14.25" hidden="false" customHeight="true" outlineLevel="0" collapsed="false">
      <c r="A3091" s="26" t="n">
        <v>29526</v>
      </c>
      <c r="B3091" s="1" t="n">
        <v>1980</v>
      </c>
      <c r="C3091" s="1" t="n">
        <v>11</v>
      </c>
      <c r="D3091" s="1" t="s">
        <v>52</v>
      </c>
      <c r="E3091" s="1" t="s">
        <v>2</v>
      </c>
      <c r="F3091" s="1" t="n">
        <v>18.42</v>
      </c>
      <c r="G3091" s="1" t="n">
        <f aca="false">IF(E3091=E3090,F3091/F3090-1,"")</f>
        <v>-0.0243644067796609</v>
      </c>
    </row>
    <row r="3092" customFormat="false" ht="14.25" hidden="false" customHeight="true" outlineLevel="0" collapsed="false">
      <c r="A3092" s="26" t="n">
        <v>29556</v>
      </c>
      <c r="B3092" s="1" t="n">
        <v>1980</v>
      </c>
      <c r="C3092" s="1" t="n">
        <v>12</v>
      </c>
      <c r="D3092" s="1" t="s">
        <v>53</v>
      </c>
      <c r="E3092" s="1" t="s">
        <v>2</v>
      </c>
      <c r="F3092" s="1" t="n">
        <v>15.5</v>
      </c>
      <c r="G3092" s="1" t="n">
        <f aca="false">IF(E3092=E3091,F3092/F3091-1,"")</f>
        <v>-0.158523344191097</v>
      </c>
    </row>
    <row r="3093" customFormat="false" ht="14.25" hidden="false" customHeight="true" outlineLevel="0" collapsed="false">
      <c r="A3093" s="26" t="n">
        <v>29587</v>
      </c>
      <c r="B3093" s="1" t="n">
        <v>1981</v>
      </c>
      <c r="C3093" s="1" t="n">
        <v>1</v>
      </c>
      <c r="D3093" s="1" t="s">
        <v>42</v>
      </c>
      <c r="E3093" s="1" t="s">
        <v>2</v>
      </c>
      <c r="F3093" s="1" t="n">
        <v>13.15</v>
      </c>
      <c r="G3093" s="1" t="n">
        <f aca="false">IF(E3093=E3092,F3093/F3092-1,"")</f>
        <v>-0.151612903225806</v>
      </c>
    </row>
    <row r="3094" customFormat="false" ht="14.25" hidden="false" customHeight="true" outlineLevel="0" collapsed="false">
      <c r="A3094" s="26" t="n">
        <v>29618</v>
      </c>
      <c r="B3094" s="1" t="n">
        <v>1981</v>
      </c>
      <c r="C3094" s="1" t="n">
        <v>2</v>
      </c>
      <c r="D3094" s="1" t="s">
        <v>43</v>
      </c>
      <c r="E3094" s="1" t="s">
        <v>2</v>
      </c>
      <c r="F3094" s="1" t="n">
        <v>12.53</v>
      </c>
      <c r="G3094" s="1" t="n">
        <f aca="false">IF(E3094=E3093,F3094/F3093-1,"")</f>
        <v>-0.0471482889733841</v>
      </c>
    </row>
    <row r="3095" customFormat="false" ht="14.25" hidden="false" customHeight="true" outlineLevel="0" collapsed="false">
      <c r="A3095" s="26" t="n">
        <v>29646</v>
      </c>
      <c r="B3095" s="1" t="n">
        <v>1981</v>
      </c>
      <c r="C3095" s="1" t="n">
        <v>3</v>
      </c>
      <c r="D3095" s="1" t="s">
        <v>44</v>
      </c>
      <c r="E3095" s="1" t="s">
        <v>2</v>
      </c>
      <c r="F3095" s="1" t="n">
        <v>12.33</v>
      </c>
      <c r="G3095" s="1" t="n">
        <f aca="false">IF(E3095=E3094,F3095/F3094-1,"")</f>
        <v>-0.0159616919393455</v>
      </c>
    </row>
    <row r="3096" customFormat="false" ht="14.25" hidden="false" customHeight="true" outlineLevel="0" collapsed="false">
      <c r="A3096" s="26" t="n">
        <v>29677</v>
      </c>
      <c r="B3096" s="1" t="n">
        <v>1981</v>
      </c>
      <c r="C3096" s="1" t="n">
        <v>4</v>
      </c>
      <c r="D3096" s="1" t="s">
        <v>45</v>
      </c>
      <c r="E3096" s="1" t="s">
        <v>2</v>
      </c>
      <c r="F3096" s="1" t="n">
        <v>11.07</v>
      </c>
      <c r="G3096" s="1" t="n">
        <f aca="false">IF(E3096=E3095,F3096/F3095-1,"")</f>
        <v>-0.102189781021898</v>
      </c>
    </row>
    <row r="3097" customFormat="false" ht="14.25" hidden="false" customHeight="true" outlineLevel="0" collapsed="false">
      <c r="A3097" s="26" t="n">
        <v>29707</v>
      </c>
      <c r="B3097" s="1" t="n">
        <v>1981</v>
      </c>
      <c r="C3097" s="1" t="n">
        <v>5</v>
      </c>
      <c r="D3097" s="1" t="s">
        <v>46</v>
      </c>
      <c r="E3097" s="1" t="s">
        <v>2</v>
      </c>
      <c r="F3097" s="1" t="n">
        <v>10.59</v>
      </c>
      <c r="G3097" s="1" t="n">
        <f aca="false">IF(E3097=E3096,F3097/F3096-1,"")</f>
        <v>-0.0433604336043361</v>
      </c>
    </row>
    <row r="3098" customFormat="false" ht="14.25" hidden="false" customHeight="true" outlineLevel="0" collapsed="false">
      <c r="A3098" s="26" t="n">
        <v>29738</v>
      </c>
      <c r="B3098" s="1" t="n">
        <v>1981</v>
      </c>
      <c r="C3098" s="1" t="n">
        <v>6</v>
      </c>
      <c r="D3098" s="1" t="s">
        <v>47</v>
      </c>
      <c r="E3098" s="1" t="s">
        <v>2</v>
      </c>
      <c r="F3098" s="1" t="n">
        <v>8.3</v>
      </c>
      <c r="G3098" s="1" t="n">
        <f aca="false">IF(E3098=E3097,F3098/F3097-1,"")</f>
        <v>-0.216241737488196</v>
      </c>
    </row>
    <row r="3099" customFormat="false" ht="14.25" hidden="false" customHeight="true" outlineLevel="0" collapsed="false">
      <c r="A3099" s="26" t="n">
        <v>29768</v>
      </c>
      <c r="B3099" s="1" t="n">
        <v>1981</v>
      </c>
      <c r="C3099" s="1" t="n">
        <v>7</v>
      </c>
      <c r="D3099" s="1" t="s">
        <v>48</v>
      </c>
      <c r="E3099" s="1" t="s">
        <v>2</v>
      </c>
      <c r="F3099" s="1" t="n">
        <v>8.51</v>
      </c>
      <c r="G3099" s="1" t="n">
        <f aca="false">IF(E3099=E3098,F3099/F3098-1,"")</f>
        <v>0.0253012048192769</v>
      </c>
    </row>
    <row r="3100" customFormat="false" ht="14.25" hidden="false" customHeight="true" outlineLevel="0" collapsed="false">
      <c r="A3100" s="26" t="n">
        <v>29799</v>
      </c>
      <c r="B3100" s="1" t="n">
        <v>1981</v>
      </c>
      <c r="C3100" s="1" t="n">
        <v>8</v>
      </c>
      <c r="D3100" s="1" t="s">
        <v>49</v>
      </c>
      <c r="E3100" s="1" t="s">
        <v>2</v>
      </c>
      <c r="F3100" s="1" t="n">
        <v>9.15</v>
      </c>
      <c r="G3100" s="1" t="n">
        <f aca="false">IF(E3100=E3099,F3100/F3099-1,"")</f>
        <v>0.0752056404230319</v>
      </c>
    </row>
    <row r="3101" customFormat="false" ht="14.25" hidden="false" customHeight="true" outlineLevel="0" collapsed="false">
      <c r="A3101" s="26" t="n">
        <v>29830</v>
      </c>
      <c r="B3101" s="1" t="n">
        <v>1981</v>
      </c>
      <c r="C3101" s="1" t="n">
        <v>9</v>
      </c>
      <c r="D3101" s="1" t="s">
        <v>50</v>
      </c>
      <c r="E3101" s="1" t="s">
        <v>2</v>
      </c>
      <c r="F3101" s="1" t="n">
        <v>8.95</v>
      </c>
      <c r="G3101" s="1" t="n">
        <f aca="false">IF(E3101=E3100,F3101/F3100-1,"")</f>
        <v>-0.0218579234972679</v>
      </c>
    </row>
    <row r="3102" customFormat="false" ht="14.25" hidden="false" customHeight="true" outlineLevel="0" collapsed="false">
      <c r="A3102" s="26" t="n">
        <v>29860</v>
      </c>
      <c r="B3102" s="1" t="n">
        <v>1981</v>
      </c>
      <c r="C3102" s="1" t="n">
        <v>10</v>
      </c>
      <c r="D3102" s="1" t="s">
        <v>51</v>
      </c>
      <c r="E3102" s="1" t="s">
        <v>2</v>
      </c>
      <c r="F3102" s="1" t="n">
        <v>9.12</v>
      </c>
      <c r="G3102" s="1" t="n">
        <f aca="false">IF(E3102=E3101,F3102/F3101-1,"")</f>
        <v>0.0189944134078213</v>
      </c>
    </row>
    <row r="3103" customFormat="false" ht="14.25" hidden="false" customHeight="true" outlineLevel="0" collapsed="false">
      <c r="A3103" s="26" t="n">
        <v>29891</v>
      </c>
      <c r="B3103" s="1" t="n">
        <v>1981</v>
      </c>
      <c r="C3103" s="1" t="n">
        <v>11</v>
      </c>
      <c r="D3103" s="1" t="s">
        <v>52</v>
      </c>
      <c r="E3103" s="1" t="s">
        <v>2</v>
      </c>
      <c r="F3103" s="1" t="n">
        <v>8.27</v>
      </c>
      <c r="G3103" s="1" t="n">
        <f aca="false">IF(E3103=E3102,F3103/F3102-1,"")</f>
        <v>-0.0932017543859649</v>
      </c>
    </row>
    <row r="3104" customFormat="false" ht="14.25" hidden="false" customHeight="true" outlineLevel="0" collapsed="false">
      <c r="A3104" s="26" t="n">
        <v>29921</v>
      </c>
      <c r="B3104" s="1" t="n">
        <v>1981</v>
      </c>
      <c r="C3104" s="1" t="n">
        <v>12</v>
      </c>
      <c r="D3104" s="1" t="s">
        <v>53</v>
      </c>
      <c r="E3104" s="1" t="s">
        <v>2</v>
      </c>
      <c r="F3104" s="1" t="n">
        <v>8.15</v>
      </c>
      <c r="G3104" s="1" t="n">
        <f aca="false">IF(E3104=E3103,F3104/F3103-1,"")</f>
        <v>-0.0145102781136638</v>
      </c>
    </row>
    <row r="3105" customFormat="false" ht="14.25" hidden="false" customHeight="true" outlineLevel="0" collapsed="false">
      <c r="A3105" s="26" t="n">
        <v>29952</v>
      </c>
      <c r="B3105" s="1" t="n">
        <v>1982</v>
      </c>
      <c r="C3105" s="1" t="n">
        <v>1</v>
      </c>
      <c r="D3105" s="1" t="s">
        <v>42</v>
      </c>
      <c r="E3105" s="1" t="s">
        <v>2</v>
      </c>
      <c r="F3105" s="1" t="n">
        <v>8.28</v>
      </c>
      <c r="G3105" s="1" t="n">
        <f aca="false">IF(E3105=E3104,F3105/F3104-1,"")</f>
        <v>0.0159509202453987</v>
      </c>
    </row>
    <row r="3106" customFormat="false" ht="14.25" hidden="false" customHeight="true" outlineLevel="0" collapsed="false">
      <c r="A3106" s="26" t="n">
        <v>29983</v>
      </c>
      <c r="B3106" s="1" t="n">
        <v>1982</v>
      </c>
      <c r="C3106" s="1" t="n">
        <v>2</v>
      </c>
      <c r="D3106" s="1" t="s">
        <v>43</v>
      </c>
      <c r="E3106" s="1" t="s">
        <v>2</v>
      </c>
      <c r="F3106" s="1" t="n">
        <v>7.84</v>
      </c>
      <c r="G3106" s="1" t="n">
        <f aca="false">IF(E3106=E3105,F3106/F3105-1,"")</f>
        <v>-0.0531400966183574</v>
      </c>
    </row>
    <row r="3107" customFormat="false" ht="14.25" hidden="false" customHeight="true" outlineLevel="0" collapsed="false">
      <c r="A3107" s="26" t="n">
        <v>30011</v>
      </c>
      <c r="B3107" s="1" t="n">
        <v>1982</v>
      </c>
      <c r="C3107" s="1" t="n">
        <v>3</v>
      </c>
      <c r="D3107" s="1" t="s">
        <v>44</v>
      </c>
      <c r="E3107" s="1" t="s">
        <v>2</v>
      </c>
      <c r="F3107" s="1" t="n">
        <v>7.06</v>
      </c>
      <c r="G3107" s="1" t="n">
        <f aca="false">IF(E3107=E3106,F3107/F3106-1,"")</f>
        <v>-0.0994897959183674</v>
      </c>
    </row>
    <row r="3108" customFormat="false" ht="14.25" hidden="false" customHeight="true" outlineLevel="0" collapsed="false">
      <c r="A3108" s="26" t="n">
        <v>30042</v>
      </c>
      <c r="B3108" s="1" t="n">
        <v>1982</v>
      </c>
      <c r="C3108" s="1" t="n">
        <v>4</v>
      </c>
      <c r="D3108" s="1" t="s">
        <v>45</v>
      </c>
      <c r="E3108" s="1" t="s">
        <v>2</v>
      </c>
      <c r="F3108" s="1" t="n">
        <v>7.06</v>
      </c>
      <c r="G3108" s="1" t="n">
        <f aca="false">IF(E3108=E3107,F3108/F3107-1,"")</f>
        <v>0</v>
      </c>
    </row>
    <row r="3109" customFormat="false" ht="14.25" hidden="false" customHeight="true" outlineLevel="0" collapsed="false">
      <c r="A3109" s="26" t="n">
        <v>30072</v>
      </c>
      <c r="B3109" s="1" t="n">
        <v>1982</v>
      </c>
      <c r="C3109" s="1" t="n">
        <v>5</v>
      </c>
      <c r="D3109" s="1" t="s">
        <v>46</v>
      </c>
      <c r="E3109" s="1" t="s">
        <v>2</v>
      </c>
      <c r="F3109" s="1" t="n">
        <v>6.36</v>
      </c>
      <c r="G3109" s="1" t="n">
        <f aca="false">IF(E3109=E3108,F3109/F3108-1,"")</f>
        <v>-0.0991501416430594</v>
      </c>
    </row>
    <row r="3110" customFormat="false" ht="14.25" hidden="false" customHeight="true" outlineLevel="0" collapsed="false">
      <c r="A3110" s="26" t="n">
        <v>30103</v>
      </c>
      <c r="B3110" s="1" t="n">
        <v>1982</v>
      </c>
      <c r="C3110" s="1" t="n">
        <v>6</v>
      </c>
      <c r="D3110" s="1" t="s">
        <v>47</v>
      </c>
      <c r="E3110" s="1" t="s">
        <v>2</v>
      </c>
      <c r="F3110" s="1" t="n">
        <v>5.73</v>
      </c>
      <c r="G3110" s="1" t="n">
        <f aca="false">IF(E3110=E3109,F3110/F3109-1,"")</f>
        <v>-0.0990566037735849</v>
      </c>
    </row>
    <row r="3111" customFormat="false" ht="14.25" hidden="false" customHeight="true" outlineLevel="0" collapsed="false">
      <c r="A3111" s="26" t="n">
        <v>30133</v>
      </c>
      <c r="B3111" s="1" t="n">
        <v>1982</v>
      </c>
      <c r="C3111" s="1" t="n">
        <v>7</v>
      </c>
      <c r="D3111" s="1" t="s">
        <v>48</v>
      </c>
      <c r="E3111" s="1" t="s">
        <v>2</v>
      </c>
      <c r="F3111" s="1" t="n">
        <v>6.64</v>
      </c>
      <c r="G3111" s="1" t="n">
        <f aca="false">IF(E3111=E3110,F3111/F3110-1,"")</f>
        <v>0.158813263525305</v>
      </c>
    </row>
    <row r="3112" customFormat="false" ht="14.25" hidden="false" customHeight="true" outlineLevel="0" collapsed="false">
      <c r="A3112" s="26" t="n">
        <v>30164</v>
      </c>
      <c r="B3112" s="1" t="n">
        <v>1982</v>
      </c>
      <c r="C3112" s="1" t="n">
        <v>8</v>
      </c>
      <c r="D3112" s="1" t="s">
        <v>49</v>
      </c>
      <c r="E3112" s="1" t="s">
        <v>2</v>
      </c>
      <c r="F3112" s="1" t="n">
        <v>7.73</v>
      </c>
      <c r="G3112" s="1" t="n">
        <f aca="false">IF(E3112=E3111,F3112/F3111-1,"")</f>
        <v>0.164156626506024</v>
      </c>
    </row>
    <row r="3113" customFormat="false" ht="14.25" hidden="false" customHeight="true" outlineLevel="0" collapsed="false">
      <c r="A3113" s="26" t="n">
        <v>30195</v>
      </c>
      <c r="B3113" s="1" t="n">
        <v>1982</v>
      </c>
      <c r="C3113" s="1" t="n">
        <v>9</v>
      </c>
      <c r="D3113" s="1" t="s">
        <v>50</v>
      </c>
      <c r="E3113" s="1" t="s">
        <v>2</v>
      </c>
      <c r="F3113" s="1" t="n">
        <v>8.19</v>
      </c>
      <c r="G3113" s="1" t="n">
        <f aca="false">IF(E3113=E3112,F3113/F3112-1,"")</f>
        <v>0.0595084087968951</v>
      </c>
    </row>
    <row r="3114" customFormat="false" ht="14.25" hidden="false" customHeight="true" outlineLevel="0" collapsed="false">
      <c r="A3114" s="26" t="n">
        <v>30225</v>
      </c>
      <c r="B3114" s="1" t="n">
        <v>1982</v>
      </c>
      <c r="C3114" s="1" t="n">
        <v>10</v>
      </c>
      <c r="D3114" s="1" t="s">
        <v>51</v>
      </c>
      <c r="E3114" s="1" t="s">
        <v>2</v>
      </c>
      <c r="F3114" s="1" t="n">
        <v>9.87</v>
      </c>
      <c r="G3114" s="1" t="n">
        <f aca="false">IF(E3114=E3113,F3114/F3113-1,"")</f>
        <v>0.205128205128205</v>
      </c>
    </row>
    <row r="3115" customFormat="false" ht="14.25" hidden="false" customHeight="true" outlineLevel="0" collapsed="false">
      <c r="A3115" s="26" t="n">
        <v>30256</v>
      </c>
      <c r="B3115" s="1" t="n">
        <v>1982</v>
      </c>
      <c r="C3115" s="1" t="n">
        <v>11</v>
      </c>
      <c r="D3115" s="1" t="s">
        <v>52</v>
      </c>
      <c r="E3115" s="1" t="s">
        <v>2</v>
      </c>
      <c r="F3115" s="1" t="n">
        <v>9.54</v>
      </c>
      <c r="G3115" s="1" t="n">
        <f aca="false">IF(E3115=E3114,F3115/F3114-1,"")</f>
        <v>-0.0334346504559271</v>
      </c>
    </row>
    <row r="3116" customFormat="false" ht="14.25" hidden="false" customHeight="true" outlineLevel="0" collapsed="false">
      <c r="A3116" s="26" t="n">
        <v>30286</v>
      </c>
      <c r="B3116" s="1" t="n">
        <v>1982</v>
      </c>
      <c r="C3116" s="1" t="n">
        <v>12</v>
      </c>
      <c r="D3116" s="1" t="s">
        <v>53</v>
      </c>
      <c r="E3116" s="1" t="s">
        <v>2</v>
      </c>
      <c r="F3116" s="1" t="n">
        <v>10.87</v>
      </c>
      <c r="G3116" s="1" t="n">
        <f aca="false">IF(E3116=E3115,F3116/F3115-1,"")</f>
        <v>0.139412997903564</v>
      </c>
    </row>
    <row r="3117" customFormat="false" ht="14.25" hidden="false" customHeight="true" outlineLevel="0" collapsed="false">
      <c r="A3117" s="26" t="n">
        <v>30317</v>
      </c>
      <c r="B3117" s="1" t="n">
        <v>1983</v>
      </c>
      <c r="C3117" s="1" t="n">
        <v>1</v>
      </c>
      <c r="D3117" s="1" t="s">
        <v>42</v>
      </c>
      <c r="E3117" s="1" t="s">
        <v>2</v>
      </c>
      <c r="F3117" s="1" t="n">
        <v>13.82</v>
      </c>
      <c r="G3117" s="1" t="n">
        <f aca="false">IF(E3117=E3116,F3117/F3116-1,"")</f>
        <v>0.271389144434223</v>
      </c>
    </row>
    <row r="3118" customFormat="false" ht="14.25" hidden="false" customHeight="true" outlineLevel="0" collapsed="false">
      <c r="A3118" s="26" t="n">
        <v>30348</v>
      </c>
      <c r="B3118" s="1" t="n">
        <v>1983</v>
      </c>
      <c r="C3118" s="1" t="n">
        <v>2</v>
      </c>
      <c r="D3118" s="1" t="s">
        <v>43</v>
      </c>
      <c r="E3118" s="1" t="s">
        <v>2</v>
      </c>
      <c r="F3118" s="1" t="n">
        <v>11.7</v>
      </c>
      <c r="G3118" s="1" t="n">
        <f aca="false">IF(E3118=E3117,F3118/F3117-1,"")</f>
        <v>-0.153400868306802</v>
      </c>
    </row>
    <row r="3119" customFormat="false" ht="14.25" hidden="false" customHeight="true" outlineLevel="0" collapsed="false">
      <c r="A3119" s="26" t="n">
        <v>30376</v>
      </c>
      <c r="B3119" s="1" t="n">
        <v>1983</v>
      </c>
      <c r="C3119" s="1" t="n">
        <v>3</v>
      </c>
      <c r="D3119" s="1" t="s">
        <v>44</v>
      </c>
      <c r="E3119" s="1" t="s">
        <v>2</v>
      </c>
      <c r="F3119" s="1" t="n">
        <v>10.5</v>
      </c>
      <c r="G3119" s="1" t="n">
        <f aca="false">IF(E3119=E3118,F3119/F3118-1,"")</f>
        <v>-0.102564102564103</v>
      </c>
    </row>
    <row r="3120" customFormat="false" ht="14.25" hidden="false" customHeight="true" outlineLevel="0" collapsed="false">
      <c r="A3120" s="26" t="n">
        <v>30407</v>
      </c>
      <c r="B3120" s="1" t="n">
        <v>1983</v>
      </c>
      <c r="C3120" s="1" t="n">
        <v>4</v>
      </c>
      <c r="D3120" s="1" t="s">
        <v>45</v>
      </c>
      <c r="E3120" s="1" t="s">
        <v>2</v>
      </c>
      <c r="F3120" s="1" t="n">
        <v>11.96</v>
      </c>
      <c r="G3120" s="1" t="n">
        <f aca="false">IF(E3120=E3119,F3120/F3119-1,"")</f>
        <v>0.139047619047619</v>
      </c>
    </row>
    <row r="3121" customFormat="false" ht="14.25" hidden="false" customHeight="true" outlineLevel="0" collapsed="false">
      <c r="A3121" s="26" t="n">
        <v>30437</v>
      </c>
      <c r="B3121" s="1" t="n">
        <v>1983</v>
      </c>
      <c r="C3121" s="1" t="n">
        <v>5</v>
      </c>
      <c r="D3121" s="1" t="s">
        <v>46</v>
      </c>
      <c r="E3121" s="1" t="s">
        <v>2</v>
      </c>
      <c r="F3121" s="1" t="n">
        <v>13.55</v>
      </c>
      <c r="G3121" s="1" t="n">
        <f aca="false">IF(E3121=E3120,F3121/F3120-1,"")</f>
        <v>0.132943143812709</v>
      </c>
    </row>
    <row r="3122" customFormat="false" ht="14.25" hidden="false" customHeight="true" outlineLevel="0" collapsed="false">
      <c r="A3122" s="26" t="n">
        <v>30468</v>
      </c>
      <c r="B3122" s="1" t="n">
        <v>1983</v>
      </c>
      <c r="C3122" s="1" t="n">
        <v>6</v>
      </c>
      <c r="D3122" s="1" t="s">
        <v>47</v>
      </c>
      <c r="E3122" s="1" t="s">
        <v>2</v>
      </c>
      <c r="F3122" s="1" t="n">
        <v>11.6</v>
      </c>
      <c r="G3122" s="1" t="n">
        <f aca="false">IF(E3122=E3121,F3122/F3121-1,"")</f>
        <v>-0.143911439114391</v>
      </c>
    </row>
    <row r="3123" customFormat="false" ht="14.25" hidden="false" customHeight="true" outlineLevel="0" collapsed="false">
      <c r="A3123" s="26" t="n">
        <v>30498</v>
      </c>
      <c r="B3123" s="1" t="n">
        <v>1983</v>
      </c>
      <c r="C3123" s="1" t="n">
        <v>7</v>
      </c>
      <c r="D3123" s="1" t="s">
        <v>48</v>
      </c>
      <c r="E3123" s="1" t="s">
        <v>2</v>
      </c>
      <c r="F3123" s="1" t="n">
        <v>12.15</v>
      </c>
      <c r="G3123" s="1" t="n">
        <f aca="false">IF(E3123=E3122,F3123/F3122-1,"")</f>
        <v>0.0474137931034484</v>
      </c>
    </row>
    <row r="3124" customFormat="false" ht="14.25" hidden="false" customHeight="true" outlineLevel="0" collapsed="false">
      <c r="A3124" s="26" t="n">
        <v>30529</v>
      </c>
      <c r="B3124" s="1" t="n">
        <v>1983</v>
      </c>
      <c r="C3124" s="1" t="n">
        <v>8</v>
      </c>
      <c r="D3124" s="1" t="s">
        <v>49</v>
      </c>
      <c r="E3124" s="1" t="s">
        <v>2</v>
      </c>
      <c r="F3124" s="1" t="n">
        <v>11.99</v>
      </c>
      <c r="G3124" s="1" t="n">
        <f aca="false">IF(E3124=E3123,F3124/F3123-1,"")</f>
        <v>-0.0131687242798354</v>
      </c>
    </row>
    <row r="3125" customFormat="false" ht="14.25" hidden="false" customHeight="true" outlineLevel="0" collapsed="false">
      <c r="A3125" s="26" t="n">
        <v>30560</v>
      </c>
      <c r="B3125" s="1" t="n">
        <v>1983</v>
      </c>
      <c r="C3125" s="1" t="n">
        <v>9</v>
      </c>
      <c r="D3125" s="1" t="s">
        <v>50</v>
      </c>
      <c r="E3125" s="1" t="s">
        <v>2</v>
      </c>
      <c r="F3125" s="1" t="n">
        <v>11.24</v>
      </c>
      <c r="G3125" s="1" t="n">
        <f aca="false">IF(E3125=E3124,F3125/F3124-1,"")</f>
        <v>-0.0625521267723103</v>
      </c>
    </row>
    <row r="3126" customFormat="false" ht="14.25" hidden="false" customHeight="true" outlineLevel="0" collapsed="false">
      <c r="A3126" s="26" t="n">
        <v>30590</v>
      </c>
      <c r="B3126" s="1" t="n">
        <v>1983</v>
      </c>
      <c r="C3126" s="1" t="n">
        <v>10</v>
      </c>
      <c r="D3126" s="1" t="s">
        <v>51</v>
      </c>
      <c r="E3126" s="1" t="s">
        <v>2</v>
      </c>
      <c r="F3126" s="1" t="n">
        <v>8.74</v>
      </c>
      <c r="G3126" s="1" t="n">
        <f aca="false">IF(E3126=E3125,F3126/F3125-1,"")</f>
        <v>-0.222419928825623</v>
      </c>
    </row>
    <row r="3127" customFormat="false" ht="14.25" hidden="false" customHeight="true" outlineLevel="0" collapsed="false">
      <c r="A3127" s="26" t="n">
        <v>30621</v>
      </c>
      <c r="B3127" s="1" t="n">
        <v>1983</v>
      </c>
      <c r="C3127" s="1" t="n">
        <v>11</v>
      </c>
      <c r="D3127" s="1" t="s">
        <v>52</v>
      </c>
      <c r="E3127" s="1" t="s">
        <v>2</v>
      </c>
      <c r="F3127" s="1" t="n">
        <v>9.81</v>
      </c>
      <c r="G3127" s="1" t="n">
        <f aca="false">IF(E3127=E3126,F3127/F3126-1,"")</f>
        <v>0.122425629290618</v>
      </c>
    </row>
    <row r="3128" customFormat="false" ht="14.25" hidden="false" customHeight="true" outlineLevel="0" collapsed="false">
      <c r="A3128" s="26" t="n">
        <v>30651</v>
      </c>
      <c r="B3128" s="1" t="n">
        <v>1983</v>
      </c>
      <c r="C3128" s="1" t="n">
        <v>12</v>
      </c>
      <c r="D3128" s="1" t="s">
        <v>53</v>
      </c>
      <c r="E3128" s="1" t="s">
        <v>2</v>
      </c>
      <c r="F3128" s="1" t="n">
        <v>8.91</v>
      </c>
      <c r="G3128" s="1" t="n">
        <f aca="false">IF(E3128=E3127,F3128/F3127-1,"")</f>
        <v>-0.0917431192660551</v>
      </c>
    </row>
    <row r="3129" customFormat="false" ht="14.25" hidden="false" customHeight="true" outlineLevel="0" collapsed="false">
      <c r="A3129" s="26" t="n">
        <v>30682</v>
      </c>
      <c r="B3129" s="1" t="n">
        <v>1984</v>
      </c>
      <c r="C3129" s="1" t="n">
        <v>1</v>
      </c>
      <c r="D3129" s="1" t="s">
        <v>42</v>
      </c>
      <c r="E3129" s="1" t="s">
        <v>2</v>
      </c>
      <c r="F3129" s="1" t="n">
        <v>8.43</v>
      </c>
      <c r="G3129" s="1" t="n">
        <f aca="false">IF(E3129=E3128,F3129/F3128-1,"")</f>
        <v>-0.053872053872054</v>
      </c>
    </row>
    <row r="3130" customFormat="false" ht="14.25" hidden="false" customHeight="true" outlineLevel="0" collapsed="false">
      <c r="A3130" s="26" t="n">
        <v>30713</v>
      </c>
      <c r="B3130" s="1" t="n">
        <v>1984</v>
      </c>
      <c r="C3130" s="1" t="n">
        <v>2</v>
      </c>
      <c r="D3130" s="1" t="s">
        <v>43</v>
      </c>
      <c r="E3130" s="1" t="s">
        <v>2</v>
      </c>
      <c r="F3130" s="1" t="n">
        <v>9.64</v>
      </c>
      <c r="G3130" s="1" t="n">
        <f aca="false">IF(E3130=E3129,F3130/F3129-1,"")</f>
        <v>0.143534994068802</v>
      </c>
    </row>
    <row r="3131" customFormat="false" ht="14.25" hidden="false" customHeight="true" outlineLevel="0" collapsed="false">
      <c r="A3131" s="26" t="n">
        <v>30742</v>
      </c>
      <c r="B3131" s="1" t="n">
        <v>1984</v>
      </c>
      <c r="C3131" s="1" t="n">
        <v>3</v>
      </c>
      <c r="D3131" s="1" t="s">
        <v>44</v>
      </c>
      <c r="E3131" s="1" t="s">
        <v>2</v>
      </c>
      <c r="F3131" s="1" t="n">
        <v>9.65</v>
      </c>
      <c r="G3131" s="1" t="n">
        <f aca="false">IF(E3131=E3130,F3131/F3130-1,"")</f>
        <v>0.00103734439834025</v>
      </c>
    </row>
    <row r="3132" customFormat="false" ht="14.25" hidden="false" customHeight="true" outlineLevel="0" collapsed="false">
      <c r="A3132" s="26" t="n">
        <v>30773</v>
      </c>
      <c r="B3132" s="1" t="n">
        <v>1984</v>
      </c>
      <c r="C3132" s="1" t="n">
        <v>4</v>
      </c>
      <c r="D3132" s="1" t="s">
        <v>45</v>
      </c>
      <c r="E3132" s="1" t="s">
        <v>2</v>
      </c>
      <c r="F3132" s="1" t="n">
        <v>8.96</v>
      </c>
      <c r="G3132" s="1" t="n">
        <f aca="false">IF(E3132=E3131,F3132/F3131-1,"")</f>
        <v>-0.0715025906735751</v>
      </c>
    </row>
    <row r="3133" customFormat="false" ht="14.25" hidden="false" customHeight="true" outlineLevel="0" collapsed="false">
      <c r="A3133" s="26" t="n">
        <v>30803</v>
      </c>
      <c r="B3133" s="1" t="n">
        <v>1984</v>
      </c>
      <c r="C3133" s="1" t="n">
        <v>5</v>
      </c>
      <c r="D3133" s="1" t="s">
        <v>46</v>
      </c>
      <c r="E3133" s="1" t="s">
        <v>2</v>
      </c>
      <c r="F3133" s="1" t="n">
        <v>9.12</v>
      </c>
      <c r="G3133" s="1" t="n">
        <f aca="false">IF(E3133=E3132,F3133/F3132-1,"")</f>
        <v>0.0178571428571426</v>
      </c>
    </row>
    <row r="3134" customFormat="false" ht="14.25" hidden="false" customHeight="true" outlineLevel="0" collapsed="false">
      <c r="A3134" s="26" t="n">
        <v>30834</v>
      </c>
      <c r="B3134" s="1" t="n">
        <v>1984</v>
      </c>
      <c r="C3134" s="1" t="n">
        <v>6</v>
      </c>
      <c r="D3134" s="1" t="s">
        <v>47</v>
      </c>
      <c r="E3134" s="1" t="s">
        <v>2</v>
      </c>
      <c r="F3134" s="1" t="n">
        <v>8.39</v>
      </c>
      <c r="G3134" s="1" t="n">
        <f aca="false">IF(E3134=E3133,F3134/F3133-1,"")</f>
        <v>-0.0800438596491226</v>
      </c>
    </row>
    <row r="3135" customFormat="false" ht="14.25" hidden="false" customHeight="true" outlineLevel="0" collapsed="false">
      <c r="A3135" s="26" t="n">
        <v>30864</v>
      </c>
      <c r="B3135" s="1" t="n">
        <v>1984</v>
      </c>
      <c r="C3135" s="1" t="n">
        <v>7</v>
      </c>
      <c r="D3135" s="1" t="s">
        <v>48</v>
      </c>
      <c r="E3135" s="1" t="s">
        <v>2</v>
      </c>
      <c r="F3135" s="1" t="n">
        <v>7.11</v>
      </c>
      <c r="G3135" s="1" t="n">
        <f aca="false">IF(E3135=E3134,F3135/F3134-1,"")</f>
        <v>-0.152562574493445</v>
      </c>
    </row>
    <row r="3136" customFormat="false" ht="14.25" hidden="false" customHeight="true" outlineLevel="0" collapsed="false">
      <c r="A3136" s="26" t="n">
        <v>30895</v>
      </c>
      <c r="B3136" s="1" t="n">
        <v>1984</v>
      </c>
      <c r="C3136" s="1" t="n">
        <v>8</v>
      </c>
      <c r="D3136" s="1" t="s">
        <v>49</v>
      </c>
      <c r="E3136" s="1" t="s">
        <v>2</v>
      </c>
      <c r="F3136" s="1" t="n">
        <v>7.45</v>
      </c>
      <c r="G3136" s="1" t="n">
        <f aca="false">IF(E3136=E3135,F3136/F3135-1,"")</f>
        <v>0.0478199718706047</v>
      </c>
    </row>
    <row r="3137" customFormat="false" ht="14.25" hidden="false" customHeight="true" outlineLevel="0" collapsed="false">
      <c r="A3137" s="26" t="n">
        <v>30926</v>
      </c>
      <c r="B3137" s="1" t="n">
        <v>1984</v>
      </c>
      <c r="C3137" s="1" t="n">
        <v>9</v>
      </c>
      <c r="D3137" s="1" t="s">
        <v>50</v>
      </c>
      <c r="E3137" s="1" t="s">
        <v>2</v>
      </c>
      <c r="F3137" s="1" t="n">
        <v>7.44</v>
      </c>
      <c r="G3137" s="1" t="n">
        <f aca="false">IF(E3137=E3136,F3137/F3136-1,"")</f>
        <v>-0.00134228187919461</v>
      </c>
    </row>
    <row r="3138" customFormat="false" ht="14.25" hidden="false" customHeight="true" outlineLevel="0" collapsed="false">
      <c r="A3138" s="26" t="n">
        <v>30956</v>
      </c>
      <c r="B3138" s="1" t="n">
        <v>1984</v>
      </c>
      <c r="C3138" s="1" t="n">
        <v>10</v>
      </c>
      <c r="D3138" s="1" t="s">
        <v>51</v>
      </c>
      <c r="E3138" s="1" t="s">
        <v>2</v>
      </c>
      <c r="F3138" s="1" t="n">
        <v>7.2</v>
      </c>
      <c r="G3138" s="1" t="n">
        <f aca="false">IF(E3138=E3137,F3138/F3137-1,"")</f>
        <v>-0.0322580645161291</v>
      </c>
    </row>
    <row r="3139" customFormat="false" ht="14.25" hidden="false" customHeight="true" outlineLevel="0" collapsed="false">
      <c r="A3139" s="26" t="n">
        <v>30987</v>
      </c>
      <c r="B3139" s="1" t="n">
        <v>1984</v>
      </c>
      <c r="C3139" s="1" t="n">
        <v>11</v>
      </c>
      <c r="D3139" s="1" t="s">
        <v>52</v>
      </c>
      <c r="E3139" s="1" t="s">
        <v>2</v>
      </c>
      <c r="F3139" s="1" t="n">
        <v>7.05</v>
      </c>
      <c r="G3139" s="1" t="n">
        <f aca="false">IF(E3139=E3138,F3139/F3138-1,"")</f>
        <v>-0.0208333333333334</v>
      </c>
    </row>
    <row r="3140" customFormat="false" ht="14.25" hidden="false" customHeight="true" outlineLevel="0" collapsed="false">
      <c r="A3140" s="26" t="n">
        <v>31017</v>
      </c>
      <c r="B3140" s="1" t="n">
        <v>1984</v>
      </c>
      <c r="C3140" s="1" t="n">
        <v>12</v>
      </c>
      <c r="D3140" s="1" t="s">
        <v>53</v>
      </c>
      <c r="E3140" s="1" t="s">
        <v>2</v>
      </c>
      <c r="F3140" s="1" t="n">
        <v>6.29</v>
      </c>
      <c r="G3140" s="1" t="n">
        <f aca="false">IF(E3140=E3139,F3140/F3139-1,"")</f>
        <v>-0.107801418439716</v>
      </c>
    </row>
    <row r="3141" customFormat="false" ht="14.25" hidden="false" customHeight="true" outlineLevel="0" collapsed="false">
      <c r="A3141" s="26" t="n">
        <v>31048</v>
      </c>
      <c r="B3141" s="1" t="n">
        <v>1985</v>
      </c>
      <c r="C3141" s="1" t="n">
        <v>1</v>
      </c>
      <c r="D3141" s="1" t="s">
        <v>42</v>
      </c>
      <c r="E3141" s="1" t="s">
        <v>2</v>
      </c>
      <c r="F3141" s="1" t="n">
        <v>6.33</v>
      </c>
      <c r="G3141" s="1" t="n">
        <f aca="false">IF(E3141=E3140,F3141/F3140-1,"")</f>
        <v>0.00635930047694755</v>
      </c>
    </row>
    <row r="3142" customFormat="false" ht="14.25" hidden="false" customHeight="true" outlineLevel="0" collapsed="false">
      <c r="A3142" s="26" t="n">
        <v>31079</v>
      </c>
      <c r="B3142" s="1" t="n">
        <v>1985</v>
      </c>
      <c r="C3142" s="1" t="n">
        <v>2</v>
      </c>
      <c r="D3142" s="1" t="s">
        <v>43</v>
      </c>
      <c r="E3142" s="1" t="s">
        <v>2</v>
      </c>
      <c r="F3142" s="1" t="n">
        <v>5.72</v>
      </c>
      <c r="G3142" s="1" t="n">
        <f aca="false">IF(E3142=E3141,F3142/F3141-1,"")</f>
        <v>-0.0963665086887836</v>
      </c>
    </row>
    <row r="3143" customFormat="false" ht="14.25" hidden="false" customHeight="true" outlineLevel="0" collapsed="false">
      <c r="A3143" s="26" t="n">
        <v>31107</v>
      </c>
      <c r="B3143" s="1" t="n">
        <v>1985</v>
      </c>
      <c r="C3143" s="1" t="n">
        <v>3</v>
      </c>
      <c r="D3143" s="1" t="s">
        <v>44</v>
      </c>
      <c r="E3143" s="1" t="s">
        <v>2</v>
      </c>
      <c r="F3143" s="1" t="n">
        <v>6.66</v>
      </c>
      <c r="G3143" s="1" t="n">
        <f aca="false">IF(E3143=E3142,F3143/F3142-1,"")</f>
        <v>0.164335664335664</v>
      </c>
    </row>
    <row r="3144" customFormat="false" ht="14.25" hidden="false" customHeight="true" outlineLevel="0" collapsed="false">
      <c r="A3144" s="26" t="n">
        <v>31138</v>
      </c>
      <c r="B3144" s="1" t="n">
        <v>1985</v>
      </c>
      <c r="C3144" s="1" t="n">
        <v>4</v>
      </c>
      <c r="D3144" s="1" t="s">
        <v>45</v>
      </c>
      <c r="E3144" s="1" t="s">
        <v>2</v>
      </c>
      <c r="F3144" s="1" t="n">
        <v>6.32</v>
      </c>
      <c r="G3144" s="1" t="n">
        <f aca="false">IF(E3144=E3143,F3144/F3143-1,"")</f>
        <v>-0.051051051051051</v>
      </c>
    </row>
    <row r="3145" customFormat="false" ht="14.25" hidden="false" customHeight="true" outlineLevel="0" collapsed="false">
      <c r="A3145" s="26" t="n">
        <v>31168</v>
      </c>
      <c r="B3145" s="1" t="n">
        <v>1985</v>
      </c>
      <c r="C3145" s="1" t="n">
        <v>5</v>
      </c>
      <c r="D3145" s="1" t="s">
        <v>46</v>
      </c>
      <c r="E3145" s="1" t="s">
        <v>2</v>
      </c>
      <c r="F3145" s="1" t="n">
        <v>6.09</v>
      </c>
      <c r="G3145" s="1" t="n">
        <f aca="false">IF(E3145=E3144,F3145/F3144-1,"")</f>
        <v>-0.0363924050632912</v>
      </c>
    </row>
    <row r="3146" customFormat="false" ht="14.25" hidden="false" customHeight="true" outlineLevel="0" collapsed="false">
      <c r="A3146" s="26" t="n">
        <v>31199</v>
      </c>
      <c r="B3146" s="1" t="n">
        <v>1985</v>
      </c>
      <c r="C3146" s="1" t="n">
        <v>6</v>
      </c>
      <c r="D3146" s="1" t="s">
        <v>47</v>
      </c>
      <c r="E3146" s="1" t="s">
        <v>2</v>
      </c>
      <c r="F3146" s="1" t="n">
        <v>6.11</v>
      </c>
      <c r="G3146" s="1" t="n">
        <f aca="false">IF(E3146=E3145,F3146/F3145-1,"")</f>
        <v>0.00328407224958949</v>
      </c>
    </row>
    <row r="3147" customFormat="false" ht="14.25" hidden="false" customHeight="true" outlineLevel="0" collapsed="false">
      <c r="A3147" s="26" t="n">
        <v>31229</v>
      </c>
      <c r="B3147" s="1" t="n">
        <v>1985</v>
      </c>
      <c r="C3147" s="1" t="n">
        <v>7</v>
      </c>
      <c r="D3147" s="1" t="s">
        <v>48</v>
      </c>
      <c r="E3147" s="1" t="s">
        <v>2</v>
      </c>
      <c r="F3147" s="1" t="n">
        <v>6.34</v>
      </c>
      <c r="G3147" s="1" t="n">
        <f aca="false">IF(E3147=E3146,F3147/F3146-1,"")</f>
        <v>0.0376432078559736</v>
      </c>
    </row>
    <row r="3148" customFormat="false" ht="14.25" hidden="false" customHeight="true" outlineLevel="0" collapsed="false">
      <c r="A3148" s="26" t="n">
        <v>31260</v>
      </c>
      <c r="B3148" s="1" t="n">
        <v>1985</v>
      </c>
      <c r="C3148" s="1" t="n">
        <v>8</v>
      </c>
      <c r="D3148" s="1" t="s">
        <v>49</v>
      </c>
      <c r="E3148" s="1" t="s">
        <v>2</v>
      </c>
      <c r="F3148" s="1" t="n">
        <v>6.25</v>
      </c>
      <c r="G3148" s="1" t="n">
        <f aca="false">IF(E3148=E3147,F3148/F3147-1,"")</f>
        <v>-0.0141955835962145</v>
      </c>
    </row>
    <row r="3149" customFormat="false" ht="14.25" hidden="false" customHeight="true" outlineLevel="0" collapsed="false">
      <c r="A3149" s="26" t="n">
        <v>31291</v>
      </c>
      <c r="B3149" s="1" t="n">
        <v>1985</v>
      </c>
      <c r="C3149" s="1" t="n">
        <v>9</v>
      </c>
      <c r="D3149" s="1" t="s">
        <v>50</v>
      </c>
      <c r="E3149" s="1" t="s">
        <v>2</v>
      </c>
      <c r="F3149" s="1" t="n">
        <v>6.05</v>
      </c>
      <c r="G3149" s="1" t="n">
        <f aca="false">IF(E3149=E3148,F3149/F3148-1,"")</f>
        <v>-0.032</v>
      </c>
    </row>
    <row r="3150" customFormat="false" ht="14.25" hidden="false" customHeight="true" outlineLevel="0" collapsed="false">
      <c r="A3150" s="26" t="n">
        <v>31321</v>
      </c>
      <c r="B3150" s="1" t="n">
        <v>1985</v>
      </c>
      <c r="C3150" s="1" t="n">
        <v>10</v>
      </c>
      <c r="D3150" s="1" t="s">
        <v>51</v>
      </c>
      <c r="E3150" s="1" t="s">
        <v>2</v>
      </c>
      <c r="F3150" s="1" t="n">
        <v>6.15</v>
      </c>
      <c r="G3150" s="1" t="n">
        <f aca="false">IF(E3150=E3149,F3150/F3149-1,"")</f>
        <v>0.0165289256198349</v>
      </c>
    </row>
    <row r="3151" customFormat="false" ht="14.25" hidden="false" customHeight="true" outlineLevel="0" collapsed="false">
      <c r="A3151" s="26" t="n">
        <v>31352</v>
      </c>
      <c r="B3151" s="1" t="n">
        <v>1985</v>
      </c>
      <c r="C3151" s="1" t="n">
        <v>11</v>
      </c>
      <c r="D3151" s="1" t="s">
        <v>52</v>
      </c>
      <c r="E3151" s="1" t="s">
        <v>2</v>
      </c>
      <c r="F3151" s="1" t="n">
        <v>6.15</v>
      </c>
      <c r="G3151" s="1" t="n">
        <f aca="false">IF(E3151=E3150,F3151/F3150-1,"")</f>
        <v>0</v>
      </c>
    </row>
    <row r="3152" customFormat="false" ht="14.25" hidden="false" customHeight="true" outlineLevel="0" collapsed="false">
      <c r="A3152" s="26" t="n">
        <v>31382</v>
      </c>
      <c r="B3152" s="1" t="n">
        <v>1985</v>
      </c>
      <c r="C3152" s="1" t="n">
        <v>12</v>
      </c>
      <c r="D3152" s="1" t="s">
        <v>53</v>
      </c>
      <c r="E3152" s="1" t="s">
        <v>2</v>
      </c>
      <c r="F3152" s="1" t="n">
        <v>5.8</v>
      </c>
      <c r="G3152" s="1" t="n">
        <f aca="false">IF(E3152=E3151,F3152/F3151-1,"")</f>
        <v>-0.0569105691056911</v>
      </c>
    </row>
    <row r="3153" customFormat="false" ht="14.25" hidden="false" customHeight="true" outlineLevel="0" collapsed="false">
      <c r="A3153" s="26" t="n">
        <v>31413</v>
      </c>
      <c r="B3153" s="1" t="n">
        <v>1986</v>
      </c>
      <c r="C3153" s="1" t="n">
        <v>1</v>
      </c>
      <c r="D3153" s="1" t="s">
        <v>42</v>
      </c>
      <c r="E3153" s="1" t="s">
        <v>2</v>
      </c>
      <c r="F3153" s="1" t="n">
        <v>6.1</v>
      </c>
      <c r="G3153" s="1" t="n">
        <f aca="false">IF(E3153=E3152,F3153/F3152-1,"")</f>
        <v>0.0517241379310345</v>
      </c>
    </row>
    <row r="3154" customFormat="false" ht="14.25" hidden="false" customHeight="true" outlineLevel="0" collapsed="false">
      <c r="A3154" s="26" t="n">
        <v>31444</v>
      </c>
      <c r="B3154" s="1" t="n">
        <v>1986</v>
      </c>
      <c r="C3154" s="1" t="n">
        <v>2</v>
      </c>
      <c r="D3154" s="1" t="s">
        <v>43</v>
      </c>
      <c r="E3154" s="1" t="s">
        <v>2</v>
      </c>
      <c r="F3154" s="1" t="n">
        <v>5.67</v>
      </c>
      <c r="G3154" s="1" t="n">
        <f aca="false">IF(E3154=E3153,F3154/F3153-1,"")</f>
        <v>-0.0704918032786885</v>
      </c>
    </row>
    <row r="3155" customFormat="false" ht="14.25" hidden="false" customHeight="true" outlineLevel="0" collapsed="false">
      <c r="A3155" s="26" t="n">
        <v>31472</v>
      </c>
      <c r="B3155" s="1" t="n">
        <v>1986</v>
      </c>
      <c r="C3155" s="1" t="n">
        <v>3</v>
      </c>
      <c r="D3155" s="1" t="s">
        <v>44</v>
      </c>
      <c r="E3155" s="1" t="s">
        <v>2</v>
      </c>
      <c r="F3155" s="1" t="n">
        <v>5.62</v>
      </c>
      <c r="G3155" s="1" t="n">
        <f aca="false">IF(E3155=E3154,F3155/F3154-1,"")</f>
        <v>-0.00881834215167543</v>
      </c>
    </row>
    <row r="3156" customFormat="false" ht="14.25" hidden="false" customHeight="true" outlineLevel="0" collapsed="false">
      <c r="A3156" s="26" t="n">
        <v>31503</v>
      </c>
      <c r="B3156" s="1" t="n">
        <v>1986</v>
      </c>
      <c r="C3156" s="1" t="n">
        <v>4</v>
      </c>
      <c r="D3156" s="1" t="s">
        <v>45</v>
      </c>
      <c r="E3156" s="1" t="s">
        <v>2</v>
      </c>
      <c r="F3156" s="1" t="n">
        <v>5.11</v>
      </c>
      <c r="G3156" s="1" t="n">
        <f aca="false">IF(E3156=E3155,F3156/F3155-1,"")</f>
        <v>-0.0907473309608541</v>
      </c>
    </row>
    <row r="3157" customFormat="false" ht="14.25" hidden="false" customHeight="true" outlineLevel="0" collapsed="false">
      <c r="A3157" s="26" t="n">
        <v>31533</v>
      </c>
      <c r="B3157" s="1" t="n">
        <v>1986</v>
      </c>
      <c r="C3157" s="1" t="n">
        <v>5</v>
      </c>
      <c r="D3157" s="1" t="s">
        <v>46</v>
      </c>
      <c r="E3157" s="1" t="s">
        <v>2</v>
      </c>
      <c r="F3157" s="1" t="n">
        <v>5.21</v>
      </c>
      <c r="G3157" s="1" t="n">
        <f aca="false">IF(E3157=E3156,F3157/F3156-1,"")</f>
        <v>0.019569471624266</v>
      </c>
    </row>
    <row r="3158" customFormat="false" ht="14.25" hidden="false" customHeight="true" outlineLevel="0" collapsed="false">
      <c r="A3158" s="26" t="n">
        <v>31564</v>
      </c>
      <c r="B3158" s="1" t="n">
        <v>1986</v>
      </c>
      <c r="C3158" s="1" t="n">
        <v>6</v>
      </c>
      <c r="D3158" s="1" t="s">
        <v>47</v>
      </c>
      <c r="E3158" s="1" t="s">
        <v>2</v>
      </c>
      <c r="F3158" s="1" t="n">
        <v>5.05</v>
      </c>
      <c r="G3158" s="1" t="n">
        <f aca="false">IF(E3158=E3157,F3158/F3157-1,"")</f>
        <v>-0.0307101727447218</v>
      </c>
    </row>
    <row r="3159" customFormat="false" ht="14.25" hidden="false" customHeight="true" outlineLevel="0" collapsed="false">
      <c r="A3159" s="26" t="n">
        <v>31594</v>
      </c>
      <c r="B3159" s="1" t="n">
        <v>1986</v>
      </c>
      <c r="C3159" s="1" t="n">
        <v>7</v>
      </c>
      <c r="D3159" s="1" t="s">
        <v>48</v>
      </c>
      <c r="E3159" s="1" t="s">
        <v>2</v>
      </c>
      <c r="F3159" s="1" t="n">
        <v>5.05</v>
      </c>
      <c r="G3159" s="1" t="n">
        <f aca="false">IF(E3159=E3158,F3159/F3158-1,"")</f>
        <v>0</v>
      </c>
    </row>
    <row r="3160" customFormat="false" ht="14.25" hidden="false" customHeight="true" outlineLevel="0" collapsed="false">
      <c r="A3160" s="26" t="n">
        <v>31625</v>
      </c>
      <c r="B3160" s="1" t="n">
        <v>1986</v>
      </c>
      <c r="C3160" s="1" t="n">
        <v>8</v>
      </c>
      <c r="D3160" s="1" t="s">
        <v>49</v>
      </c>
      <c r="E3160" s="1" t="s">
        <v>2</v>
      </c>
      <c r="F3160" s="1" t="n">
        <v>5.17</v>
      </c>
      <c r="G3160" s="1" t="n">
        <f aca="false">IF(E3160=E3159,F3160/F3159-1,"")</f>
        <v>0.0237623762376238</v>
      </c>
    </row>
    <row r="3161" customFormat="false" ht="14.25" hidden="false" customHeight="true" outlineLevel="0" collapsed="false">
      <c r="A3161" s="26" t="n">
        <v>31656</v>
      </c>
      <c r="B3161" s="1" t="n">
        <v>1986</v>
      </c>
      <c r="C3161" s="1" t="n">
        <v>9</v>
      </c>
      <c r="D3161" s="1" t="s">
        <v>50</v>
      </c>
      <c r="E3161" s="1" t="s">
        <v>2</v>
      </c>
      <c r="F3161" s="1" t="n">
        <v>5.52</v>
      </c>
      <c r="G3161" s="1" t="n">
        <f aca="false">IF(E3161=E3160,F3161/F3160-1,"")</f>
        <v>0.0676982591876207</v>
      </c>
    </row>
    <row r="3162" customFormat="false" ht="14.25" hidden="false" customHeight="true" outlineLevel="0" collapsed="false">
      <c r="A3162" s="26" t="n">
        <v>31686</v>
      </c>
      <c r="B3162" s="1" t="n">
        <v>1986</v>
      </c>
      <c r="C3162" s="1" t="n">
        <v>10</v>
      </c>
      <c r="D3162" s="1" t="s">
        <v>51</v>
      </c>
      <c r="E3162" s="1" t="s">
        <v>2</v>
      </c>
      <c r="F3162" s="1" t="n">
        <v>5.61</v>
      </c>
      <c r="G3162" s="1" t="n">
        <f aca="false">IF(E3162=E3161,F3162/F3161-1,"")</f>
        <v>0.0163043478260871</v>
      </c>
    </row>
    <row r="3163" customFormat="false" ht="14.25" hidden="false" customHeight="true" outlineLevel="0" collapsed="false">
      <c r="A3163" s="26" t="n">
        <v>31717</v>
      </c>
      <c r="B3163" s="1" t="n">
        <v>1986</v>
      </c>
      <c r="C3163" s="1" t="n">
        <v>11</v>
      </c>
      <c r="D3163" s="1" t="s">
        <v>52</v>
      </c>
      <c r="E3163" s="1" t="s">
        <v>2</v>
      </c>
      <c r="F3163" s="1" t="n">
        <v>5.38</v>
      </c>
      <c r="G3163" s="1" t="n">
        <f aca="false">IF(E3163=E3162,F3163/F3162-1,"")</f>
        <v>-0.0409982174688058</v>
      </c>
    </row>
    <row r="3164" customFormat="false" ht="14.25" hidden="false" customHeight="true" outlineLevel="0" collapsed="false">
      <c r="A3164" s="26" t="n">
        <v>31747</v>
      </c>
      <c r="B3164" s="1" t="n">
        <v>1986</v>
      </c>
      <c r="C3164" s="1" t="n">
        <v>12</v>
      </c>
      <c r="D3164" s="1" t="s">
        <v>53</v>
      </c>
      <c r="E3164" s="1" t="s">
        <v>2</v>
      </c>
      <c r="F3164" s="1" t="n">
        <v>5.28</v>
      </c>
      <c r="G3164" s="1" t="n">
        <f aca="false">IF(E3164=E3163,F3164/F3163-1,"")</f>
        <v>-0.0185873605947955</v>
      </c>
    </row>
    <row r="3165" customFormat="false" ht="14.25" hidden="false" customHeight="true" outlineLevel="0" collapsed="false">
      <c r="A3165" s="26" t="n">
        <v>31778</v>
      </c>
      <c r="B3165" s="1" t="n">
        <v>1987</v>
      </c>
      <c r="C3165" s="1" t="n">
        <v>1</v>
      </c>
      <c r="D3165" s="1" t="s">
        <v>42</v>
      </c>
      <c r="E3165" s="1" t="s">
        <v>2</v>
      </c>
      <c r="F3165" s="1" t="n">
        <v>5.55</v>
      </c>
      <c r="G3165" s="1" t="n">
        <f aca="false">IF(E3165=E3164,F3165/F3164-1,"")</f>
        <v>0.0511363636363635</v>
      </c>
    </row>
    <row r="3166" customFormat="false" ht="14.25" hidden="false" customHeight="true" outlineLevel="0" collapsed="false">
      <c r="A3166" s="26" t="n">
        <v>31809</v>
      </c>
      <c r="B3166" s="1" t="n">
        <v>1987</v>
      </c>
      <c r="C3166" s="1" t="n">
        <v>2</v>
      </c>
      <c r="D3166" s="1" t="s">
        <v>43</v>
      </c>
      <c r="E3166" s="1" t="s">
        <v>2</v>
      </c>
      <c r="F3166" s="1" t="n">
        <v>5.47</v>
      </c>
      <c r="G3166" s="1" t="n">
        <f aca="false">IF(E3166=E3165,F3166/F3165-1,"")</f>
        <v>-0.0144144144144144</v>
      </c>
    </row>
    <row r="3167" customFormat="false" ht="14.25" hidden="false" customHeight="true" outlineLevel="0" collapsed="false">
      <c r="A3167" s="26" t="n">
        <v>31837</v>
      </c>
      <c r="B3167" s="1" t="n">
        <v>1987</v>
      </c>
      <c r="C3167" s="1" t="n">
        <v>3</v>
      </c>
      <c r="D3167" s="1" t="s">
        <v>44</v>
      </c>
      <c r="E3167" s="1" t="s">
        <v>2</v>
      </c>
      <c r="F3167" s="1" t="n">
        <v>6.31</v>
      </c>
      <c r="G3167" s="1" t="n">
        <f aca="false">IF(E3167=E3166,F3167/F3166-1,"")</f>
        <v>0.153564899451554</v>
      </c>
    </row>
    <row r="3168" customFormat="false" ht="14.25" hidden="false" customHeight="true" outlineLevel="0" collapsed="false">
      <c r="A3168" s="26" t="n">
        <v>31868</v>
      </c>
      <c r="B3168" s="1" t="n">
        <v>1987</v>
      </c>
      <c r="C3168" s="1" t="n">
        <v>4</v>
      </c>
      <c r="D3168" s="1" t="s">
        <v>45</v>
      </c>
      <c r="E3168" s="1" t="s">
        <v>2</v>
      </c>
      <c r="F3168" s="1" t="n">
        <v>8.13</v>
      </c>
      <c r="G3168" s="1" t="n">
        <f aca="false">IF(E3168=E3167,F3168/F3167-1,"")</f>
        <v>0.288431061806656</v>
      </c>
    </row>
    <row r="3169" customFormat="false" ht="14.25" hidden="false" customHeight="true" outlineLevel="0" collapsed="false">
      <c r="A3169" s="26" t="n">
        <v>31898</v>
      </c>
      <c r="B3169" s="1" t="n">
        <v>1987</v>
      </c>
      <c r="C3169" s="1" t="n">
        <v>5</v>
      </c>
      <c r="D3169" s="1" t="s">
        <v>46</v>
      </c>
      <c r="E3169" s="1" t="s">
        <v>2</v>
      </c>
      <c r="F3169" s="1" t="n">
        <v>7.69</v>
      </c>
      <c r="G3169" s="1" t="n">
        <f aca="false">IF(E3169=E3168,F3169/F3168-1,"")</f>
        <v>-0.0541205412054121</v>
      </c>
    </row>
    <row r="3170" customFormat="false" ht="14.25" hidden="false" customHeight="true" outlineLevel="0" collapsed="false">
      <c r="A3170" s="26" t="n">
        <v>31929</v>
      </c>
      <c r="B3170" s="1" t="n">
        <v>1987</v>
      </c>
      <c r="C3170" s="1" t="n">
        <v>6</v>
      </c>
      <c r="D3170" s="1" t="s">
        <v>47</v>
      </c>
      <c r="E3170" s="1" t="s">
        <v>2</v>
      </c>
      <c r="F3170" s="1" t="n">
        <v>7.14</v>
      </c>
      <c r="G3170" s="1" t="n">
        <f aca="false">IF(E3170=E3169,F3170/F3169-1,"")</f>
        <v>-0.0715214564369312</v>
      </c>
    </row>
    <row r="3171" customFormat="false" ht="14.25" hidden="false" customHeight="true" outlineLevel="0" collapsed="false">
      <c r="A3171" s="26" t="n">
        <v>31959</v>
      </c>
      <c r="B3171" s="1" t="n">
        <v>1987</v>
      </c>
      <c r="C3171" s="1" t="n">
        <v>7</v>
      </c>
      <c r="D3171" s="1" t="s">
        <v>48</v>
      </c>
      <c r="E3171" s="1" t="s">
        <v>2</v>
      </c>
      <c r="F3171" s="1" t="n">
        <v>8.32</v>
      </c>
      <c r="G3171" s="1" t="n">
        <f aca="false">IF(E3171=E3170,F3171/F3170-1,"")</f>
        <v>0.165266106442577</v>
      </c>
    </row>
    <row r="3172" customFormat="false" ht="14.25" hidden="false" customHeight="true" outlineLevel="0" collapsed="false">
      <c r="A3172" s="26" t="n">
        <v>31990</v>
      </c>
      <c r="B3172" s="1" t="n">
        <v>1987</v>
      </c>
      <c r="C3172" s="1" t="n">
        <v>8</v>
      </c>
      <c r="D3172" s="1" t="s">
        <v>49</v>
      </c>
      <c r="E3172" s="1" t="s">
        <v>2</v>
      </c>
      <c r="F3172" s="1" t="n">
        <v>7.55</v>
      </c>
      <c r="G3172" s="1" t="n">
        <f aca="false">IF(E3172=E3171,F3172/F3171-1,"")</f>
        <v>-0.092548076923077</v>
      </c>
    </row>
    <row r="3173" customFormat="false" ht="14.25" hidden="false" customHeight="true" outlineLevel="0" collapsed="false">
      <c r="A3173" s="26" t="n">
        <v>32021</v>
      </c>
      <c r="B3173" s="1" t="n">
        <v>1987</v>
      </c>
      <c r="C3173" s="1" t="n">
        <v>9</v>
      </c>
      <c r="D3173" s="1" t="s">
        <v>50</v>
      </c>
      <c r="E3173" s="1" t="s">
        <v>2</v>
      </c>
      <c r="F3173" s="1" t="n">
        <v>7.64</v>
      </c>
      <c r="G3173" s="1" t="n">
        <f aca="false">IF(E3173=E3172,F3173/F3172-1,"")</f>
        <v>0.0119205298013245</v>
      </c>
    </row>
    <row r="3174" customFormat="false" ht="14.25" hidden="false" customHeight="true" outlineLevel="0" collapsed="false">
      <c r="A3174" s="26" t="n">
        <v>32051</v>
      </c>
      <c r="B3174" s="1" t="n">
        <v>1987</v>
      </c>
      <c r="C3174" s="1" t="n">
        <v>10</v>
      </c>
      <c r="D3174" s="1" t="s">
        <v>51</v>
      </c>
      <c r="E3174" s="1" t="s">
        <v>2</v>
      </c>
      <c r="F3174" s="1" t="n">
        <v>6.88</v>
      </c>
      <c r="G3174" s="1" t="n">
        <f aca="false">IF(E3174=E3173,F3174/F3173-1,"")</f>
        <v>-0.0994764397905759</v>
      </c>
    </row>
    <row r="3175" customFormat="false" ht="14.25" hidden="false" customHeight="true" outlineLevel="0" collapsed="false">
      <c r="A3175" s="26" t="n">
        <v>32082</v>
      </c>
      <c r="B3175" s="1" t="n">
        <v>1987</v>
      </c>
      <c r="C3175" s="1" t="n">
        <v>11</v>
      </c>
      <c r="D3175" s="1" t="s">
        <v>52</v>
      </c>
      <c r="E3175" s="1" t="s">
        <v>2</v>
      </c>
      <c r="F3175" s="1" t="n">
        <v>7.25</v>
      </c>
      <c r="G3175" s="1" t="n">
        <f aca="false">IF(E3175=E3174,F3175/F3174-1,"")</f>
        <v>0.0537790697674418</v>
      </c>
    </row>
    <row r="3176" customFormat="false" ht="14.25" hidden="false" customHeight="true" outlineLevel="0" collapsed="false">
      <c r="A3176" s="26" t="n">
        <v>32112</v>
      </c>
      <c r="B3176" s="1" t="n">
        <v>1987</v>
      </c>
      <c r="C3176" s="1" t="n">
        <v>12</v>
      </c>
      <c r="D3176" s="1" t="s">
        <v>53</v>
      </c>
      <c r="E3176" s="1" t="s">
        <v>2</v>
      </c>
      <c r="F3176" s="1" t="n">
        <v>6.7</v>
      </c>
      <c r="G3176" s="1" t="n">
        <f aca="false">IF(E3176=E3175,F3176/F3175-1,"")</f>
        <v>-0.0758620689655172</v>
      </c>
    </row>
    <row r="3177" customFormat="false" ht="14.25" hidden="false" customHeight="true" outlineLevel="0" collapsed="false">
      <c r="A3177" s="26" t="n">
        <v>32143</v>
      </c>
      <c r="B3177" s="1" t="n">
        <v>1988</v>
      </c>
      <c r="C3177" s="1" t="n">
        <v>1</v>
      </c>
      <c r="D3177" s="1" t="s">
        <v>42</v>
      </c>
      <c r="E3177" s="1" t="s">
        <v>2</v>
      </c>
      <c r="F3177" s="1" t="n">
        <v>6.55</v>
      </c>
      <c r="G3177" s="1" t="n">
        <f aca="false">IF(E3177=E3176,F3177/F3176-1,"")</f>
        <v>-0.0223880597014926</v>
      </c>
    </row>
    <row r="3178" customFormat="false" ht="14.25" hidden="false" customHeight="true" outlineLevel="0" collapsed="false">
      <c r="A3178" s="26" t="n">
        <v>32174</v>
      </c>
      <c r="B3178" s="1" t="n">
        <v>1988</v>
      </c>
      <c r="C3178" s="1" t="n">
        <v>2</v>
      </c>
      <c r="D3178" s="1" t="s">
        <v>43</v>
      </c>
      <c r="E3178" s="1" t="s">
        <v>2</v>
      </c>
      <c r="F3178" s="1" t="n">
        <v>6.14</v>
      </c>
      <c r="G3178" s="1" t="n">
        <f aca="false">IF(E3178=E3177,F3178/F3177-1,"")</f>
        <v>-0.0625954198473283</v>
      </c>
    </row>
    <row r="3179" customFormat="false" ht="14.25" hidden="false" customHeight="true" outlineLevel="0" collapsed="false">
      <c r="A3179" s="26" t="n">
        <v>32203</v>
      </c>
      <c r="B3179" s="1" t="n">
        <v>1988</v>
      </c>
      <c r="C3179" s="1" t="n">
        <v>3</v>
      </c>
      <c r="D3179" s="1" t="s">
        <v>44</v>
      </c>
      <c r="E3179" s="1" t="s">
        <v>2</v>
      </c>
      <c r="F3179" s="1" t="n">
        <v>6.75</v>
      </c>
      <c r="G3179" s="1" t="n">
        <f aca="false">IF(E3179=E3178,F3179/F3178-1,"")</f>
        <v>0.0993485342019544</v>
      </c>
    </row>
    <row r="3180" customFormat="false" ht="14.25" hidden="false" customHeight="true" outlineLevel="0" collapsed="false">
      <c r="A3180" s="26" t="n">
        <v>32234</v>
      </c>
      <c r="B3180" s="1" t="n">
        <v>1988</v>
      </c>
      <c r="C3180" s="1" t="n">
        <v>4</v>
      </c>
      <c r="D3180" s="1" t="s">
        <v>45</v>
      </c>
      <c r="E3180" s="1" t="s">
        <v>2</v>
      </c>
      <c r="F3180" s="1" t="n">
        <v>6.46</v>
      </c>
      <c r="G3180" s="1" t="n">
        <f aca="false">IF(E3180=E3179,F3180/F3179-1,"")</f>
        <v>-0.042962962962963</v>
      </c>
    </row>
    <row r="3181" customFormat="false" ht="14.25" hidden="false" customHeight="true" outlineLevel="0" collapsed="false">
      <c r="A3181" s="26" t="n">
        <v>32264</v>
      </c>
      <c r="B3181" s="1" t="n">
        <v>1988</v>
      </c>
      <c r="C3181" s="1" t="n">
        <v>5</v>
      </c>
      <c r="D3181" s="1" t="s">
        <v>46</v>
      </c>
      <c r="E3181" s="1" t="s">
        <v>2</v>
      </c>
      <c r="F3181" s="1" t="n">
        <v>6.6</v>
      </c>
      <c r="G3181" s="1" t="n">
        <f aca="false">IF(E3181=E3180,F3181/F3180-1,"")</f>
        <v>0.021671826625387</v>
      </c>
    </row>
    <row r="3182" customFormat="false" ht="14.25" hidden="false" customHeight="true" outlineLevel="0" collapsed="false">
      <c r="A3182" s="26" t="n">
        <v>32295</v>
      </c>
      <c r="B3182" s="1" t="n">
        <v>1988</v>
      </c>
      <c r="C3182" s="1" t="n">
        <v>6</v>
      </c>
      <c r="D3182" s="1" t="s">
        <v>47</v>
      </c>
      <c r="E3182" s="1" t="s">
        <v>2</v>
      </c>
      <c r="F3182" s="1" t="n">
        <v>6.65</v>
      </c>
      <c r="G3182" s="1" t="n">
        <f aca="false">IF(E3182=E3181,F3182/F3181-1,"")</f>
        <v>0.00757575757575779</v>
      </c>
    </row>
    <row r="3183" customFormat="false" ht="14.25" hidden="false" customHeight="true" outlineLevel="0" collapsed="false">
      <c r="A3183" s="26" t="n">
        <v>32325</v>
      </c>
      <c r="B3183" s="1" t="n">
        <v>1988</v>
      </c>
      <c r="C3183" s="1" t="n">
        <v>7</v>
      </c>
      <c r="D3183" s="1" t="s">
        <v>48</v>
      </c>
      <c r="E3183" s="1" t="s">
        <v>2</v>
      </c>
      <c r="F3183" s="1" t="n">
        <v>6.8</v>
      </c>
      <c r="G3183" s="1" t="n">
        <f aca="false">IF(E3183=E3182,F3183/F3182-1,"")</f>
        <v>0.0225563909774436</v>
      </c>
    </row>
    <row r="3184" customFormat="false" ht="14.25" hidden="false" customHeight="true" outlineLevel="0" collapsed="false">
      <c r="A3184" s="26" t="n">
        <v>32356</v>
      </c>
      <c r="B3184" s="1" t="n">
        <v>1988</v>
      </c>
      <c r="C3184" s="1" t="n">
        <v>8</v>
      </c>
      <c r="D3184" s="1" t="s">
        <v>49</v>
      </c>
      <c r="E3184" s="1" t="s">
        <v>2</v>
      </c>
      <c r="F3184" s="1" t="n">
        <v>6.46</v>
      </c>
      <c r="G3184" s="1" t="n">
        <f aca="false">IF(E3184=E3183,F3184/F3183-1,"")</f>
        <v>-0.0499999999999999</v>
      </c>
    </row>
    <row r="3185" customFormat="false" ht="14.25" hidden="false" customHeight="true" outlineLevel="0" collapsed="false">
      <c r="A3185" s="26" t="n">
        <v>32387</v>
      </c>
      <c r="B3185" s="1" t="n">
        <v>1988</v>
      </c>
      <c r="C3185" s="1" t="n">
        <v>9</v>
      </c>
      <c r="D3185" s="1" t="s">
        <v>50</v>
      </c>
      <c r="E3185" s="1" t="s">
        <v>2</v>
      </c>
      <c r="F3185" s="1" t="n">
        <v>6.17</v>
      </c>
      <c r="G3185" s="1" t="n">
        <f aca="false">IF(E3185=E3184,F3185/F3184-1,"")</f>
        <v>-0.044891640866873</v>
      </c>
    </row>
    <row r="3186" customFormat="false" ht="14.25" hidden="false" customHeight="true" outlineLevel="0" collapsed="false">
      <c r="A3186" s="26" t="n">
        <v>32417</v>
      </c>
      <c r="B3186" s="1" t="n">
        <v>1988</v>
      </c>
      <c r="C3186" s="1" t="n">
        <v>10</v>
      </c>
      <c r="D3186" s="1" t="s">
        <v>51</v>
      </c>
      <c r="E3186" s="1" t="s">
        <v>2</v>
      </c>
      <c r="F3186" s="1" t="n">
        <v>6.31</v>
      </c>
      <c r="G3186" s="1" t="n">
        <f aca="false">IF(E3186=E3185,F3186/F3185-1,"")</f>
        <v>0.0226904376012966</v>
      </c>
    </row>
    <row r="3187" customFormat="false" ht="14.25" hidden="false" customHeight="true" outlineLevel="0" collapsed="false">
      <c r="A3187" s="26" t="n">
        <v>32448</v>
      </c>
      <c r="B3187" s="1" t="n">
        <v>1988</v>
      </c>
      <c r="C3187" s="1" t="n">
        <v>11</v>
      </c>
      <c r="D3187" s="1" t="s">
        <v>52</v>
      </c>
      <c r="E3187" s="1" t="s">
        <v>2</v>
      </c>
      <c r="F3187" s="1" t="n">
        <v>6.07</v>
      </c>
      <c r="G3187" s="1" t="n">
        <f aca="false">IF(E3187=E3186,F3187/F3186-1,"")</f>
        <v>-0.0380348652931853</v>
      </c>
    </row>
    <row r="3188" customFormat="false" ht="14.25" hidden="false" customHeight="true" outlineLevel="0" collapsed="false">
      <c r="A3188" s="26" t="n">
        <v>32478</v>
      </c>
      <c r="B3188" s="1" t="n">
        <v>1988</v>
      </c>
      <c r="C3188" s="1" t="n">
        <v>12</v>
      </c>
      <c r="D3188" s="1" t="s">
        <v>53</v>
      </c>
      <c r="E3188" s="1" t="s">
        <v>2</v>
      </c>
      <c r="F3188" s="1" t="n">
        <v>6.05</v>
      </c>
      <c r="G3188" s="1" t="n">
        <f aca="false">IF(E3188=E3187,F3188/F3187-1,"")</f>
        <v>-0.00329489291598029</v>
      </c>
    </row>
    <row r="3189" customFormat="false" ht="14.25" hidden="false" customHeight="true" outlineLevel="0" collapsed="false">
      <c r="A3189" s="26" t="n">
        <v>32509</v>
      </c>
      <c r="B3189" s="1" t="n">
        <v>1989</v>
      </c>
      <c r="C3189" s="1" t="n">
        <v>1</v>
      </c>
      <c r="D3189" s="1" t="s">
        <v>42</v>
      </c>
      <c r="E3189" s="1" t="s">
        <v>2</v>
      </c>
      <c r="F3189" s="1" t="n">
        <v>5.85</v>
      </c>
      <c r="G3189" s="1" t="n">
        <f aca="false">IF(E3189=E3188,F3189/F3188-1,"")</f>
        <v>-0.0330578512396694</v>
      </c>
    </row>
    <row r="3190" customFormat="false" ht="14.25" hidden="false" customHeight="true" outlineLevel="0" collapsed="false">
      <c r="A3190" s="26" t="n">
        <v>32540</v>
      </c>
      <c r="B3190" s="1" t="n">
        <v>1989</v>
      </c>
      <c r="C3190" s="1" t="n">
        <v>2</v>
      </c>
      <c r="D3190" s="1" t="s">
        <v>43</v>
      </c>
      <c r="E3190" s="1" t="s">
        <v>2</v>
      </c>
      <c r="F3190" s="1" t="n">
        <v>5.86</v>
      </c>
      <c r="G3190" s="1" t="n">
        <f aca="false">IF(E3190=E3189,F3190/F3189-1,"")</f>
        <v>0.00170940170940193</v>
      </c>
    </row>
    <row r="3191" customFormat="false" ht="14.25" hidden="false" customHeight="true" outlineLevel="0" collapsed="false">
      <c r="A3191" s="26" t="n">
        <v>32568</v>
      </c>
      <c r="B3191" s="1" t="n">
        <v>1989</v>
      </c>
      <c r="C3191" s="1" t="n">
        <v>3</v>
      </c>
      <c r="D3191" s="1" t="s">
        <v>44</v>
      </c>
      <c r="E3191" s="1" t="s">
        <v>2</v>
      </c>
      <c r="F3191" s="1" t="n">
        <v>5.77</v>
      </c>
      <c r="G3191" s="1" t="n">
        <f aca="false">IF(E3191=E3190,F3191/F3190-1,"")</f>
        <v>-0.0153583617747441</v>
      </c>
    </row>
    <row r="3192" customFormat="false" ht="14.25" hidden="false" customHeight="true" outlineLevel="0" collapsed="false">
      <c r="A3192" s="26" t="n">
        <v>32599</v>
      </c>
      <c r="B3192" s="1" t="n">
        <v>1989</v>
      </c>
      <c r="C3192" s="1" t="n">
        <v>4</v>
      </c>
      <c r="D3192" s="1" t="s">
        <v>45</v>
      </c>
      <c r="E3192" s="1" t="s">
        <v>2</v>
      </c>
      <c r="F3192" s="1" t="n">
        <v>5.64</v>
      </c>
      <c r="G3192" s="1" t="n">
        <f aca="false">IF(E3192=E3191,F3192/F3191-1,"")</f>
        <v>-0.0225303292894281</v>
      </c>
    </row>
    <row r="3193" customFormat="false" ht="14.25" hidden="false" customHeight="true" outlineLevel="0" collapsed="false">
      <c r="A3193" s="26" t="n">
        <v>32629</v>
      </c>
      <c r="B3193" s="1" t="n">
        <v>1989</v>
      </c>
      <c r="C3193" s="1" t="n">
        <v>5</v>
      </c>
      <c r="D3193" s="1" t="s">
        <v>46</v>
      </c>
      <c r="E3193" s="1" t="s">
        <v>2</v>
      </c>
      <c r="F3193" s="1" t="n">
        <v>5.22</v>
      </c>
      <c r="G3193" s="1" t="n">
        <f aca="false">IF(E3193=E3192,F3193/F3192-1,"")</f>
        <v>-0.0744680851063829</v>
      </c>
    </row>
    <row r="3194" customFormat="false" ht="14.25" hidden="false" customHeight="true" outlineLevel="0" collapsed="false">
      <c r="A3194" s="26" t="n">
        <v>32660</v>
      </c>
      <c r="B3194" s="1" t="n">
        <v>1989</v>
      </c>
      <c r="C3194" s="1" t="n">
        <v>6</v>
      </c>
      <c r="D3194" s="1" t="s">
        <v>47</v>
      </c>
      <c r="E3194" s="1" t="s">
        <v>2</v>
      </c>
      <c r="F3194" s="1" t="n">
        <v>5.17</v>
      </c>
      <c r="G3194" s="1" t="n">
        <f aca="false">IF(E3194=E3193,F3194/F3193-1,"")</f>
        <v>-0.00957854406130265</v>
      </c>
    </row>
    <row r="3195" customFormat="false" ht="14.25" hidden="false" customHeight="true" outlineLevel="0" collapsed="false">
      <c r="A3195" s="26" t="n">
        <v>32690</v>
      </c>
      <c r="B3195" s="1" t="n">
        <v>1989</v>
      </c>
      <c r="C3195" s="1" t="n">
        <v>7</v>
      </c>
      <c r="D3195" s="1" t="s">
        <v>48</v>
      </c>
      <c r="E3195" s="1" t="s">
        <v>2</v>
      </c>
      <c r="F3195" s="1" t="n">
        <v>5.15</v>
      </c>
      <c r="G3195" s="1" t="n">
        <f aca="false">IF(E3195=E3194,F3195/F3194-1,"")</f>
        <v>-0.0038684719535782</v>
      </c>
    </row>
    <row r="3196" customFormat="false" ht="14.25" hidden="false" customHeight="true" outlineLevel="0" collapsed="false">
      <c r="A3196" s="26" t="n">
        <v>32721</v>
      </c>
      <c r="B3196" s="1" t="n">
        <v>1989</v>
      </c>
      <c r="C3196" s="1" t="n">
        <v>8</v>
      </c>
      <c r="D3196" s="1" t="s">
        <v>49</v>
      </c>
      <c r="E3196" s="1" t="s">
        <v>2</v>
      </c>
      <c r="F3196" s="1" t="n">
        <v>5.07</v>
      </c>
      <c r="G3196" s="1" t="n">
        <f aca="false">IF(E3196=E3195,F3196/F3195-1,"")</f>
        <v>-0.0155339805825243</v>
      </c>
    </row>
    <row r="3197" customFormat="false" ht="14.25" hidden="false" customHeight="true" outlineLevel="0" collapsed="false">
      <c r="A3197" s="26" t="n">
        <v>32752</v>
      </c>
      <c r="B3197" s="1" t="n">
        <v>1989</v>
      </c>
      <c r="C3197" s="1" t="n">
        <v>9</v>
      </c>
      <c r="D3197" s="1" t="s">
        <v>50</v>
      </c>
      <c r="E3197" s="1" t="s">
        <v>2</v>
      </c>
      <c r="F3197" s="1" t="n">
        <v>5.28</v>
      </c>
      <c r="G3197" s="1" t="n">
        <f aca="false">IF(E3197=E3196,F3197/F3196-1,"")</f>
        <v>0.0414201183431953</v>
      </c>
    </row>
    <row r="3198" customFormat="false" ht="14.25" hidden="false" customHeight="true" outlineLevel="0" collapsed="false">
      <c r="A3198" s="26" t="n">
        <v>32782</v>
      </c>
      <c r="B3198" s="1" t="n">
        <v>1989</v>
      </c>
      <c r="C3198" s="1" t="n">
        <v>10</v>
      </c>
      <c r="D3198" s="1" t="s">
        <v>51</v>
      </c>
      <c r="E3198" s="1" t="s">
        <v>2</v>
      </c>
      <c r="F3198" s="1" t="n">
        <v>5.23</v>
      </c>
      <c r="G3198" s="1" t="n">
        <f aca="false">IF(E3198=E3197,F3198/F3197-1,"")</f>
        <v>-0.00946969696969691</v>
      </c>
    </row>
    <row r="3199" customFormat="false" ht="14.25" hidden="false" customHeight="true" outlineLevel="0" collapsed="false">
      <c r="A3199" s="26" t="n">
        <v>32813</v>
      </c>
      <c r="B3199" s="1" t="n">
        <v>1989</v>
      </c>
      <c r="C3199" s="1" t="n">
        <v>11</v>
      </c>
      <c r="D3199" s="1" t="s">
        <v>52</v>
      </c>
      <c r="E3199" s="1" t="s">
        <v>2</v>
      </c>
      <c r="F3199" s="1" t="n">
        <v>5.57</v>
      </c>
      <c r="G3199" s="1" t="n">
        <f aca="false">IF(E3199=E3198,F3199/F3198-1,"")</f>
        <v>0.0650095602294454</v>
      </c>
    </row>
    <row r="3200" customFormat="false" ht="14.25" hidden="false" customHeight="true" outlineLevel="0" collapsed="false">
      <c r="A3200" s="26" t="n">
        <v>32843</v>
      </c>
      <c r="B3200" s="1" t="n">
        <v>1989</v>
      </c>
      <c r="C3200" s="1" t="n">
        <v>12</v>
      </c>
      <c r="D3200" s="1" t="s">
        <v>53</v>
      </c>
      <c r="E3200" s="1" t="s">
        <v>2</v>
      </c>
      <c r="F3200" s="1" t="n">
        <v>5.22</v>
      </c>
      <c r="G3200" s="1" t="n">
        <f aca="false">IF(E3200=E3199,F3200/F3199-1,"")</f>
        <v>-0.0628366247755836</v>
      </c>
    </row>
    <row r="3201" customFormat="false" ht="14.25" hidden="false" customHeight="true" outlineLevel="0" collapsed="false">
      <c r="A3201" s="26" t="n">
        <v>32874</v>
      </c>
      <c r="B3201" s="1" t="n">
        <v>1990</v>
      </c>
      <c r="C3201" s="1" t="n">
        <v>1</v>
      </c>
      <c r="D3201" s="1" t="s">
        <v>42</v>
      </c>
      <c r="E3201" s="1" t="s">
        <v>2</v>
      </c>
      <c r="F3201" s="1" t="n">
        <v>5.21</v>
      </c>
      <c r="G3201" s="1" t="n">
        <f aca="false">IF(E3201=E3200,F3201/F3200-1,"")</f>
        <v>-0.00191570881226044</v>
      </c>
    </row>
    <row r="3202" customFormat="false" ht="14.25" hidden="false" customHeight="true" outlineLevel="0" collapsed="false">
      <c r="A3202" s="26" t="n">
        <v>32905</v>
      </c>
      <c r="B3202" s="1" t="n">
        <v>1990</v>
      </c>
      <c r="C3202" s="1" t="n">
        <v>2</v>
      </c>
      <c r="D3202" s="1" t="s">
        <v>43</v>
      </c>
      <c r="E3202" s="1" t="s">
        <v>2</v>
      </c>
      <c r="F3202" s="1" t="n">
        <v>5.12</v>
      </c>
      <c r="G3202" s="1" t="n">
        <f aca="false">IF(E3202=E3201,F3202/F3201-1,"")</f>
        <v>-0.0172744721689059</v>
      </c>
    </row>
    <row r="3203" customFormat="false" ht="14.25" hidden="false" customHeight="true" outlineLevel="0" collapsed="false">
      <c r="A3203" s="26" t="n">
        <v>32933</v>
      </c>
      <c r="B3203" s="1" t="n">
        <v>1990</v>
      </c>
      <c r="C3203" s="1" t="n">
        <v>3</v>
      </c>
      <c r="D3203" s="1" t="s">
        <v>44</v>
      </c>
      <c r="E3203" s="1" t="s">
        <v>2</v>
      </c>
      <c r="F3203" s="1" t="n">
        <v>4.97</v>
      </c>
      <c r="G3203" s="1" t="n">
        <f aca="false">IF(E3203=E3202,F3203/F3202-1,"")</f>
        <v>-0.0292968750000001</v>
      </c>
    </row>
    <row r="3204" customFormat="false" ht="14.25" hidden="false" customHeight="true" outlineLevel="0" collapsed="false">
      <c r="A3204" s="26" t="n">
        <v>32964</v>
      </c>
      <c r="B3204" s="1" t="n">
        <v>1990</v>
      </c>
      <c r="C3204" s="1" t="n">
        <v>4</v>
      </c>
      <c r="D3204" s="1" t="s">
        <v>45</v>
      </c>
      <c r="E3204" s="1" t="s">
        <v>2</v>
      </c>
      <c r="F3204" s="1" t="n">
        <v>4.94</v>
      </c>
      <c r="G3204" s="1" t="n">
        <f aca="false">IF(E3204=E3203,F3204/F3203-1,"")</f>
        <v>-0.00603621730382276</v>
      </c>
    </row>
    <row r="3205" customFormat="false" ht="14.25" hidden="false" customHeight="true" outlineLevel="0" collapsed="false">
      <c r="A3205" s="26" t="n">
        <v>32994</v>
      </c>
      <c r="B3205" s="1" t="n">
        <v>1990</v>
      </c>
      <c r="C3205" s="1" t="n">
        <v>5</v>
      </c>
      <c r="D3205" s="1" t="s">
        <v>46</v>
      </c>
      <c r="E3205" s="1" t="s">
        <v>2</v>
      </c>
      <c r="F3205" s="1" t="n">
        <v>5.07</v>
      </c>
      <c r="G3205" s="1" t="n">
        <f aca="false">IF(E3205=E3204,F3205/F3204-1,"")</f>
        <v>0.0263157894736843</v>
      </c>
    </row>
    <row r="3206" customFormat="false" ht="14.25" hidden="false" customHeight="true" outlineLevel="0" collapsed="false">
      <c r="A3206" s="26" t="n">
        <v>33025</v>
      </c>
      <c r="B3206" s="1" t="n">
        <v>1990</v>
      </c>
      <c r="C3206" s="1" t="n">
        <v>6</v>
      </c>
      <c r="D3206" s="1" t="s">
        <v>47</v>
      </c>
      <c r="E3206" s="1" t="s">
        <v>2</v>
      </c>
      <c r="F3206" s="1" t="n">
        <v>4.84</v>
      </c>
      <c r="G3206" s="1" t="n">
        <f aca="false">IF(E3206=E3205,F3206/F3205-1,"")</f>
        <v>-0.0453648915187378</v>
      </c>
    </row>
    <row r="3207" customFormat="false" ht="14.25" hidden="false" customHeight="true" outlineLevel="0" collapsed="false">
      <c r="A3207" s="26" t="n">
        <v>33055</v>
      </c>
      <c r="B3207" s="1" t="n">
        <v>1990</v>
      </c>
      <c r="C3207" s="1" t="n">
        <v>7</v>
      </c>
      <c r="D3207" s="1" t="s">
        <v>48</v>
      </c>
      <c r="E3207" s="1" t="s">
        <v>2</v>
      </c>
      <c r="F3207" s="1" t="n">
        <v>4.86</v>
      </c>
      <c r="G3207" s="1" t="n">
        <f aca="false">IF(E3207=E3206,F3207/F3206-1,"")</f>
        <v>0.00413223140495878</v>
      </c>
    </row>
    <row r="3208" customFormat="false" ht="14.25" hidden="false" customHeight="true" outlineLevel="0" collapsed="false">
      <c r="A3208" s="26" t="n">
        <v>33086</v>
      </c>
      <c r="B3208" s="1" t="n">
        <v>1990</v>
      </c>
      <c r="C3208" s="1" t="n">
        <v>8</v>
      </c>
      <c r="D3208" s="1" t="s">
        <v>49</v>
      </c>
      <c r="E3208" s="1" t="s">
        <v>2</v>
      </c>
      <c r="F3208" s="1" t="n">
        <v>4.83</v>
      </c>
      <c r="G3208" s="1" t="n">
        <f aca="false">IF(E3208=E3207,F3208/F3207-1,"")</f>
        <v>-0.00617283950617287</v>
      </c>
    </row>
    <row r="3209" customFormat="false" ht="14.25" hidden="false" customHeight="true" outlineLevel="0" collapsed="false">
      <c r="A3209" s="26" t="n">
        <v>33117</v>
      </c>
      <c r="B3209" s="1" t="n">
        <v>1990</v>
      </c>
      <c r="C3209" s="1" t="n">
        <v>9</v>
      </c>
      <c r="D3209" s="1" t="s">
        <v>50</v>
      </c>
      <c r="E3209" s="1" t="s">
        <v>2</v>
      </c>
      <c r="F3209" s="1" t="n">
        <v>4.8</v>
      </c>
      <c r="G3209" s="1" t="n">
        <f aca="false">IF(E3209=E3208,F3209/F3208-1,"")</f>
        <v>-0.00621118012422361</v>
      </c>
    </row>
    <row r="3210" customFormat="false" ht="14.25" hidden="false" customHeight="true" outlineLevel="0" collapsed="false">
      <c r="A3210" s="26" t="n">
        <v>33147</v>
      </c>
      <c r="B3210" s="1" t="n">
        <v>1990</v>
      </c>
      <c r="C3210" s="1" t="n">
        <v>10</v>
      </c>
      <c r="D3210" s="1" t="s">
        <v>51</v>
      </c>
      <c r="E3210" s="1" t="s">
        <v>2</v>
      </c>
      <c r="F3210" s="1" t="n">
        <v>4.22</v>
      </c>
      <c r="G3210" s="1" t="n">
        <f aca="false">IF(E3210=E3209,F3210/F3209-1,"")</f>
        <v>-0.120833333333333</v>
      </c>
    </row>
    <row r="3211" customFormat="false" ht="14.25" hidden="false" customHeight="true" outlineLevel="0" collapsed="false">
      <c r="A3211" s="26" t="n">
        <v>33178</v>
      </c>
      <c r="B3211" s="1" t="n">
        <v>1990</v>
      </c>
      <c r="C3211" s="1" t="n">
        <v>11</v>
      </c>
      <c r="D3211" s="1" t="s">
        <v>52</v>
      </c>
      <c r="E3211" s="1" t="s">
        <v>2</v>
      </c>
      <c r="F3211" s="1" t="n">
        <v>4.09</v>
      </c>
      <c r="G3211" s="1" t="n">
        <f aca="false">IF(E3211=E3210,F3211/F3210-1,"")</f>
        <v>-0.0308056872037914</v>
      </c>
    </row>
    <row r="3212" customFormat="false" ht="14.25" hidden="false" customHeight="true" outlineLevel="0" collapsed="false">
      <c r="A3212" s="26" t="n">
        <v>33208</v>
      </c>
      <c r="B3212" s="1" t="n">
        <v>1990</v>
      </c>
      <c r="C3212" s="1" t="n">
        <v>12</v>
      </c>
      <c r="D3212" s="1" t="s">
        <v>53</v>
      </c>
      <c r="E3212" s="1" t="s">
        <v>2</v>
      </c>
      <c r="F3212" s="1" t="n">
        <v>4.19</v>
      </c>
      <c r="G3212" s="1" t="n">
        <f aca="false">IF(E3212=E3211,F3212/F3211-1,"")</f>
        <v>0.0244498777506115</v>
      </c>
    </row>
    <row r="3213" customFormat="false" ht="14.25" hidden="false" customHeight="true" outlineLevel="0" collapsed="false">
      <c r="A3213" s="26" t="n">
        <v>33239</v>
      </c>
      <c r="B3213" s="1" t="n">
        <v>1991</v>
      </c>
      <c r="C3213" s="1" t="n">
        <v>1</v>
      </c>
      <c r="D3213" s="1" t="s">
        <v>42</v>
      </c>
      <c r="E3213" s="1" t="s">
        <v>2</v>
      </c>
      <c r="F3213" s="1" t="n">
        <v>3.83</v>
      </c>
      <c r="G3213" s="1" t="n">
        <f aca="false">IF(E3213=E3212,F3213/F3212-1,"")</f>
        <v>-0.0859188544152746</v>
      </c>
    </row>
    <row r="3214" customFormat="false" ht="14.25" hidden="false" customHeight="true" outlineLevel="0" collapsed="false">
      <c r="A3214" s="26" t="n">
        <v>33270</v>
      </c>
      <c r="B3214" s="1" t="n">
        <v>1991</v>
      </c>
      <c r="C3214" s="1" t="n">
        <v>2</v>
      </c>
      <c r="D3214" s="1" t="s">
        <v>43</v>
      </c>
      <c r="E3214" s="1" t="s">
        <v>2</v>
      </c>
      <c r="F3214" s="1" t="n">
        <v>3.68</v>
      </c>
      <c r="G3214" s="1" t="n">
        <f aca="false">IF(E3214=E3213,F3214/F3213-1,"")</f>
        <v>-0.0391644908616188</v>
      </c>
    </row>
    <row r="3215" customFormat="false" ht="14.25" hidden="false" customHeight="true" outlineLevel="0" collapsed="false">
      <c r="A3215" s="26" t="n">
        <v>33298</v>
      </c>
      <c r="B3215" s="1" t="n">
        <v>1991</v>
      </c>
      <c r="C3215" s="1" t="n">
        <v>3</v>
      </c>
      <c r="D3215" s="1" t="s">
        <v>44</v>
      </c>
      <c r="E3215" s="1" t="s">
        <v>2</v>
      </c>
      <c r="F3215" s="1" t="n">
        <v>3.84</v>
      </c>
      <c r="G3215" s="1" t="n">
        <f aca="false">IF(E3215=E3214,F3215/F3214-1,"")</f>
        <v>0.0434782608695652</v>
      </c>
    </row>
    <row r="3216" customFormat="false" ht="14.25" hidden="false" customHeight="true" outlineLevel="0" collapsed="false">
      <c r="A3216" s="26" t="n">
        <v>33329</v>
      </c>
      <c r="B3216" s="1" t="n">
        <v>1991</v>
      </c>
      <c r="C3216" s="1" t="n">
        <v>4</v>
      </c>
      <c r="D3216" s="1" t="s">
        <v>45</v>
      </c>
      <c r="E3216" s="1" t="s">
        <v>2</v>
      </c>
      <c r="F3216" s="1" t="n">
        <v>3.93</v>
      </c>
      <c r="G3216" s="1" t="n">
        <f aca="false">IF(E3216=E3215,F3216/F3215-1,"")</f>
        <v>0.0234375</v>
      </c>
    </row>
    <row r="3217" customFormat="false" ht="14.25" hidden="false" customHeight="true" outlineLevel="0" collapsed="false">
      <c r="A3217" s="26" t="n">
        <v>33359</v>
      </c>
      <c r="B3217" s="1" t="n">
        <v>1991</v>
      </c>
      <c r="C3217" s="1" t="n">
        <v>5</v>
      </c>
      <c r="D3217" s="1" t="s">
        <v>46</v>
      </c>
      <c r="E3217" s="1" t="s">
        <v>2</v>
      </c>
      <c r="F3217" s="1" t="n">
        <v>4.13</v>
      </c>
      <c r="G3217" s="1" t="n">
        <f aca="false">IF(E3217=E3216,F3217/F3216-1,"")</f>
        <v>0.0508905852417303</v>
      </c>
    </row>
    <row r="3218" customFormat="false" ht="14.25" hidden="false" customHeight="true" outlineLevel="0" collapsed="false">
      <c r="A3218" s="26" t="n">
        <v>33390</v>
      </c>
      <c r="B3218" s="1" t="n">
        <v>1991</v>
      </c>
      <c r="C3218" s="1" t="n">
        <v>6</v>
      </c>
      <c r="D3218" s="1" t="s">
        <v>47</v>
      </c>
      <c r="E3218" s="1" t="s">
        <v>2</v>
      </c>
      <c r="F3218" s="1" t="n">
        <v>4.45</v>
      </c>
      <c r="G3218" s="1" t="n">
        <f aca="false">IF(E3218=E3217,F3218/F3217-1,"")</f>
        <v>0.0774818401937047</v>
      </c>
    </row>
    <row r="3219" customFormat="false" ht="14.25" hidden="false" customHeight="true" outlineLevel="0" collapsed="false">
      <c r="A3219" s="26" t="n">
        <v>33420</v>
      </c>
      <c r="B3219" s="1" t="n">
        <v>1991</v>
      </c>
      <c r="C3219" s="1" t="n">
        <v>7</v>
      </c>
      <c r="D3219" s="1" t="s">
        <v>48</v>
      </c>
      <c r="E3219" s="1" t="s">
        <v>2</v>
      </c>
      <c r="F3219" s="1" t="n">
        <v>4.07</v>
      </c>
      <c r="G3219" s="1" t="n">
        <f aca="false">IF(E3219=E3218,F3219/F3218-1,"")</f>
        <v>-0.0853932584269662</v>
      </c>
    </row>
    <row r="3220" customFormat="false" ht="14.25" hidden="false" customHeight="true" outlineLevel="0" collapsed="false">
      <c r="A3220" s="26" t="n">
        <v>33451</v>
      </c>
      <c r="B3220" s="1" t="n">
        <v>1991</v>
      </c>
      <c r="C3220" s="1" t="n">
        <v>8</v>
      </c>
      <c r="D3220" s="1" t="s">
        <v>49</v>
      </c>
      <c r="E3220" s="1" t="s">
        <v>2</v>
      </c>
      <c r="F3220" s="1" t="n">
        <v>3.82</v>
      </c>
      <c r="G3220" s="1" t="n">
        <f aca="false">IF(E3220=E3219,F3220/F3219-1,"")</f>
        <v>-0.0614250614250615</v>
      </c>
    </row>
    <row r="3221" customFormat="false" ht="14.25" hidden="false" customHeight="true" outlineLevel="0" collapsed="false">
      <c r="A3221" s="26" t="n">
        <v>33482</v>
      </c>
      <c r="B3221" s="1" t="n">
        <v>1991</v>
      </c>
      <c r="C3221" s="1" t="n">
        <v>9</v>
      </c>
      <c r="D3221" s="1" t="s">
        <v>50</v>
      </c>
      <c r="E3221" s="1" t="s">
        <v>2</v>
      </c>
      <c r="F3221" s="1" t="n">
        <v>4.14</v>
      </c>
      <c r="G3221" s="1" t="n">
        <f aca="false">IF(E3221=E3220,F3221/F3220-1,"")</f>
        <v>0.0837696335078533</v>
      </c>
    </row>
    <row r="3222" customFormat="false" ht="14.25" hidden="false" customHeight="true" outlineLevel="0" collapsed="false">
      <c r="A3222" s="26" t="n">
        <v>33512</v>
      </c>
      <c r="B3222" s="1" t="n">
        <v>1991</v>
      </c>
      <c r="C3222" s="1" t="n">
        <v>10</v>
      </c>
      <c r="D3222" s="1" t="s">
        <v>51</v>
      </c>
      <c r="E3222" s="1" t="s">
        <v>2</v>
      </c>
      <c r="F3222" s="1" t="n">
        <v>4.09</v>
      </c>
      <c r="G3222" s="1" t="n">
        <f aca="false">IF(E3222=E3221,F3222/F3221-1,"")</f>
        <v>-0.0120772946859903</v>
      </c>
    </row>
    <row r="3223" customFormat="false" ht="14.25" hidden="false" customHeight="true" outlineLevel="0" collapsed="false">
      <c r="A3223" s="26" t="n">
        <v>33543</v>
      </c>
      <c r="B3223" s="1" t="n">
        <v>1991</v>
      </c>
      <c r="C3223" s="1" t="n">
        <v>11</v>
      </c>
      <c r="D3223" s="1" t="s">
        <v>52</v>
      </c>
      <c r="E3223" s="1" t="s">
        <v>2</v>
      </c>
      <c r="F3223" s="1" t="n">
        <v>4.07</v>
      </c>
      <c r="G3223" s="1" t="n">
        <f aca="false">IF(E3223=E3222,F3223/F3222-1,"")</f>
        <v>-0.00488997555012216</v>
      </c>
    </row>
    <row r="3224" customFormat="false" ht="14.25" hidden="false" customHeight="true" outlineLevel="0" collapsed="false">
      <c r="A3224" s="26" t="n">
        <v>33573</v>
      </c>
      <c r="B3224" s="1" t="n">
        <v>1991</v>
      </c>
      <c r="C3224" s="1" t="n">
        <v>12</v>
      </c>
      <c r="D3224" s="1" t="s">
        <v>53</v>
      </c>
      <c r="E3224" s="1" t="s">
        <v>2</v>
      </c>
      <c r="F3224" s="1" t="n">
        <v>3.86</v>
      </c>
      <c r="G3224" s="1" t="n">
        <f aca="false">IF(E3224=E3223,F3224/F3223-1,"")</f>
        <v>-0.0515970515970517</v>
      </c>
    </row>
    <row r="3225" customFormat="false" ht="14.25" hidden="false" customHeight="true" outlineLevel="0" collapsed="false">
      <c r="A3225" s="26" t="n">
        <v>33604</v>
      </c>
      <c r="B3225" s="1" t="n">
        <v>1992</v>
      </c>
      <c r="C3225" s="1" t="n">
        <v>1</v>
      </c>
      <c r="D3225" s="1" t="s">
        <v>42</v>
      </c>
      <c r="E3225" s="1" t="s">
        <v>2</v>
      </c>
      <c r="F3225" s="1" t="n">
        <v>4.13</v>
      </c>
      <c r="G3225" s="1" t="n">
        <f aca="false">IF(E3225=E3224,F3225/F3224-1,"")</f>
        <v>0.0699481865284974</v>
      </c>
    </row>
    <row r="3226" customFormat="false" ht="14.25" hidden="false" customHeight="true" outlineLevel="0" collapsed="false">
      <c r="A3226" s="26" t="n">
        <v>33635</v>
      </c>
      <c r="B3226" s="1" t="n">
        <v>1992</v>
      </c>
      <c r="C3226" s="1" t="n">
        <v>2</v>
      </c>
      <c r="D3226" s="1" t="s">
        <v>43</v>
      </c>
      <c r="E3226" s="1" t="s">
        <v>2</v>
      </c>
      <c r="F3226" s="1" t="n">
        <v>4.12</v>
      </c>
      <c r="G3226" s="1" t="n">
        <f aca="false">IF(E3226=E3225,F3226/F3225-1,"")</f>
        <v>-0.00242130750605318</v>
      </c>
    </row>
    <row r="3227" customFormat="false" ht="14.25" hidden="false" customHeight="true" outlineLevel="0" collapsed="false">
      <c r="A3227" s="26" t="n">
        <v>33664</v>
      </c>
      <c r="B3227" s="1" t="n">
        <v>1992</v>
      </c>
      <c r="C3227" s="1" t="n">
        <v>3</v>
      </c>
      <c r="D3227" s="1" t="s">
        <v>44</v>
      </c>
      <c r="E3227" s="1" t="s">
        <v>2</v>
      </c>
      <c r="F3227" s="1" t="n">
        <v>4.12</v>
      </c>
      <c r="G3227" s="1" t="n">
        <f aca="false">IF(E3227=E3226,F3227/F3226-1,"")</f>
        <v>0</v>
      </c>
    </row>
    <row r="3228" customFormat="false" ht="14.25" hidden="false" customHeight="true" outlineLevel="0" collapsed="false">
      <c r="A3228" s="26" t="n">
        <v>33695</v>
      </c>
      <c r="B3228" s="1" t="n">
        <v>1992</v>
      </c>
      <c r="C3228" s="1" t="n">
        <v>4</v>
      </c>
      <c r="D3228" s="1" t="s">
        <v>45</v>
      </c>
      <c r="E3228" s="1" t="s">
        <v>2</v>
      </c>
      <c r="F3228" s="1" t="n">
        <v>3.98</v>
      </c>
      <c r="G3228" s="1" t="n">
        <f aca="false">IF(E3228=E3227,F3228/F3227-1,"")</f>
        <v>-0.0339805825242718</v>
      </c>
    </row>
    <row r="3229" customFormat="false" ht="14.25" hidden="false" customHeight="true" outlineLevel="0" collapsed="false">
      <c r="A3229" s="26" t="n">
        <v>33725</v>
      </c>
      <c r="B3229" s="1" t="n">
        <v>1992</v>
      </c>
      <c r="C3229" s="1" t="n">
        <v>5</v>
      </c>
      <c r="D3229" s="1" t="s">
        <v>46</v>
      </c>
      <c r="E3229" s="1" t="s">
        <v>2</v>
      </c>
      <c r="F3229" s="1" t="n">
        <v>4.06</v>
      </c>
      <c r="G3229" s="1" t="n">
        <f aca="false">IF(E3229=E3228,F3229/F3228-1,"")</f>
        <v>0.0201005025125627</v>
      </c>
    </row>
    <row r="3230" customFormat="false" ht="14.25" hidden="false" customHeight="true" outlineLevel="0" collapsed="false">
      <c r="A3230" s="26" t="n">
        <v>33756</v>
      </c>
      <c r="B3230" s="1" t="n">
        <v>1992</v>
      </c>
      <c r="C3230" s="1" t="n">
        <v>6</v>
      </c>
      <c r="D3230" s="1" t="s">
        <v>47</v>
      </c>
      <c r="E3230" s="1" t="s">
        <v>2</v>
      </c>
      <c r="F3230" s="1" t="n">
        <v>4.03</v>
      </c>
      <c r="G3230" s="1" t="n">
        <f aca="false">IF(E3230=E3229,F3230/F3229-1,"")</f>
        <v>-0.00738916256157618</v>
      </c>
    </row>
    <row r="3231" customFormat="false" ht="14.25" hidden="false" customHeight="true" outlineLevel="0" collapsed="false">
      <c r="A3231" s="26" t="n">
        <v>33786</v>
      </c>
      <c r="B3231" s="1" t="n">
        <v>1992</v>
      </c>
      <c r="C3231" s="1" t="n">
        <v>7</v>
      </c>
      <c r="D3231" s="1" t="s">
        <v>48</v>
      </c>
      <c r="E3231" s="1" t="s">
        <v>2</v>
      </c>
      <c r="F3231" s="1" t="n">
        <v>3.95</v>
      </c>
      <c r="G3231" s="1" t="n">
        <f aca="false">IF(E3231=E3230,F3231/F3230-1,"")</f>
        <v>-0.0198511166253101</v>
      </c>
    </row>
    <row r="3232" customFormat="false" ht="14.25" hidden="false" customHeight="true" outlineLevel="0" collapsed="false">
      <c r="A3232" s="26" t="n">
        <v>33817</v>
      </c>
      <c r="B3232" s="1" t="n">
        <v>1992</v>
      </c>
      <c r="C3232" s="1" t="n">
        <v>8</v>
      </c>
      <c r="D3232" s="1" t="s">
        <v>49</v>
      </c>
      <c r="E3232" s="1" t="s">
        <v>2</v>
      </c>
      <c r="F3232" s="1" t="n">
        <v>3.72</v>
      </c>
      <c r="G3232" s="1" t="n">
        <f aca="false">IF(E3232=E3231,F3232/F3231-1,"")</f>
        <v>-0.0582278481012658</v>
      </c>
    </row>
    <row r="3233" customFormat="false" ht="14.25" hidden="false" customHeight="true" outlineLevel="0" collapsed="false">
      <c r="A3233" s="26" t="n">
        <v>33848</v>
      </c>
      <c r="B3233" s="1" t="n">
        <v>1992</v>
      </c>
      <c r="C3233" s="1" t="n">
        <v>9</v>
      </c>
      <c r="D3233" s="1" t="s">
        <v>50</v>
      </c>
      <c r="E3233" s="1" t="s">
        <v>2</v>
      </c>
      <c r="F3233" s="1" t="n">
        <v>3.77</v>
      </c>
      <c r="G3233" s="1" t="n">
        <f aca="false">IF(E3233=E3232,F3233/F3232-1,"")</f>
        <v>0.0134408602150538</v>
      </c>
    </row>
    <row r="3234" customFormat="false" ht="14.25" hidden="false" customHeight="true" outlineLevel="0" collapsed="false">
      <c r="A3234" s="26" t="n">
        <v>33878</v>
      </c>
      <c r="B3234" s="1" t="n">
        <v>1992</v>
      </c>
      <c r="C3234" s="1" t="n">
        <v>10</v>
      </c>
      <c r="D3234" s="1" t="s">
        <v>51</v>
      </c>
      <c r="E3234" s="1" t="s">
        <v>2</v>
      </c>
      <c r="F3234" s="1" t="n">
        <v>3.76</v>
      </c>
      <c r="G3234" s="1" t="n">
        <f aca="false">IF(E3234=E3233,F3234/F3233-1,"")</f>
        <v>-0.00265251989389925</v>
      </c>
    </row>
    <row r="3235" customFormat="false" ht="14.25" hidden="false" customHeight="true" outlineLevel="0" collapsed="false">
      <c r="A3235" s="26" t="n">
        <v>33909</v>
      </c>
      <c r="B3235" s="1" t="n">
        <v>1992</v>
      </c>
      <c r="C3235" s="1" t="n">
        <v>11</v>
      </c>
      <c r="D3235" s="1" t="s">
        <v>52</v>
      </c>
      <c r="E3235" s="1" t="s">
        <v>2</v>
      </c>
      <c r="F3235" s="1" t="n">
        <v>3.73</v>
      </c>
      <c r="G3235" s="1" t="n">
        <f aca="false">IF(E3235=E3234,F3235/F3234-1,"")</f>
        <v>-0.00797872340425532</v>
      </c>
    </row>
    <row r="3236" customFormat="false" ht="14.25" hidden="false" customHeight="true" outlineLevel="0" collapsed="false">
      <c r="A3236" s="26" t="n">
        <v>33939</v>
      </c>
      <c r="B3236" s="1" t="n">
        <v>1992</v>
      </c>
      <c r="C3236" s="1" t="n">
        <v>12</v>
      </c>
      <c r="D3236" s="1" t="s">
        <v>53</v>
      </c>
      <c r="E3236" s="1" t="s">
        <v>2</v>
      </c>
      <c r="F3236" s="1" t="n">
        <v>3.67</v>
      </c>
      <c r="G3236" s="1" t="n">
        <f aca="false">IF(E3236=E3235,F3236/F3235-1,"")</f>
        <v>-0.0160857908847185</v>
      </c>
    </row>
    <row r="3237" customFormat="false" ht="14.25" hidden="false" customHeight="true" outlineLevel="0" collapsed="false">
      <c r="A3237" s="26" t="n">
        <v>33970</v>
      </c>
      <c r="B3237" s="1" t="n">
        <v>1993</v>
      </c>
      <c r="C3237" s="1" t="n">
        <v>1</v>
      </c>
      <c r="D3237" s="1" t="s">
        <v>42</v>
      </c>
      <c r="E3237" s="1" t="s">
        <v>2</v>
      </c>
      <c r="F3237" s="1" t="n">
        <v>3.71</v>
      </c>
      <c r="G3237" s="1" t="n">
        <f aca="false">IF(E3237=E3236,F3237/F3236-1,"")</f>
        <v>0.0108991825613078</v>
      </c>
    </row>
    <row r="3238" customFormat="false" ht="14.25" hidden="false" customHeight="true" outlineLevel="0" collapsed="false">
      <c r="A3238" s="26" t="n">
        <v>34001</v>
      </c>
      <c r="B3238" s="1" t="n">
        <v>1993</v>
      </c>
      <c r="C3238" s="1" t="n">
        <v>2</v>
      </c>
      <c r="D3238" s="1" t="s">
        <v>43</v>
      </c>
      <c r="E3238" s="1" t="s">
        <v>2</v>
      </c>
      <c r="F3238" s="1" t="n">
        <v>3.57</v>
      </c>
      <c r="G3238" s="1" t="n">
        <f aca="false">IF(E3238=E3237,F3238/F3237-1,"")</f>
        <v>-0.0377358490566038</v>
      </c>
    </row>
    <row r="3239" customFormat="false" ht="14.25" hidden="false" customHeight="true" outlineLevel="0" collapsed="false">
      <c r="A3239" s="26" t="n">
        <v>34029</v>
      </c>
      <c r="B3239" s="1" t="n">
        <v>1993</v>
      </c>
      <c r="C3239" s="1" t="n">
        <v>3</v>
      </c>
      <c r="D3239" s="1" t="s">
        <v>44</v>
      </c>
      <c r="E3239" s="1" t="s">
        <v>2</v>
      </c>
      <c r="F3239" s="1" t="n">
        <v>3.89</v>
      </c>
      <c r="G3239" s="1" t="n">
        <f aca="false">IF(E3239=E3238,F3239/F3238-1,"")</f>
        <v>0.0896358543417368</v>
      </c>
    </row>
    <row r="3240" customFormat="false" ht="14.25" hidden="false" customHeight="true" outlineLevel="0" collapsed="false">
      <c r="A3240" s="26" t="n">
        <v>34060</v>
      </c>
      <c r="B3240" s="1" t="n">
        <v>1993</v>
      </c>
      <c r="C3240" s="1" t="n">
        <v>4</v>
      </c>
      <c r="D3240" s="1" t="s">
        <v>45</v>
      </c>
      <c r="E3240" s="1" t="s">
        <v>2</v>
      </c>
      <c r="F3240" s="1" t="n">
        <v>4.3</v>
      </c>
      <c r="G3240" s="1" t="n">
        <f aca="false">IF(E3240=E3239,F3240/F3239-1,"")</f>
        <v>0.105398457583547</v>
      </c>
    </row>
    <row r="3241" customFormat="false" ht="14.25" hidden="false" customHeight="true" outlineLevel="0" collapsed="false">
      <c r="A3241" s="26" t="n">
        <v>34090</v>
      </c>
      <c r="B3241" s="1" t="n">
        <v>1993</v>
      </c>
      <c r="C3241" s="1" t="n">
        <v>5</v>
      </c>
      <c r="D3241" s="1" t="s">
        <v>46</v>
      </c>
      <c r="E3241" s="1" t="s">
        <v>2</v>
      </c>
      <c r="F3241" s="1" t="n">
        <v>4.71</v>
      </c>
      <c r="G3241" s="1" t="n">
        <f aca="false">IF(E3241=E3240,F3241/F3240-1,"")</f>
        <v>0.0953488372093023</v>
      </c>
    </row>
    <row r="3242" customFormat="false" ht="14.25" hidden="false" customHeight="true" outlineLevel="0" collapsed="false">
      <c r="A3242" s="26" t="n">
        <v>34121</v>
      </c>
      <c r="B3242" s="1" t="n">
        <v>1993</v>
      </c>
      <c r="C3242" s="1" t="n">
        <v>6</v>
      </c>
      <c r="D3242" s="1" t="s">
        <v>47</v>
      </c>
      <c r="E3242" s="1" t="s">
        <v>2</v>
      </c>
      <c r="F3242" s="1" t="n">
        <v>4.58</v>
      </c>
      <c r="G3242" s="1" t="n">
        <f aca="false">IF(E3242=E3241,F3242/F3241-1,"")</f>
        <v>-0.0276008492569002</v>
      </c>
    </row>
    <row r="3243" customFormat="false" ht="14.25" hidden="false" customHeight="true" outlineLevel="0" collapsed="false">
      <c r="A3243" s="26" t="n">
        <v>34151</v>
      </c>
      <c r="B3243" s="1" t="n">
        <v>1993</v>
      </c>
      <c r="C3243" s="1" t="n">
        <v>7</v>
      </c>
      <c r="D3243" s="1" t="s">
        <v>48</v>
      </c>
      <c r="E3243" s="1" t="s">
        <v>2</v>
      </c>
      <c r="F3243" s="1" t="n">
        <v>5.3</v>
      </c>
      <c r="G3243" s="1" t="n">
        <f aca="false">IF(E3243=E3242,F3243/F3242-1,"")</f>
        <v>0.157205240174672</v>
      </c>
    </row>
    <row r="3244" customFormat="false" ht="14.25" hidden="false" customHeight="true" outlineLevel="0" collapsed="false">
      <c r="A3244" s="26" t="n">
        <v>34182</v>
      </c>
      <c r="B3244" s="1" t="n">
        <v>1993</v>
      </c>
      <c r="C3244" s="1" t="n">
        <v>8</v>
      </c>
      <c r="D3244" s="1" t="s">
        <v>49</v>
      </c>
      <c r="E3244" s="1" t="s">
        <v>2</v>
      </c>
      <c r="F3244" s="1" t="n">
        <v>4.84</v>
      </c>
      <c r="G3244" s="1" t="n">
        <f aca="false">IF(E3244=E3243,F3244/F3243-1,"")</f>
        <v>-0.0867924528301887</v>
      </c>
    </row>
    <row r="3245" customFormat="false" ht="14.25" hidden="false" customHeight="true" outlineLevel="0" collapsed="false">
      <c r="A3245" s="26" t="n">
        <v>34213</v>
      </c>
      <c r="B3245" s="1" t="n">
        <v>1993</v>
      </c>
      <c r="C3245" s="1" t="n">
        <v>9</v>
      </c>
      <c r="D3245" s="1" t="s">
        <v>50</v>
      </c>
      <c r="E3245" s="1" t="s">
        <v>2</v>
      </c>
      <c r="F3245" s="1" t="n">
        <v>4.03</v>
      </c>
      <c r="G3245" s="1" t="n">
        <f aca="false">IF(E3245=E3244,F3245/F3244-1,"")</f>
        <v>-0.167355371900826</v>
      </c>
    </row>
    <row r="3246" customFormat="false" ht="14.25" hidden="false" customHeight="true" outlineLevel="0" collapsed="false">
      <c r="A3246" s="26" t="n">
        <v>34243</v>
      </c>
      <c r="B3246" s="1" t="n">
        <v>1993</v>
      </c>
      <c r="C3246" s="1" t="n">
        <v>10</v>
      </c>
      <c r="D3246" s="1" t="s">
        <v>51</v>
      </c>
      <c r="E3246" s="1" t="s">
        <v>2</v>
      </c>
      <c r="F3246" s="1" t="n">
        <v>4.4</v>
      </c>
      <c r="G3246" s="1" t="n">
        <f aca="false">IF(E3246=E3245,F3246/F3245-1,"")</f>
        <v>0.0918114143920596</v>
      </c>
    </row>
    <row r="3247" customFormat="false" ht="14.25" hidden="false" customHeight="true" outlineLevel="0" collapsed="false">
      <c r="A3247" s="26" t="n">
        <v>34274</v>
      </c>
      <c r="B3247" s="1" t="n">
        <v>1993</v>
      </c>
      <c r="C3247" s="1" t="n">
        <v>11</v>
      </c>
      <c r="D3247" s="1" t="s">
        <v>52</v>
      </c>
      <c r="E3247" s="1" t="s">
        <v>2</v>
      </c>
      <c r="F3247" s="1" t="n">
        <v>4.47</v>
      </c>
      <c r="G3247" s="1" t="n">
        <f aca="false">IF(E3247=E3246,F3247/F3246-1,"")</f>
        <v>0.0159090909090909</v>
      </c>
    </row>
    <row r="3248" customFormat="false" ht="14.25" hidden="false" customHeight="true" outlineLevel="0" collapsed="false">
      <c r="A3248" s="26" t="n">
        <v>34304</v>
      </c>
      <c r="B3248" s="1" t="n">
        <v>1993</v>
      </c>
      <c r="C3248" s="1" t="n">
        <v>12</v>
      </c>
      <c r="D3248" s="1" t="s">
        <v>53</v>
      </c>
      <c r="E3248" s="1" t="s">
        <v>2</v>
      </c>
      <c r="F3248" s="1" t="n">
        <v>5.12</v>
      </c>
      <c r="G3248" s="1" t="n">
        <f aca="false">IF(E3248=E3247,F3248/F3247-1,"")</f>
        <v>0.145413870246085</v>
      </c>
    </row>
    <row r="3249" customFormat="false" ht="14.25" hidden="false" customHeight="true" outlineLevel="0" collapsed="false">
      <c r="A3249" s="26" t="n">
        <v>34335</v>
      </c>
      <c r="B3249" s="1" t="n">
        <v>1994</v>
      </c>
      <c r="C3249" s="1" t="n">
        <v>1</v>
      </c>
      <c r="D3249" s="1" t="s">
        <v>42</v>
      </c>
      <c r="E3249" s="1" t="s">
        <v>2</v>
      </c>
      <c r="F3249" s="1" t="n">
        <v>5.06</v>
      </c>
      <c r="G3249" s="1" t="n">
        <f aca="false">IF(E3249=E3248,F3249/F3248-1,"")</f>
        <v>-0.0117187500000001</v>
      </c>
    </row>
    <row r="3250" customFormat="false" ht="14.25" hidden="false" customHeight="true" outlineLevel="0" collapsed="false">
      <c r="A3250" s="26" t="n">
        <v>34366</v>
      </c>
      <c r="B3250" s="1" t="n">
        <v>1994</v>
      </c>
      <c r="C3250" s="1" t="n">
        <v>2</v>
      </c>
      <c r="D3250" s="1" t="s">
        <v>43</v>
      </c>
      <c r="E3250" s="1" t="s">
        <v>2</v>
      </c>
      <c r="F3250" s="1" t="n">
        <v>5.24</v>
      </c>
      <c r="G3250" s="1" t="n">
        <f aca="false">IF(E3250=E3249,F3250/F3249-1,"")</f>
        <v>0.0355731225296443</v>
      </c>
    </row>
    <row r="3251" customFormat="false" ht="14.25" hidden="false" customHeight="true" outlineLevel="0" collapsed="false">
      <c r="A3251" s="26" t="n">
        <v>34394</v>
      </c>
      <c r="B3251" s="1" t="n">
        <v>1994</v>
      </c>
      <c r="C3251" s="1" t="n">
        <v>3</v>
      </c>
      <c r="D3251" s="1" t="s">
        <v>44</v>
      </c>
      <c r="E3251" s="1" t="s">
        <v>2</v>
      </c>
      <c r="F3251" s="1" t="n">
        <v>5.74</v>
      </c>
      <c r="G3251" s="1" t="n">
        <f aca="false">IF(E3251=E3250,F3251/F3250-1,"")</f>
        <v>0.0954198473282444</v>
      </c>
    </row>
    <row r="3252" customFormat="false" ht="14.25" hidden="false" customHeight="true" outlineLevel="0" collapsed="false">
      <c r="A3252" s="26" t="n">
        <v>34425</v>
      </c>
      <c r="B3252" s="1" t="n">
        <v>1994</v>
      </c>
      <c r="C3252" s="1" t="n">
        <v>4</v>
      </c>
      <c r="D3252" s="1" t="s">
        <v>45</v>
      </c>
      <c r="E3252" s="1" t="s">
        <v>2</v>
      </c>
      <c r="F3252" s="1" t="n">
        <v>5.28</v>
      </c>
      <c r="G3252" s="1" t="n">
        <f aca="false">IF(E3252=E3251,F3252/F3251-1,"")</f>
        <v>-0.0801393728222997</v>
      </c>
    </row>
    <row r="3253" customFormat="false" ht="14.25" hidden="false" customHeight="true" outlineLevel="0" collapsed="false">
      <c r="A3253" s="26" t="n">
        <v>34455</v>
      </c>
      <c r="B3253" s="1" t="n">
        <v>1994</v>
      </c>
      <c r="C3253" s="1" t="n">
        <v>5</v>
      </c>
      <c r="D3253" s="1" t="s">
        <v>46</v>
      </c>
      <c r="E3253" s="1" t="s">
        <v>2</v>
      </c>
      <c r="F3253" s="1" t="n">
        <v>5.5</v>
      </c>
      <c r="G3253" s="1" t="n">
        <f aca="false">IF(E3253=E3252,F3253/F3252-1,"")</f>
        <v>0.0416666666666665</v>
      </c>
    </row>
    <row r="3254" customFormat="false" ht="14.25" hidden="false" customHeight="true" outlineLevel="0" collapsed="false">
      <c r="A3254" s="26" t="n">
        <v>34486</v>
      </c>
      <c r="B3254" s="1" t="n">
        <v>1994</v>
      </c>
      <c r="C3254" s="1" t="n">
        <v>6</v>
      </c>
      <c r="D3254" s="1" t="s">
        <v>47</v>
      </c>
      <c r="E3254" s="1" t="s">
        <v>2</v>
      </c>
      <c r="F3254" s="1" t="n">
        <v>5.25</v>
      </c>
      <c r="G3254" s="1" t="n">
        <f aca="false">IF(E3254=E3253,F3254/F3253-1,"")</f>
        <v>-0.0454545454545454</v>
      </c>
    </row>
    <row r="3255" customFormat="false" ht="14.25" hidden="false" customHeight="true" outlineLevel="0" collapsed="false">
      <c r="A3255" s="26" t="n">
        <v>34516</v>
      </c>
      <c r="B3255" s="1" t="n">
        <v>1994</v>
      </c>
      <c r="C3255" s="1" t="n">
        <v>7</v>
      </c>
      <c r="D3255" s="1" t="s">
        <v>48</v>
      </c>
      <c r="E3255" s="1" t="s">
        <v>2</v>
      </c>
      <c r="F3255" s="1" t="n">
        <v>5.29</v>
      </c>
      <c r="G3255" s="1" t="n">
        <f aca="false">IF(E3255=E3254,F3255/F3254-1,"")</f>
        <v>0.00761904761904764</v>
      </c>
    </row>
    <row r="3256" customFormat="false" ht="14.25" hidden="false" customHeight="true" outlineLevel="0" collapsed="false">
      <c r="A3256" s="26" t="n">
        <v>34547</v>
      </c>
      <c r="B3256" s="1" t="n">
        <v>1994</v>
      </c>
      <c r="C3256" s="1" t="n">
        <v>8</v>
      </c>
      <c r="D3256" s="1" t="s">
        <v>49</v>
      </c>
      <c r="E3256" s="1" t="s">
        <v>2</v>
      </c>
      <c r="F3256" s="1" t="n">
        <v>5.36</v>
      </c>
      <c r="G3256" s="1" t="n">
        <f aca="false">IF(E3256=E3255,F3256/F3255-1,"")</f>
        <v>0.0132325141776939</v>
      </c>
    </row>
    <row r="3257" customFormat="false" ht="14.25" hidden="false" customHeight="true" outlineLevel="0" collapsed="false">
      <c r="A3257" s="26" t="n">
        <v>34578</v>
      </c>
      <c r="B3257" s="1" t="n">
        <v>1994</v>
      </c>
      <c r="C3257" s="1" t="n">
        <v>9</v>
      </c>
      <c r="D3257" s="1" t="s">
        <v>50</v>
      </c>
      <c r="E3257" s="1" t="s">
        <v>2</v>
      </c>
      <c r="F3257" s="1" t="n">
        <v>5.62</v>
      </c>
      <c r="G3257" s="1" t="n">
        <f aca="false">IF(E3257=E3256,F3257/F3256-1,"")</f>
        <v>0.0485074626865671</v>
      </c>
    </row>
    <row r="3258" customFormat="false" ht="14.25" hidden="false" customHeight="true" outlineLevel="0" collapsed="false">
      <c r="A3258" s="26" t="n">
        <v>34608</v>
      </c>
      <c r="B3258" s="1" t="n">
        <v>1994</v>
      </c>
      <c r="C3258" s="1" t="n">
        <v>10</v>
      </c>
      <c r="D3258" s="1" t="s">
        <v>51</v>
      </c>
      <c r="E3258" s="1" t="s">
        <v>2</v>
      </c>
      <c r="F3258" s="1" t="n">
        <v>5.35</v>
      </c>
      <c r="G3258" s="1" t="n">
        <f aca="false">IF(E3258=E3257,F3258/F3257-1,"")</f>
        <v>-0.0480427046263346</v>
      </c>
    </row>
    <row r="3259" customFormat="false" ht="14.25" hidden="false" customHeight="true" outlineLevel="0" collapsed="false">
      <c r="A3259" s="26" t="n">
        <v>34639</v>
      </c>
      <c r="B3259" s="1" t="n">
        <v>1994</v>
      </c>
      <c r="C3259" s="1" t="n">
        <v>11</v>
      </c>
      <c r="D3259" s="1" t="s">
        <v>52</v>
      </c>
      <c r="E3259" s="1" t="s">
        <v>2</v>
      </c>
      <c r="F3259" s="1" t="n">
        <v>5.08</v>
      </c>
      <c r="G3259" s="1" t="n">
        <f aca="false">IF(E3259=E3258,F3259/F3258-1,"")</f>
        <v>-0.0504672897196261</v>
      </c>
    </row>
    <row r="3260" customFormat="false" ht="14.25" hidden="false" customHeight="true" outlineLevel="0" collapsed="false">
      <c r="A3260" s="26" t="n">
        <v>34669</v>
      </c>
      <c r="B3260" s="1" t="n">
        <v>1994</v>
      </c>
      <c r="C3260" s="1" t="n">
        <v>12</v>
      </c>
      <c r="D3260" s="1" t="s">
        <v>53</v>
      </c>
      <c r="E3260" s="1" t="s">
        <v>2</v>
      </c>
      <c r="F3260" s="1" t="n">
        <v>4.85</v>
      </c>
      <c r="G3260" s="1" t="n">
        <f aca="false">IF(E3260=E3259,F3260/F3259-1,"")</f>
        <v>-0.0452755905511811</v>
      </c>
    </row>
    <row r="3261" customFormat="false" ht="14.25" hidden="false" customHeight="true" outlineLevel="0" collapsed="false">
      <c r="A3261" s="26" t="n">
        <v>34700</v>
      </c>
      <c r="B3261" s="1" t="n">
        <v>1995</v>
      </c>
      <c r="C3261" s="1" t="n">
        <v>1</v>
      </c>
      <c r="D3261" s="1" t="s">
        <v>42</v>
      </c>
      <c r="E3261" s="1" t="s">
        <v>2</v>
      </c>
      <c r="F3261" s="1" t="n">
        <v>4.7</v>
      </c>
      <c r="G3261" s="1" t="n">
        <f aca="false">IF(E3261=E3260,F3261/F3260-1,"")</f>
        <v>-0.0309278350515463</v>
      </c>
    </row>
    <row r="3262" customFormat="false" ht="14.25" hidden="false" customHeight="true" outlineLevel="0" collapsed="false">
      <c r="A3262" s="26" t="n">
        <v>34731</v>
      </c>
      <c r="B3262" s="1" t="n">
        <v>1995</v>
      </c>
      <c r="C3262" s="1" t="n">
        <v>2</v>
      </c>
      <c r="D3262" s="1" t="s">
        <v>43</v>
      </c>
      <c r="E3262" s="1" t="s">
        <v>2</v>
      </c>
      <c r="F3262" s="1" t="n">
        <v>4.49</v>
      </c>
      <c r="G3262" s="1" t="n">
        <f aca="false">IF(E3262=E3261,F3262/F3261-1,"")</f>
        <v>-0.0446808510638298</v>
      </c>
    </row>
    <row r="3263" customFormat="false" ht="14.25" hidden="false" customHeight="true" outlineLevel="0" collapsed="false">
      <c r="A3263" s="26" t="n">
        <v>34759</v>
      </c>
      <c r="B3263" s="1" t="n">
        <v>1995</v>
      </c>
      <c r="C3263" s="1" t="n">
        <v>3</v>
      </c>
      <c r="D3263" s="1" t="s">
        <v>44</v>
      </c>
      <c r="E3263" s="1" t="s">
        <v>2</v>
      </c>
      <c r="F3263" s="1" t="n">
        <v>5.16</v>
      </c>
      <c r="G3263" s="1" t="n">
        <f aca="false">IF(E3263=E3262,F3263/F3262-1,"")</f>
        <v>0.149220489977728</v>
      </c>
    </row>
    <row r="3264" customFormat="false" ht="14.25" hidden="false" customHeight="true" outlineLevel="0" collapsed="false">
      <c r="A3264" s="26" t="n">
        <v>34790</v>
      </c>
      <c r="B3264" s="1" t="n">
        <v>1995</v>
      </c>
      <c r="C3264" s="1" t="n">
        <v>4</v>
      </c>
      <c r="D3264" s="1" t="s">
        <v>45</v>
      </c>
      <c r="E3264" s="1" t="s">
        <v>2</v>
      </c>
      <c r="F3264" s="1" t="n">
        <v>5.83</v>
      </c>
      <c r="G3264" s="1" t="n">
        <f aca="false">IF(E3264=E3263,F3264/F3263-1,"")</f>
        <v>0.12984496124031</v>
      </c>
    </row>
    <row r="3265" customFormat="false" ht="14.25" hidden="false" customHeight="true" outlineLevel="0" collapsed="false">
      <c r="A3265" s="26" t="n">
        <v>34820</v>
      </c>
      <c r="B3265" s="1" t="n">
        <v>1995</v>
      </c>
      <c r="C3265" s="1" t="n">
        <v>5</v>
      </c>
      <c r="D3265" s="1" t="s">
        <v>46</v>
      </c>
      <c r="E3265" s="1" t="s">
        <v>2</v>
      </c>
      <c r="F3265" s="1" t="n">
        <v>5.3</v>
      </c>
      <c r="G3265" s="1" t="n">
        <f aca="false">IF(E3265=E3264,F3265/F3264-1,"")</f>
        <v>-0.0909090909090909</v>
      </c>
    </row>
    <row r="3266" customFormat="false" ht="14.25" hidden="false" customHeight="true" outlineLevel="0" collapsed="false">
      <c r="A3266" s="26" t="n">
        <v>34851</v>
      </c>
      <c r="B3266" s="1" t="n">
        <v>1995</v>
      </c>
      <c r="C3266" s="1" t="n">
        <v>6</v>
      </c>
      <c r="D3266" s="1" t="s">
        <v>47</v>
      </c>
      <c r="E3266" s="1" t="s">
        <v>2</v>
      </c>
      <c r="F3266" s="1" t="n">
        <v>5.33</v>
      </c>
      <c r="G3266" s="1" t="n">
        <f aca="false">IF(E3266=E3265,F3266/F3265-1,"")</f>
        <v>0.00566037735849068</v>
      </c>
    </row>
    <row r="3267" customFormat="false" ht="14.25" hidden="false" customHeight="true" outlineLevel="0" collapsed="false">
      <c r="A3267" s="26" t="n">
        <v>34881</v>
      </c>
      <c r="B3267" s="1" t="n">
        <v>1995</v>
      </c>
      <c r="C3267" s="1" t="n">
        <v>7</v>
      </c>
      <c r="D3267" s="1" t="s">
        <v>48</v>
      </c>
      <c r="E3267" s="1" t="s">
        <v>2</v>
      </c>
      <c r="F3267" s="1" t="n">
        <v>5.1</v>
      </c>
      <c r="G3267" s="1" t="n">
        <f aca="false">IF(E3267=E3266,F3267/F3266-1,"")</f>
        <v>-0.0431519699812384</v>
      </c>
    </row>
    <row r="3268" customFormat="false" ht="14.25" hidden="false" customHeight="true" outlineLevel="0" collapsed="false">
      <c r="A3268" s="26" t="n">
        <v>34912</v>
      </c>
      <c r="B3268" s="1" t="n">
        <v>1995</v>
      </c>
      <c r="C3268" s="1" t="n">
        <v>8</v>
      </c>
      <c r="D3268" s="1" t="s">
        <v>49</v>
      </c>
      <c r="E3268" s="1" t="s">
        <v>2</v>
      </c>
      <c r="F3268" s="1" t="n">
        <v>5.32</v>
      </c>
      <c r="G3268" s="1" t="n">
        <f aca="false">IF(E3268=E3267,F3268/F3267-1,"")</f>
        <v>0.0431372549019609</v>
      </c>
    </row>
    <row r="3269" customFormat="false" ht="14.25" hidden="false" customHeight="true" outlineLevel="0" collapsed="false">
      <c r="A3269" s="26" t="n">
        <v>34943</v>
      </c>
      <c r="B3269" s="1" t="n">
        <v>1995</v>
      </c>
      <c r="C3269" s="1" t="n">
        <v>9</v>
      </c>
      <c r="D3269" s="1" t="s">
        <v>50</v>
      </c>
      <c r="E3269" s="1" t="s">
        <v>2</v>
      </c>
      <c r="F3269" s="1" t="n">
        <v>5.53</v>
      </c>
      <c r="G3269" s="1" t="n">
        <f aca="false">IF(E3269=E3268,F3269/F3268-1,"")</f>
        <v>0.0394736842105263</v>
      </c>
    </row>
    <row r="3270" customFormat="false" ht="14.25" hidden="false" customHeight="true" outlineLevel="0" collapsed="false">
      <c r="A3270" s="26" t="n">
        <v>34973</v>
      </c>
      <c r="B3270" s="1" t="n">
        <v>1995</v>
      </c>
      <c r="C3270" s="1" t="n">
        <v>10</v>
      </c>
      <c r="D3270" s="1" t="s">
        <v>51</v>
      </c>
      <c r="E3270" s="1" t="s">
        <v>2</v>
      </c>
      <c r="F3270" s="1" t="n">
        <v>5.36</v>
      </c>
      <c r="G3270" s="1" t="n">
        <f aca="false">IF(E3270=E3269,F3270/F3269-1,"")</f>
        <v>-0.030741410488246</v>
      </c>
    </row>
    <row r="3271" customFormat="false" ht="14.25" hidden="false" customHeight="true" outlineLevel="0" collapsed="false">
      <c r="A3271" s="26" t="n">
        <v>35004</v>
      </c>
      <c r="B3271" s="1" t="n">
        <v>1995</v>
      </c>
      <c r="C3271" s="1" t="n">
        <v>11</v>
      </c>
      <c r="D3271" s="1" t="s">
        <v>52</v>
      </c>
      <c r="E3271" s="1" t="s">
        <v>2</v>
      </c>
      <c r="F3271" s="1" t="n">
        <v>5.18</v>
      </c>
      <c r="G3271" s="1" t="n">
        <f aca="false">IF(E3271=E3270,F3271/F3270-1,"")</f>
        <v>-0.033582089552239</v>
      </c>
    </row>
    <row r="3272" customFormat="false" ht="14.25" hidden="false" customHeight="true" outlineLevel="0" collapsed="false">
      <c r="A3272" s="26" t="n">
        <v>35034</v>
      </c>
      <c r="B3272" s="1" t="n">
        <v>1995</v>
      </c>
      <c r="C3272" s="1" t="n">
        <v>12</v>
      </c>
      <c r="D3272" s="1" t="s">
        <v>53</v>
      </c>
      <c r="E3272" s="1" t="s">
        <v>2</v>
      </c>
      <c r="F3272" s="1" t="n">
        <v>5.14</v>
      </c>
      <c r="G3272" s="1" t="n">
        <f aca="false">IF(E3272=E3271,F3272/F3271-1,"")</f>
        <v>-0.00772200772200771</v>
      </c>
    </row>
    <row r="3273" customFormat="false" ht="14.25" hidden="false" customHeight="true" outlineLevel="0" collapsed="false">
      <c r="A3273" s="26" t="n">
        <v>35065</v>
      </c>
      <c r="B3273" s="1" t="n">
        <v>1996</v>
      </c>
      <c r="C3273" s="1" t="n">
        <v>1</v>
      </c>
      <c r="D3273" s="1" t="s">
        <v>42</v>
      </c>
      <c r="E3273" s="1" t="s">
        <v>2</v>
      </c>
      <c r="F3273" s="1" t="n">
        <v>5.52</v>
      </c>
      <c r="G3273" s="1" t="n">
        <f aca="false">IF(E3273=E3272,F3273/F3272-1,"")</f>
        <v>0.0739299610894941</v>
      </c>
    </row>
    <row r="3274" customFormat="false" ht="14.25" hidden="false" customHeight="true" outlineLevel="0" collapsed="false">
      <c r="A3274" s="26" t="n">
        <v>35096</v>
      </c>
      <c r="B3274" s="1" t="n">
        <v>1996</v>
      </c>
      <c r="C3274" s="1" t="n">
        <v>2</v>
      </c>
      <c r="D3274" s="1" t="s">
        <v>43</v>
      </c>
      <c r="E3274" s="1" t="s">
        <v>2</v>
      </c>
      <c r="F3274" s="1" t="n">
        <v>5.52</v>
      </c>
      <c r="G3274" s="1" t="n">
        <f aca="false">IF(E3274=E3273,F3274/F3273-1,"")</f>
        <v>0</v>
      </c>
    </row>
    <row r="3275" customFormat="false" ht="14.25" hidden="false" customHeight="true" outlineLevel="0" collapsed="false">
      <c r="A3275" s="26" t="n">
        <v>35125</v>
      </c>
      <c r="B3275" s="1" t="n">
        <v>1996</v>
      </c>
      <c r="C3275" s="1" t="n">
        <v>3</v>
      </c>
      <c r="D3275" s="1" t="s">
        <v>44</v>
      </c>
      <c r="E3275" s="1" t="s">
        <v>2</v>
      </c>
      <c r="F3275" s="1" t="n">
        <v>5.52</v>
      </c>
      <c r="G3275" s="1" t="n">
        <f aca="false">IF(E3275=E3274,F3275/F3274-1,"")</f>
        <v>0</v>
      </c>
    </row>
    <row r="3276" customFormat="false" ht="14.25" hidden="false" customHeight="true" outlineLevel="0" collapsed="false">
      <c r="A3276" s="26" t="n">
        <v>35156</v>
      </c>
      <c r="B3276" s="1" t="n">
        <v>1996</v>
      </c>
      <c r="C3276" s="1" t="n">
        <v>4</v>
      </c>
      <c r="D3276" s="1" t="s">
        <v>45</v>
      </c>
      <c r="E3276" s="1" t="s">
        <v>2</v>
      </c>
      <c r="F3276" s="1" t="n">
        <v>5.28</v>
      </c>
      <c r="G3276" s="1" t="n">
        <f aca="false">IF(E3276=E3275,F3276/F3275-1,"")</f>
        <v>-0.0434782608695651</v>
      </c>
    </row>
    <row r="3277" customFormat="false" ht="14.25" hidden="false" customHeight="true" outlineLevel="0" collapsed="false">
      <c r="A3277" s="26" t="n">
        <v>35186</v>
      </c>
      <c r="B3277" s="1" t="n">
        <v>1996</v>
      </c>
      <c r="C3277" s="1" t="n">
        <v>5</v>
      </c>
      <c r="D3277" s="1" t="s">
        <v>46</v>
      </c>
      <c r="E3277" s="1" t="s">
        <v>2</v>
      </c>
      <c r="F3277" s="1" t="n">
        <v>5.34</v>
      </c>
      <c r="G3277" s="1" t="n">
        <f aca="false">IF(E3277=E3276,F3277/F3276-1,"")</f>
        <v>0.0113636363636362</v>
      </c>
    </row>
    <row r="3278" customFormat="false" ht="14.25" hidden="false" customHeight="true" outlineLevel="0" collapsed="false">
      <c r="A3278" s="26" t="n">
        <v>35217</v>
      </c>
      <c r="B3278" s="1" t="n">
        <v>1996</v>
      </c>
      <c r="C3278" s="1" t="n">
        <v>6</v>
      </c>
      <c r="D3278" s="1" t="s">
        <v>47</v>
      </c>
      <c r="E3278" s="1" t="s">
        <v>2</v>
      </c>
      <c r="F3278" s="1" t="n">
        <v>5.03</v>
      </c>
      <c r="G3278" s="1" t="n">
        <f aca="false">IF(E3278=E3277,F3278/F3277-1,"")</f>
        <v>-0.0580524344569288</v>
      </c>
    </row>
    <row r="3279" customFormat="false" ht="14.25" hidden="false" customHeight="true" outlineLevel="0" collapsed="false">
      <c r="A3279" s="26" t="n">
        <v>35247</v>
      </c>
      <c r="B3279" s="1" t="n">
        <v>1996</v>
      </c>
      <c r="C3279" s="1" t="n">
        <v>7</v>
      </c>
      <c r="D3279" s="1" t="s">
        <v>48</v>
      </c>
      <c r="E3279" s="1" t="s">
        <v>2</v>
      </c>
      <c r="F3279" s="1" t="n">
        <v>5.11</v>
      </c>
      <c r="G3279" s="1" t="n">
        <f aca="false">IF(E3279=E3278,F3279/F3278-1,"")</f>
        <v>0.0159045725646123</v>
      </c>
    </row>
    <row r="3280" customFormat="false" ht="14.25" hidden="false" customHeight="true" outlineLevel="0" collapsed="false">
      <c r="A3280" s="26" t="n">
        <v>35278</v>
      </c>
      <c r="B3280" s="1" t="n">
        <v>1996</v>
      </c>
      <c r="C3280" s="1" t="n">
        <v>8</v>
      </c>
      <c r="D3280" s="1" t="s">
        <v>49</v>
      </c>
      <c r="E3280" s="1" t="s">
        <v>2</v>
      </c>
      <c r="F3280" s="1" t="n">
        <v>5.2</v>
      </c>
      <c r="G3280" s="1" t="n">
        <f aca="false">IF(E3280=E3279,F3280/F3279-1,"")</f>
        <v>0.0176125244618395</v>
      </c>
    </row>
    <row r="3281" customFormat="false" ht="14.25" hidden="false" customHeight="true" outlineLevel="0" collapsed="false">
      <c r="A3281" s="26" t="n">
        <v>35309</v>
      </c>
      <c r="B3281" s="1" t="n">
        <v>1996</v>
      </c>
      <c r="C3281" s="1" t="n">
        <v>9</v>
      </c>
      <c r="D3281" s="1" t="s">
        <v>50</v>
      </c>
      <c r="E3281" s="1" t="s">
        <v>2</v>
      </c>
      <c r="F3281" s="1" t="n">
        <v>4.88</v>
      </c>
      <c r="G3281" s="1" t="n">
        <f aca="false">IF(E3281=E3280,F3281/F3280-1,"")</f>
        <v>-0.0615384615384615</v>
      </c>
    </row>
    <row r="3282" customFormat="false" ht="14.25" hidden="false" customHeight="true" outlineLevel="0" collapsed="false">
      <c r="A3282" s="26" t="n">
        <v>35339</v>
      </c>
      <c r="B3282" s="1" t="n">
        <v>1996</v>
      </c>
      <c r="C3282" s="1" t="n">
        <v>10</v>
      </c>
      <c r="D3282" s="1" t="s">
        <v>51</v>
      </c>
      <c r="E3282" s="1" t="s">
        <v>2</v>
      </c>
      <c r="F3282" s="1" t="n">
        <v>4.83</v>
      </c>
      <c r="G3282" s="1" t="n">
        <f aca="false">IF(E3282=E3281,F3282/F3281-1,"")</f>
        <v>-0.0102459016393442</v>
      </c>
    </row>
    <row r="3283" customFormat="false" ht="14.25" hidden="false" customHeight="true" outlineLevel="0" collapsed="false">
      <c r="A3283" s="26" t="n">
        <v>35370</v>
      </c>
      <c r="B3283" s="1" t="n">
        <v>1996</v>
      </c>
      <c r="C3283" s="1" t="n">
        <v>11</v>
      </c>
      <c r="D3283" s="1" t="s">
        <v>52</v>
      </c>
      <c r="E3283" s="1" t="s">
        <v>2</v>
      </c>
      <c r="F3283" s="1" t="n">
        <v>4.74</v>
      </c>
      <c r="G3283" s="1" t="n">
        <f aca="false">IF(E3283=E3282,F3283/F3282-1,"")</f>
        <v>-0.0186335403726707</v>
      </c>
    </row>
    <row r="3284" customFormat="false" ht="14.25" hidden="false" customHeight="true" outlineLevel="0" collapsed="false">
      <c r="A3284" s="26" t="n">
        <v>35400</v>
      </c>
      <c r="B3284" s="1" t="n">
        <v>1996</v>
      </c>
      <c r="C3284" s="1" t="n">
        <v>12</v>
      </c>
      <c r="D3284" s="1" t="s">
        <v>53</v>
      </c>
      <c r="E3284" s="1" t="s">
        <v>2</v>
      </c>
      <c r="F3284" s="1" t="n">
        <v>4.8</v>
      </c>
      <c r="G3284" s="1" t="n">
        <f aca="false">IF(E3284=E3283,F3284/F3283-1,"")</f>
        <v>0.0126582278481011</v>
      </c>
    </row>
    <row r="3285" customFormat="false" ht="14.25" hidden="false" customHeight="true" outlineLevel="0" collapsed="false">
      <c r="A3285" s="26" t="n">
        <v>35431</v>
      </c>
      <c r="B3285" s="1" t="n">
        <v>1997</v>
      </c>
      <c r="C3285" s="1" t="n">
        <v>1</v>
      </c>
      <c r="D3285" s="1" t="s">
        <v>42</v>
      </c>
      <c r="E3285" s="1" t="s">
        <v>2</v>
      </c>
      <c r="F3285" s="1" t="n">
        <v>4.96</v>
      </c>
      <c r="G3285" s="1" t="n">
        <f aca="false">IF(E3285=E3284,F3285/F3284-1,"")</f>
        <v>0.0333333333333334</v>
      </c>
    </row>
    <row r="3286" customFormat="false" ht="14.25" hidden="false" customHeight="true" outlineLevel="0" collapsed="false">
      <c r="A3286" s="26" t="n">
        <v>35462</v>
      </c>
      <c r="B3286" s="1" t="n">
        <v>1997</v>
      </c>
      <c r="C3286" s="1" t="n">
        <v>2</v>
      </c>
      <c r="D3286" s="1" t="s">
        <v>43</v>
      </c>
      <c r="E3286" s="1" t="s">
        <v>2</v>
      </c>
      <c r="F3286" s="1" t="n">
        <v>5.25</v>
      </c>
      <c r="G3286" s="1" t="n">
        <f aca="false">IF(E3286=E3285,F3286/F3285-1,"")</f>
        <v>0.058467741935484</v>
      </c>
    </row>
    <row r="3287" customFormat="false" ht="14.25" hidden="false" customHeight="true" outlineLevel="0" collapsed="false">
      <c r="A3287" s="26" t="n">
        <v>35490</v>
      </c>
      <c r="B3287" s="1" t="n">
        <v>1997</v>
      </c>
      <c r="C3287" s="1" t="n">
        <v>3</v>
      </c>
      <c r="D3287" s="1" t="s">
        <v>44</v>
      </c>
      <c r="E3287" s="1" t="s">
        <v>2</v>
      </c>
      <c r="F3287" s="1" t="n">
        <v>5.13</v>
      </c>
      <c r="G3287" s="1" t="n">
        <f aca="false">IF(E3287=E3286,F3287/F3286-1,"")</f>
        <v>-0.0228571428571429</v>
      </c>
    </row>
    <row r="3288" customFormat="false" ht="14.25" hidden="false" customHeight="true" outlineLevel="0" collapsed="false">
      <c r="A3288" s="26" t="n">
        <v>35521</v>
      </c>
      <c r="B3288" s="1" t="n">
        <v>1997</v>
      </c>
      <c r="C3288" s="1" t="n">
        <v>4</v>
      </c>
      <c r="D3288" s="1" t="s">
        <v>45</v>
      </c>
      <c r="E3288" s="1" t="s">
        <v>2</v>
      </c>
      <c r="F3288" s="1" t="n">
        <v>4.66</v>
      </c>
      <c r="G3288" s="1" t="n">
        <f aca="false">IF(E3288=E3287,F3288/F3287-1,"")</f>
        <v>-0.0916179337231968</v>
      </c>
    </row>
    <row r="3289" customFormat="false" ht="14.25" hidden="false" customHeight="true" outlineLevel="0" collapsed="false">
      <c r="A3289" s="26" t="n">
        <v>35551</v>
      </c>
      <c r="B3289" s="1" t="n">
        <v>1997</v>
      </c>
      <c r="C3289" s="1" t="n">
        <v>5</v>
      </c>
      <c r="D3289" s="1" t="s">
        <v>46</v>
      </c>
      <c r="E3289" s="1" t="s">
        <v>2</v>
      </c>
      <c r="F3289" s="1" t="n">
        <v>4.86</v>
      </c>
      <c r="G3289" s="1" t="n">
        <f aca="false">IF(E3289=E3288,F3289/F3288-1,"")</f>
        <v>0.0429184549356223</v>
      </c>
    </row>
    <row r="3290" customFormat="false" ht="14.25" hidden="false" customHeight="true" outlineLevel="0" collapsed="false">
      <c r="A3290" s="26" t="n">
        <v>35582</v>
      </c>
      <c r="B3290" s="1" t="n">
        <v>1997</v>
      </c>
      <c r="C3290" s="1" t="n">
        <v>6</v>
      </c>
      <c r="D3290" s="1" t="s">
        <v>47</v>
      </c>
      <c r="E3290" s="1" t="s">
        <v>2</v>
      </c>
      <c r="F3290" s="1" t="n">
        <v>4.72</v>
      </c>
      <c r="G3290" s="1" t="n">
        <f aca="false">IF(E3290=E3289,F3290/F3289-1,"")</f>
        <v>-0.02880658436214</v>
      </c>
    </row>
    <row r="3291" customFormat="false" ht="14.25" hidden="false" customHeight="true" outlineLevel="0" collapsed="false">
      <c r="A3291" s="26" t="n">
        <v>35612</v>
      </c>
      <c r="B3291" s="1" t="n">
        <v>1997</v>
      </c>
      <c r="C3291" s="1" t="n">
        <v>7</v>
      </c>
      <c r="D3291" s="1" t="s">
        <v>48</v>
      </c>
      <c r="E3291" s="1" t="s">
        <v>2</v>
      </c>
      <c r="F3291" s="1" t="n">
        <v>4.38</v>
      </c>
      <c r="G3291" s="1" t="n">
        <f aca="false">IF(E3291=E3290,F3291/F3290-1,"")</f>
        <v>-0.0720338983050847</v>
      </c>
    </row>
    <row r="3292" customFormat="false" ht="14.25" hidden="false" customHeight="true" outlineLevel="0" collapsed="false">
      <c r="A3292" s="26" t="n">
        <v>35643</v>
      </c>
      <c r="B3292" s="1" t="n">
        <v>1997</v>
      </c>
      <c r="C3292" s="1" t="n">
        <v>8</v>
      </c>
      <c r="D3292" s="1" t="s">
        <v>49</v>
      </c>
      <c r="E3292" s="1" t="s">
        <v>2</v>
      </c>
      <c r="F3292" s="1" t="n">
        <v>4.73</v>
      </c>
      <c r="G3292" s="1" t="n">
        <f aca="false">IF(E3292=E3291,F3292/F3291-1,"")</f>
        <v>0.0799086757990868</v>
      </c>
    </row>
    <row r="3293" customFormat="false" ht="14.25" hidden="false" customHeight="true" outlineLevel="0" collapsed="false">
      <c r="A3293" s="26" t="n">
        <v>35674</v>
      </c>
      <c r="B3293" s="1" t="n">
        <v>1997</v>
      </c>
      <c r="C3293" s="1" t="n">
        <v>9</v>
      </c>
      <c r="D3293" s="1" t="s">
        <v>50</v>
      </c>
      <c r="E3293" s="1" t="s">
        <v>2</v>
      </c>
      <c r="F3293" s="1" t="n">
        <v>5.17</v>
      </c>
      <c r="G3293" s="1" t="n">
        <f aca="false">IF(E3293=E3292,F3293/F3292-1,"")</f>
        <v>0.0930232558139534</v>
      </c>
    </row>
    <row r="3294" customFormat="false" ht="14.25" hidden="false" customHeight="true" outlineLevel="0" collapsed="false">
      <c r="A3294" s="26" t="n">
        <v>35704</v>
      </c>
      <c r="B3294" s="1" t="n">
        <v>1997</v>
      </c>
      <c r="C3294" s="1" t="n">
        <v>10</v>
      </c>
      <c r="D3294" s="1" t="s">
        <v>51</v>
      </c>
      <c r="E3294" s="1" t="s">
        <v>2</v>
      </c>
      <c r="F3294" s="1" t="n">
        <v>4.82</v>
      </c>
      <c r="G3294" s="1" t="n">
        <f aca="false">IF(E3294=E3293,F3294/F3293-1,"")</f>
        <v>-0.0676982591876209</v>
      </c>
    </row>
    <row r="3295" customFormat="false" ht="14.25" hidden="false" customHeight="true" outlineLevel="0" collapsed="false">
      <c r="A3295" s="26" t="n">
        <v>35735</v>
      </c>
      <c r="B3295" s="1" t="n">
        <v>1997</v>
      </c>
      <c r="C3295" s="1" t="n">
        <v>11</v>
      </c>
      <c r="D3295" s="1" t="s">
        <v>52</v>
      </c>
      <c r="E3295" s="1" t="s">
        <v>2</v>
      </c>
      <c r="F3295" s="1" t="n">
        <v>5.3</v>
      </c>
      <c r="G3295" s="1" t="n">
        <f aca="false">IF(E3295=E3294,F3295/F3294-1,"")</f>
        <v>0.0995850622406638</v>
      </c>
    </row>
    <row r="3296" customFormat="false" ht="14.25" hidden="false" customHeight="true" outlineLevel="0" collapsed="false">
      <c r="A3296" s="26" t="n">
        <v>35765</v>
      </c>
      <c r="B3296" s="1" t="n">
        <v>1997</v>
      </c>
      <c r="C3296" s="1" t="n">
        <v>12</v>
      </c>
      <c r="D3296" s="1" t="s">
        <v>53</v>
      </c>
      <c r="E3296" s="1" t="s">
        <v>2</v>
      </c>
      <c r="F3296" s="1" t="n">
        <v>6</v>
      </c>
      <c r="G3296" s="1" t="n">
        <f aca="false">IF(E3296=E3295,F3296/F3295-1,"")</f>
        <v>0.132075471698113</v>
      </c>
    </row>
    <row r="3297" customFormat="false" ht="14.25" hidden="false" customHeight="true" outlineLevel="0" collapsed="false">
      <c r="A3297" s="26" t="n">
        <v>35796</v>
      </c>
      <c r="B3297" s="1" t="n">
        <v>1998</v>
      </c>
      <c r="C3297" s="1" t="n">
        <v>1</v>
      </c>
      <c r="D3297" s="1" t="s">
        <v>42</v>
      </c>
      <c r="E3297" s="1" t="s">
        <v>2</v>
      </c>
      <c r="F3297" s="1" t="n">
        <v>6.05</v>
      </c>
      <c r="G3297" s="1" t="n">
        <f aca="false">IF(E3297=E3296,F3297/F3296-1,"")</f>
        <v>0.0083333333333333</v>
      </c>
    </row>
    <row r="3298" customFormat="false" ht="14.25" hidden="false" customHeight="true" outlineLevel="0" collapsed="false">
      <c r="A3298" s="26" t="n">
        <v>35827</v>
      </c>
      <c r="B3298" s="1" t="n">
        <v>1998</v>
      </c>
      <c r="C3298" s="1" t="n">
        <v>2</v>
      </c>
      <c r="D3298" s="1" t="s">
        <v>43</v>
      </c>
      <c r="E3298" s="1" t="s">
        <v>2</v>
      </c>
      <c r="F3298" s="1" t="n">
        <v>6.37</v>
      </c>
      <c r="G3298" s="1" t="n">
        <f aca="false">IF(E3298=E3297,F3298/F3297-1,"")</f>
        <v>0.052892561983471</v>
      </c>
    </row>
    <row r="3299" customFormat="false" ht="14.25" hidden="false" customHeight="true" outlineLevel="0" collapsed="false">
      <c r="A3299" s="26" t="n">
        <v>35855</v>
      </c>
      <c r="B3299" s="1" t="n">
        <v>1998</v>
      </c>
      <c r="C3299" s="1" t="n">
        <v>3</v>
      </c>
      <c r="D3299" s="1" t="s">
        <v>44</v>
      </c>
      <c r="E3299" s="1" t="s">
        <v>2</v>
      </c>
      <c r="F3299" s="1" t="n">
        <v>6.35</v>
      </c>
      <c r="G3299" s="1" t="n">
        <f aca="false">IF(E3299=E3298,F3299/F3298-1,"")</f>
        <v>-0.00313971742543173</v>
      </c>
    </row>
    <row r="3300" customFormat="false" ht="14.25" hidden="false" customHeight="true" outlineLevel="0" collapsed="false">
      <c r="A3300" s="26" t="n">
        <v>35886</v>
      </c>
      <c r="B3300" s="1" t="n">
        <v>1998</v>
      </c>
      <c r="C3300" s="1" t="n">
        <v>4</v>
      </c>
      <c r="D3300" s="1" t="s">
        <v>45</v>
      </c>
      <c r="E3300" s="1" t="s">
        <v>2</v>
      </c>
      <c r="F3300" s="1" t="n">
        <v>6.22</v>
      </c>
      <c r="G3300" s="1" t="n">
        <f aca="false">IF(E3300=E3299,F3300/F3299-1,"")</f>
        <v>-0.0204724409448819</v>
      </c>
    </row>
    <row r="3301" customFormat="false" ht="14.25" hidden="false" customHeight="true" outlineLevel="0" collapsed="false">
      <c r="A3301" s="26" t="n">
        <v>35916</v>
      </c>
      <c r="B3301" s="1" t="n">
        <v>1998</v>
      </c>
      <c r="C3301" s="1" t="n">
        <v>5</v>
      </c>
      <c r="D3301" s="1" t="s">
        <v>46</v>
      </c>
      <c r="E3301" s="1" t="s">
        <v>2</v>
      </c>
      <c r="F3301" s="1" t="n">
        <v>4.96</v>
      </c>
      <c r="G3301" s="1" t="n">
        <f aca="false">IF(E3301=E3300,F3301/F3300-1,"")</f>
        <v>-0.202572347266881</v>
      </c>
    </row>
    <row r="3302" customFormat="false" ht="14.25" hidden="false" customHeight="true" outlineLevel="0" collapsed="false">
      <c r="A3302" s="26" t="n">
        <v>35947</v>
      </c>
      <c r="B3302" s="1" t="n">
        <v>1998</v>
      </c>
      <c r="C3302" s="1" t="n">
        <v>6</v>
      </c>
      <c r="D3302" s="1" t="s">
        <v>47</v>
      </c>
      <c r="E3302" s="1" t="s">
        <v>2</v>
      </c>
      <c r="F3302" s="1" t="n">
        <v>5.36</v>
      </c>
      <c r="G3302" s="1" t="n">
        <f aca="false">IF(E3302=E3301,F3302/F3301-1,"")</f>
        <v>0.0806451612903227</v>
      </c>
    </row>
    <row r="3303" customFormat="false" ht="14.25" hidden="false" customHeight="true" outlineLevel="0" collapsed="false">
      <c r="A3303" s="26" t="n">
        <v>35977</v>
      </c>
      <c r="B3303" s="1" t="n">
        <v>1998</v>
      </c>
      <c r="C3303" s="1" t="n">
        <v>7</v>
      </c>
      <c r="D3303" s="1" t="s">
        <v>48</v>
      </c>
      <c r="E3303" s="1" t="s">
        <v>2</v>
      </c>
      <c r="F3303" s="1" t="n">
        <v>5.53</v>
      </c>
      <c r="G3303" s="1" t="n">
        <f aca="false">IF(E3303=E3302,F3303/F3302-1,"")</f>
        <v>0.0317164179104477</v>
      </c>
    </row>
    <row r="3304" customFormat="false" ht="14.25" hidden="false" customHeight="true" outlineLevel="0" collapsed="false">
      <c r="A3304" s="26" t="n">
        <v>36008</v>
      </c>
      <c r="B3304" s="1" t="n">
        <v>1998</v>
      </c>
      <c r="C3304" s="1" t="n">
        <v>8</v>
      </c>
      <c r="D3304" s="1" t="s">
        <v>49</v>
      </c>
      <c r="E3304" s="1" t="s">
        <v>2</v>
      </c>
      <c r="F3304" s="1" t="n">
        <v>4.79</v>
      </c>
      <c r="G3304" s="1" t="n">
        <f aca="false">IF(E3304=E3303,F3304/F3303-1,"")</f>
        <v>-0.133815551537071</v>
      </c>
    </row>
    <row r="3305" customFormat="false" ht="14.25" hidden="false" customHeight="true" outlineLevel="0" collapsed="false">
      <c r="A3305" s="26" t="n">
        <v>36039</v>
      </c>
      <c r="B3305" s="1" t="n">
        <v>1998</v>
      </c>
      <c r="C3305" s="1" t="n">
        <v>9</v>
      </c>
      <c r="D3305" s="1" t="s">
        <v>50</v>
      </c>
      <c r="E3305" s="1" t="s">
        <v>2</v>
      </c>
      <c r="F3305" s="1" t="n">
        <v>5.39</v>
      </c>
      <c r="G3305" s="1" t="n">
        <f aca="false">IF(E3305=E3304,F3305/F3304-1,"")</f>
        <v>0.125260960334029</v>
      </c>
    </row>
    <row r="3306" customFormat="false" ht="14.25" hidden="false" customHeight="true" outlineLevel="0" collapsed="false">
      <c r="A3306" s="26" t="n">
        <v>36069</v>
      </c>
      <c r="B3306" s="1" t="n">
        <v>1998</v>
      </c>
      <c r="C3306" s="1" t="n">
        <v>10</v>
      </c>
      <c r="D3306" s="1" t="s">
        <v>51</v>
      </c>
      <c r="E3306" s="1" t="s">
        <v>2</v>
      </c>
      <c r="F3306" s="1" t="n">
        <v>5.06</v>
      </c>
      <c r="G3306" s="1" t="n">
        <f aca="false">IF(E3306=E3305,F3306/F3305-1,"")</f>
        <v>-0.0612244897959184</v>
      </c>
    </row>
    <row r="3307" customFormat="false" ht="14.25" hidden="false" customHeight="true" outlineLevel="0" collapsed="false">
      <c r="A3307" s="26" t="n">
        <v>36100</v>
      </c>
      <c r="B3307" s="1" t="n">
        <v>1998</v>
      </c>
      <c r="C3307" s="1" t="n">
        <v>11</v>
      </c>
      <c r="D3307" s="1" t="s">
        <v>52</v>
      </c>
      <c r="E3307" s="1" t="s">
        <v>2</v>
      </c>
      <c r="F3307" s="1" t="n">
        <v>4.93</v>
      </c>
      <c r="G3307" s="1" t="n">
        <f aca="false">IF(E3307=E3306,F3307/F3306-1,"")</f>
        <v>-0.025691699604743</v>
      </c>
    </row>
    <row r="3308" customFormat="false" ht="14.25" hidden="false" customHeight="true" outlineLevel="0" collapsed="false">
      <c r="A3308" s="26" t="n">
        <v>36130</v>
      </c>
      <c r="B3308" s="1" t="n">
        <v>1998</v>
      </c>
      <c r="C3308" s="1" t="n">
        <v>12</v>
      </c>
      <c r="D3308" s="1" t="s">
        <v>53</v>
      </c>
      <c r="E3308" s="1" t="s">
        <v>2</v>
      </c>
      <c r="F3308" s="1" t="n">
        <v>5.01</v>
      </c>
      <c r="G3308" s="1" t="n">
        <f aca="false">IF(E3308=E3307,F3308/F3307-1,"")</f>
        <v>0.0162271805273835</v>
      </c>
    </row>
    <row r="3309" customFormat="false" ht="14.25" hidden="false" customHeight="true" outlineLevel="0" collapsed="false">
      <c r="A3309" s="26" t="n">
        <v>36161</v>
      </c>
      <c r="B3309" s="1" t="n">
        <v>1999</v>
      </c>
      <c r="C3309" s="1" t="n">
        <v>1</v>
      </c>
      <c r="D3309" s="1" t="s">
        <v>42</v>
      </c>
      <c r="E3309" s="1" t="s">
        <v>2</v>
      </c>
      <c r="F3309" s="1" t="n">
        <v>5.24</v>
      </c>
      <c r="G3309" s="1" t="n">
        <f aca="false">IF(E3309=E3308,F3309/F3308-1,"")</f>
        <v>0.0459081836327346</v>
      </c>
    </row>
    <row r="3310" customFormat="false" ht="14.25" hidden="false" customHeight="true" outlineLevel="0" collapsed="false">
      <c r="A3310" s="26" t="n">
        <v>36192</v>
      </c>
      <c r="B3310" s="1" t="n">
        <v>1999</v>
      </c>
      <c r="C3310" s="1" t="n">
        <v>2</v>
      </c>
      <c r="D3310" s="1" t="s">
        <v>43</v>
      </c>
      <c r="E3310" s="1" t="s">
        <v>2</v>
      </c>
      <c r="F3310" s="1" t="n">
        <v>5.58</v>
      </c>
      <c r="G3310" s="1" t="n">
        <f aca="false">IF(E3310=E3309,F3310/F3309-1,"")</f>
        <v>0.0648854961832062</v>
      </c>
    </row>
    <row r="3311" customFormat="false" ht="14.25" hidden="false" customHeight="true" outlineLevel="0" collapsed="false">
      <c r="A3311" s="26" t="n">
        <v>36220</v>
      </c>
      <c r="B3311" s="1" t="n">
        <v>1999</v>
      </c>
      <c r="C3311" s="1" t="n">
        <v>3</v>
      </c>
      <c r="D3311" s="1" t="s">
        <v>44</v>
      </c>
      <c r="E3311" s="1" t="s">
        <v>2</v>
      </c>
      <c r="F3311" s="1" t="n">
        <v>5.03</v>
      </c>
      <c r="G3311" s="1" t="n">
        <f aca="false">IF(E3311=E3310,F3311/F3310-1,"")</f>
        <v>-0.0985663082437276</v>
      </c>
    </row>
    <row r="3312" customFormat="false" ht="14.25" hidden="false" customHeight="true" outlineLevel="0" collapsed="false">
      <c r="A3312" s="26" t="n">
        <v>36251</v>
      </c>
      <c r="B3312" s="1" t="n">
        <v>1999</v>
      </c>
      <c r="C3312" s="1" t="n">
        <v>4</v>
      </c>
      <c r="D3312" s="1" t="s">
        <v>45</v>
      </c>
      <c r="E3312" s="1" t="s">
        <v>2</v>
      </c>
      <c r="F3312" s="1" t="n">
        <v>5.44</v>
      </c>
      <c r="G3312" s="1" t="n">
        <f aca="false">IF(E3312=E3311,F3312/F3311-1,"")</f>
        <v>0.0815109343936382</v>
      </c>
    </row>
    <row r="3313" customFormat="false" ht="14.25" hidden="false" customHeight="true" outlineLevel="0" collapsed="false">
      <c r="A3313" s="26" t="n">
        <v>36281</v>
      </c>
      <c r="B3313" s="1" t="n">
        <v>1999</v>
      </c>
      <c r="C3313" s="1" t="n">
        <v>5</v>
      </c>
      <c r="D3313" s="1" t="s">
        <v>46</v>
      </c>
      <c r="E3313" s="1" t="s">
        <v>2</v>
      </c>
      <c r="F3313" s="1" t="n">
        <v>4.94</v>
      </c>
      <c r="G3313" s="1" t="n">
        <f aca="false">IF(E3313=E3312,F3313/F3312-1,"")</f>
        <v>-0.0919117647058824</v>
      </c>
    </row>
    <row r="3314" customFormat="false" ht="14.25" hidden="false" customHeight="true" outlineLevel="0" collapsed="false">
      <c r="A3314" s="26" t="n">
        <v>36312</v>
      </c>
      <c r="B3314" s="1" t="n">
        <v>1999</v>
      </c>
      <c r="C3314" s="1" t="n">
        <v>6</v>
      </c>
      <c r="D3314" s="1" t="s">
        <v>47</v>
      </c>
      <c r="E3314" s="1" t="s">
        <v>2</v>
      </c>
      <c r="F3314" s="1" t="n">
        <v>5.22</v>
      </c>
      <c r="G3314" s="1" t="n">
        <f aca="false">IF(E3314=E3313,F3314/F3313-1,"")</f>
        <v>0.0566801619433197</v>
      </c>
    </row>
    <row r="3315" customFormat="false" ht="14.25" hidden="false" customHeight="true" outlineLevel="0" collapsed="false">
      <c r="A3315" s="26" t="n">
        <v>36342</v>
      </c>
      <c r="B3315" s="1" t="n">
        <v>1999</v>
      </c>
      <c r="C3315" s="1" t="n">
        <v>7</v>
      </c>
      <c r="D3315" s="1" t="s">
        <v>48</v>
      </c>
      <c r="E3315" s="1" t="s">
        <v>2</v>
      </c>
      <c r="F3315" s="1" t="n">
        <v>5.45</v>
      </c>
      <c r="G3315" s="1" t="n">
        <f aca="false">IF(E3315=E3314,F3315/F3314-1,"")</f>
        <v>0.0440613026819925</v>
      </c>
    </row>
    <row r="3316" customFormat="false" ht="14.25" hidden="false" customHeight="true" outlineLevel="0" collapsed="false">
      <c r="A3316" s="26" t="n">
        <v>36373</v>
      </c>
      <c r="B3316" s="1" t="n">
        <v>1999</v>
      </c>
      <c r="C3316" s="1" t="n">
        <v>8</v>
      </c>
      <c r="D3316" s="1" t="s">
        <v>49</v>
      </c>
      <c r="E3316" s="1" t="s">
        <v>2</v>
      </c>
      <c r="F3316" s="1" t="n">
        <v>5.08</v>
      </c>
      <c r="G3316" s="1" t="n">
        <f aca="false">IF(E3316=E3315,F3316/F3315-1,"")</f>
        <v>-0.0678899082568808</v>
      </c>
    </row>
    <row r="3317" customFormat="false" ht="14.25" hidden="false" customHeight="true" outlineLevel="0" collapsed="false">
      <c r="A3317" s="26" t="n">
        <v>36404</v>
      </c>
      <c r="B3317" s="1" t="n">
        <v>1999</v>
      </c>
      <c r="C3317" s="1" t="n">
        <v>9</v>
      </c>
      <c r="D3317" s="1" t="s">
        <v>50</v>
      </c>
      <c r="E3317" s="1" t="s">
        <v>2</v>
      </c>
      <c r="F3317" s="1" t="n">
        <v>5.58</v>
      </c>
      <c r="G3317" s="1" t="n">
        <f aca="false">IF(E3317=E3316,F3317/F3316-1,"")</f>
        <v>0.0984251968503938</v>
      </c>
    </row>
    <row r="3318" customFormat="false" ht="14.25" hidden="false" customHeight="true" outlineLevel="0" collapsed="false">
      <c r="A3318" s="26" t="n">
        <v>36434</v>
      </c>
      <c r="B3318" s="1" t="n">
        <v>1999</v>
      </c>
      <c r="C3318" s="1" t="n">
        <v>10</v>
      </c>
      <c r="D3318" s="1" t="s">
        <v>51</v>
      </c>
      <c r="E3318" s="1" t="s">
        <v>2</v>
      </c>
      <c r="F3318" s="1" t="n">
        <v>5.29</v>
      </c>
      <c r="G3318" s="1" t="n">
        <f aca="false">IF(E3318=E3317,F3318/F3317-1,"")</f>
        <v>-0.0519713261648745</v>
      </c>
    </row>
    <row r="3319" customFormat="false" ht="14.25" hidden="false" customHeight="true" outlineLevel="0" collapsed="false">
      <c r="A3319" s="26" t="n">
        <v>36465</v>
      </c>
      <c r="B3319" s="1" t="n">
        <v>1999</v>
      </c>
      <c r="C3319" s="1" t="n">
        <v>11</v>
      </c>
      <c r="D3319" s="1" t="s">
        <v>52</v>
      </c>
      <c r="E3319" s="1" t="s">
        <v>2</v>
      </c>
      <c r="F3319" s="1" t="n">
        <v>5.18</v>
      </c>
      <c r="G3319" s="1" t="n">
        <f aca="false">IF(E3319=E3318,F3319/F3318-1,"")</f>
        <v>-0.0207939508506617</v>
      </c>
    </row>
    <row r="3320" customFormat="false" ht="14.25" hidden="false" customHeight="true" outlineLevel="0" collapsed="false">
      <c r="A3320" s="26" t="n">
        <v>36495</v>
      </c>
      <c r="B3320" s="1" t="n">
        <v>1999</v>
      </c>
      <c r="C3320" s="1" t="n">
        <v>12</v>
      </c>
      <c r="D3320" s="1" t="s">
        <v>53</v>
      </c>
      <c r="E3320" s="1" t="s">
        <v>2</v>
      </c>
      <c r="F3320" s="1" t="n">
        <v>5.33</v>
      </c>
      <c r="G3320" s="1" t="n">
        <f aca="false">IF(E3320=E3319,F3320/F3319-1,"")</f>
        <v>0.028957528957529</v>
      </c>
    </row>
    <row r="3321" customFormat="false" ht="14.25" hidden="false" customHeight="true" outlineLevel="0" collapsed="false">
      <c r="A3321" s="26" t="n">
        <v>36526</v>
      </c>
      <c r="B3321" s="1" t="n">
        <v>2000</v>
      </c>
      <c r="C3321" s="1" t="n">
        <v>1</v>
      </c>
      <c r="D3321" s="1" t="s">
        <v>42</v>
      </c>
      <c r="E3321" s="1" t="s">
        <v>2</v>
      </c>
      <c r="F3321" s="1" t="n">
        <v>5.26</v>
      </c>
      <c r="G3321" s="1" t="n">
        <f aca="false">IF(E3321=E3320,F3321/F3320-1,"")</f>
        <v>-0.0131332082551595</v>
      </c>
    </row>
    <row r="3322" customFormat="false" ht="14.25" hidden="false" customHeight="true" outlineLevel="0" collapsed="false">
      <c r="A3322" s="26" t="n">
        <v>36557</v>
      </c>
      <c r="B3322" s="1" t="n">
        <v>2000</v>
      </c>
      <c r="C3322" s="1" t="n">
        <v>2</v>
      </c>
      <c r="D3322" s="1" t="s">
        <v>43</v>
      </c>
      <c r="E3322" s="1" t="s">
        <v>2</v>
      </c>
      <c r="F3322" s="1" t="n">
        <v>5.1</v>
      </c>
      <c r="G3322" s="1" t="n">
        <f aca="false">IF(E3322=E3321,F3322/F3321-1,"")</f>
        <v>-0.0304182509505704</v>
      </c>
    </row>
    <row r="3323" customFormat="false" ht="14.25" hidden="false" customHeight="true" outlineLevel="0" collapsed="false">
      <c r="A3323" s="26" t="n">
        <v>36586</v>
      </c>
      <c r="B3323" s="1" t="n">
        <v>2000</v>
      </c>
      <c r="C3323" s="1" t="n">
        <v>3</v>
      </c>
      <c r="D3323" s="1" t="s">
        <v>44</v>
      </c>
      <c r="E3323" s="1" t="s">
        <v>2</v>
      </c>
      <c r="F3323" s="1" t="n">
        <v>4.94</v>
      </c>
      <c r="G3323" s="1" t="n">
        <f aca="false">IF(E3323=E3322,F3323/F3322-1,"")</f>
        <v>-0.0313725490196077</v>
      </c>
    </row>
    <row r="3324" customFormat="false" ht="14.25" hidden="false" customHeight="true" outlineLevel="0" collapsed="false">
      <c r="A3324" s="26" t="n">
        <v>36617</v>
      </c>
      <c r="B3324" s="1" t="n">
        <v>2000</v>
      </c>
      <c r="C3324" s="1" t="n">
        <v>4</v>
      </c>
      <c r="D3324" s="1" t="s">
        <v>45</v>
      </c>
      <c r="E3324" s="1" t="s">
        <v>2</v>
      </c>
      <c r="F3324" s="1" t="n">
        <v>4.94</v>
      </c>
      <c r="G3324" s="1" t="n">
        <f aca="false">IF(E3324=E3323,F3324/F3323-1,"")</f>
        <v>0</v>
      </c>
    </row>
    <row r="3325" customFormat="false" ht="14.25" hidden="false" customHeight="true" outlineLevel="0" collapsed="false">
      <c r="A3325" s="26" t="n">
        <v>36647</v>
      </c>
      <c r="B3325" s="1" t="n">
        <v>2000</v>
      </c>
      <c r="C3325" s="1" t="n">
        <v>5</v>
      </c>
      <c r="D3325" s="1" t="s">
        <v>46</v>
      </c>
      <c r="E3325" s="1" t="s">
        <v>2</v>
      </c>
      <c r="F3325" s="1" t="n">
        <v>4.9</v>
      </c>
      <c r="G3325" s="1" t="n">
        <f aca="false">IF(E3325=E3324,F3325/F3324-1,"")</f>
        <v>-0.0080971659919028</v>
      </c>
    </row>
    <row r="3326" customFormat="false" ht="14.25" hidden="false" customHeight="true" outlineLevel="0" collapsed="false">
      <c r="A3326" s="26" t="n">
        <v>36678</v>
      </c>
      <c r="B3326" s="1" t="n">
        <v>2000</v>
      </c>
      <c r="C3326" s="1" t="n">
        <v>6</v>
      </c>
      <c r="D3326" s="1" t="s">
        <v>47</v>
      </c>
      <c r="E3326" s="1" t="s">
        <v>2</v>
      </c>
      <c r="F3326" s="1" t="n">
        <v>5.02</v>
      </c>
      <c r="G3326" s="1" t="n">
        <f aca="false">IF(E3326=E3325,F3326/F3325-1,"")</f>
        <v>0.0244897959183672</v>
      </c>
    </row>
    <row r="3327" customFormat="false" ht="14.25" hidden="false" customHeight="true" outlineLevel="0" collapsed="false">
      <c r="A3327" s="26" t="n">
        <v>36708</v>
      </c>
      <c r="B3327" s="1" t="n">
        <v>2000</v>
      </c>
      <c r="C3327" s="1" t="n">
        <v>7</v>
      </c>
      <c r="D3327" s="1" t="s">
        <v>48</v>
      </c>
      <c r="E3327" s="1" t="s">
        <v>2</v>
      </c>
      <c r="F3327" s="1" t="n">
        <v>4.95</v>
      </c>
      <c r="G3327" s="1" t="n">
        <f aca="false">IF(E3327=E3326,F3327/F3326-1,"")</f>
        <v>-0.0139442231075696</v>
      </c>
    </row>
    <row r="3328" customFormat="false" ht="14.25" hidden="false" customHeight="true" outlineLevel="0" collapsed="false">
      <c r="A3328" s="26" t="n">
        <v>36739</v>
      </c>
      <c r="B3328" s="1" t="n">
        <v>2000</v>
      </c>
      <c r="C3328" s="1" t="n">
        <v>8</v>
      </c>
      <c r="D3328" s="1" t="s">
        <v>49</v>
      </c>
      <c r="E3328" s="1" t="s">
        <v>2</v>
      </c>
      <c r="F3328" s="1" t="n">
        <v>4.91</v>
      </c>
      <c r="G3328" s="1" t="n">
        <f aca="false">IF(E3328=E3327,F3328/F3327-1,"")</f>
        <v>-0.00808080808080813</v>
      </c>
    </row>
    <row r="3329" customFormat="false" ht="14.25" hidden="false" customHeight="true" outlineLevel="0" collapsed="false">
      <c r="A3329" s="26" t="n">
        <v>36770</v>
      </c>
      <c r="B3329" s="1" t="n">
        <v>2000</v>
      </c>
      <c r="C3329" s="1" t="n">
        <v>9</v>
      </c>
      <c r="D3329" s="1" t="s">
        <v>50</v>
      </c>
      <c r="E3329" s="1" t="s">
        <v>2</v>
      </c>
      <c r="F3329" s="1" t="n">
        <v>4.89</v>
      </c>
      <c r="G3329" s="1" t="n">
        <f aca="false">IF(E3329=E3328,F3329/F3328-1,"")</f>
        <v>-0.00407331975560088</v>
      </c>
    </row>
    <row r="3330" customFormat="false" ht="14.25" hidden="false" customHeight="true" outlineLevel="0" collapsed="false">
      <c r="A3330" s="26" t="n">
        <v>36800</v>
      </c>
      <c r="B3330" s="1" t="n">
        <v>2000</v>
      </c>
      <c r="C3330" s="1" t="n">
        <v>10</v>
      </c>
      <c r="D3330" s="1" t="s">
        <v>51</v>
      </c>
      <c r="E3330" s="1" t="s">
        <v>2</v>
      </c>
      <c r="F3330" s="1" t="n">
        <v>4.74</v>
      </c>
      <c r="G3330" s="1" t="n">
        <f aca="false">IF(E3330=E3329,F3330/F3329-1,"")</f>
        <v>-0.0306748466257668</v>
      </c>
    </row>
    <row r="3331" customFormat="false" ht="14.25" hidden="false" customHeight="true" outlineLevel="0" collapsed="false">
      <c r="A3331" s="26" t="n">
        <v>36831</v>
      </c>
      <c r="B3331" s="1" t="n">
        <v>2000</v>
      </c>
      <c r="C3331" s="1" t="n">
        <v>11</v>
      </c>
      <c r="D3331" s="1" t="s">
        <v>52</v>
      </c>
      <c r="E3331" s="1" t="s">
        <v>2</v>
      </c>
      <c r="F3331" s="1" t="n">
        <v>4.63</v>
      </c>
      <c r="G3331" s="1" t="n">
        <f aca="false">IF(E3331=E3330,F3331/F3330-1,"")</f>
        <v>-0.0232067510548524</v>
      </c>
    </row>
    <row r="3332" customFormat="false" ht="14.25" hidden="false" customHeight="true" outlineLevel="0" collapsed="false">
      <c r="A3332" s="26" t="n">
        <v>36861</v>
      </c>
      <c r="B3332" s="1" t="n">
        <v>2000</v>
      </c>
      <c r="C3332" s="1" t="n">
        <v>12</v>
      </c>
      <c r="D3332" s="1" t="s">
        <v>53</v>
      </c>
      <c r="E3332" s="1" t="s">
        <v>2</v>
      </c>
      <c r="F3332" s="1" t="n">
        <v>4.58</v>
      </c>
      <c r="G3332" s="1" t="n">
        <f aca="false">IF(E3332=E3331,F3332/F3331-1,"")</f>
        <v>-0.0107991360691144</v>
      </c>
    </row>
    <row r="3333" customFormat="false" ht="14.25" hidden="false" customHeight="true" outlineLevel="0" collapsed="false">
      <c r="A3333" s="26" t="n">
        <v>36892</v>
      </c>
      <c r="B3333" s="1" t="n">
        <v>2001</v>
      </c>
      <c r="C3333" s="1" t="n">
        <v>1</v>
      </c>
      <c r="D3333" s="1" t="s">
        <v>42</v>
      </c>
      <c r="E3333" s="1" t="s">
        <v>2</v>
      </c>
      <c r="F3333" s="1" t="n">
        <v>4.79</v>
      </c>
      <c r="G3333" s="1" t="n">
        <f aca="false">IF(E3333=E3332,F3333/F3332-1,"")</f>
        <v>0.0458515283842795</v>
      </c>
    </row>
    <row r="3334" customFormat="false" ht="14.25" hidden="false" customHeight="true" outlineLevel="0" collapsed="false">
      <c r="A3334" s="26" t="n">
        <v>36923</v>
      </c>
      <c r="B3334" s="1" t="n">
        <v>2001</v>
      </c>
      <c r="C3334" s="1" t="n">
        <v>2</v>
      </c>
      <c r="D3334" s="1" t="s">
        <v>43</v>
      </c>
      <c r="E3334" s="1" t="s">
        <v>2</v>
      </c>
      <c r="F3334" s="1" t="n">
        <v>4.43</v>
      </c>
      <c r="G3334" s="1" t="n">
        <f aca="false">IF(E3334=E3333,F3334/F3333-1,"")</f>
        <v>-0.0751565762004176</v>
      </c>
    </row>
    <row r="3335" customFormat="false" ht="14.25" hidden="false" customHeight="true" outlineLevel="0" collapsed="false">
      <c r="A3335" s="26" t="n">
        <v>36951</v>
      </c>
      <c r="B3335" s="1" t="n">
        <v>2001</v>
      </c>
      <c r="C3335" s="1" t="n">
        <v>3</v>
      </c>
      <c r="D3335" s="1" t="s">
        <v>44</v>
      </c>
      <c r="E3335" s="1" t="s">
        <v>2</v>
      </c>
      <c r="F3335" s="1" t="n">
        <v>4.33</v>
      </c>
      <c r="G3335" s="1" t="n">
        <f aca="false">IF(E3335=E3334,F3335/F3334-1,"")</f>
        <v>-0.0225733634311511</v>
      </c>
    </row>
    <row r="3336" customFormat="false" ht="14.25" hidden="false" customHeight="true" outlineLevel="0" collapsed="false">
      <c r="A3336" s="26" t="n">
        <v>36982</v>
      </c>
      <c r="B3336" s="1" t="n">
        <v>2001</v>
      </c>
      <c r="C3336" s="1" t="n">
        <v>4</v>
      </c>
      <c r="D3336" s="1" t="s">
        <v>45</v>
      </c>
      <c r="E3336" s="1" t="s">
        <v>2</v>
      </c>
      <c r="F3336" s="1" t="n">
        <v>4.37</v>
      </c>
      <c r="G3336" s="1" t="n">
        <f aca="false">IF(E3336=E3335,F3336/F3335-1,"")</f>
        <v>0.0092378752886837</v>
      </c>
    </row>
    <row r="3337" customFormat="false" ht="14.25" hidden="false" customHeight="true" outlineLevel="0" collapsed="false">
      <c r="A3337" s="26" t="n">
        <v>37012</v>
      </c>
      <c r="B3337" s="1" t="n">
        <v>2001</v>
      </c>
      <c r="C3337" s="1" t="n">
        <v>5</v>
      </c>
      <c r="D3337" s="1" t="s">
        <v>46</v>
      </c>
      <c r="E3337" s="1" t="s">
        <v>2</v>
      </c>
      <c r="F3337" s="1" t="n">
        <v>4.43</v>
      </c>
      <c r="G3337" s="1" t="n">
        <f aca="false">IF(E3337=E3336,F3337/F3336-1,"")</f>
        <v>0.0137299771167048</v>
      </c>
    </row>
    <row r="3338" customFormat="false" ht="14.25" hidden="false" customHeight="true" outlineLevel="0" collapsed="false">
      <c r="A3338" s="26" t="n">
        <v>37043</v>
      </c>
      <c r="B3338" s="1" t="n">
        <v>2001</v>
      </c>
      <c r="C3338" s="1" t="n">
        <v>6</v>
      </c>
      <c r="D3338" s="1" t="s">
        <v>47</v>
      </c>
      <c r="E3338" s="1" t="s">
        <v>2</v>
      </c>
      <c r="F3338" s="1" t="n">
        <v>4.34</v>
      </c>
      <c r="G3338" s="1" t="n">
        <f aca="false">IF(E3338=E3337,F3338/F3337-1,"")</f>
        <v>-0.020316027088036</v>
      </c>
    </row>
    <row r="3339" customFormat="false" ht="14.25" hidden="false" customHeight="true" outlineLevel="0" collapsed="false">
      <c r="A3339" s="26" t="n">
        <v>37073</v>
      </c>
      <c r="B3339" s="1" t="n">
        <v>2001</v>
      </c>
      <c r="C3339" s="1" t="n">
        <v>7</v>
      </c>
      <c r="D3339" s="1" t="s">
        <v>48</v>
      </c>
      <c r="E3339" s="1" t="s">
        <v>2</v>
      </c>
      <c r="F3339" s="1" t="n">
        <v>4.22</v>
      </c>
      <c r="G3339" s="1" t="n">
        <f aca="false">IF(E3339=E3338,F3339/F3338-1,"")</f>
        <v>-0.0276497695852534</v>
      </c>
    </row>
    <row r="3340" customFormat="false" ht="14.25" hidden="false" customHeight="true" outlineLevel="0" collapsed="false">
      <c r="A3340" s="26" t="n">
        <v>37104</v>
      </c>
      <c r="B3340" s="1" t="n">
        <v>2001</v>
      </c>
      <c r="C3340" s="1" t="n">
        <v>8</v>
      </c>
      <c r="D3340" s="1" t="s">
        <v>49</v>
      </c>
      <c r="E3340" s="1" t="s">
        <v>2</v>
      </c>
      <c r="F3340" s="1" t="n">
        <v>4.2</v>
      </c>
      <c r="G3340" s="1" t="n">
        <f aca="false">IF(E3340=E3339,F3340/F3339-1,"")</f>
        <v>-0.00473933649289093</v>
      </c>
    </row>
    <row r="3341" customFormat="false" ht="14.25" hidden="false" customHeight="true" outlineLevel="0" collapsed="false">
      <c r="A3341" s="26" t="n">
        <v>37135</v>
      </c>
      <c r="B3341" s="1" t="n">
        <v>2001</v>
      </c>
      <c r="C3341" s="1" t="n">
        <v>9</v>
      </c>
      <c r="D3341" s="1" t="s">
        <v>50</v>
      </c>
      <c r="E3341" s="1" t="s">
        <v>2</v>
      </c>
      <c r="F3341" s="1" t="n">
        <v>4.59</v>
      </c>
      <c r="G3341" s="1" t="n">
        <f aca="false">IF(E3341=E3340,F3341/F3340-1,"")</f>
        <v>0.0928571428571428</v>
      </c>
    </row>
    <row r="3342" customFormat="false" ht="14.25" hidden="false" customHeight="true" outlineLevel="0" collapsed="false">
      <c r="A3342" s="26" t="n">
        <v>37165</v>
      </c>
      <c r="B3342" s="1" t="n">
        <v>2001</v>
      </c>
      <c r="C3342" s="1" t="n">
        <v>10</v>
      </c>
      <c r="D3342" s="1" t="s">
        <v>51</v>
      </c>
      <c r="E3342" s="1" t="s">
        <v>2</v>
      </c>
      <c r="F3342" s="1" t="n">
        <v>4.28</v>
      </c>
      <c r="G3342" s="1" t="n">
        <f aca="false">IF(E3342=E3341,F3342/F3341-1,"")</f>
        <v>-0.0675381263616557</v>
      </c>
    </row>
    <row r="3343" customFormat="false" ht="14.25" hidden="false" customHeight="true" outlineLevel="0" collapsed="false">
      <c r="A3343" s="26" t="n">
        <v>37196</v>
      </c>
      <c r="B3343" s="1" t="n">
        <v>2001</v>
      </c>
      <c r="C3343" s="1" t="n">
        <v>11</v>
      </c>
      <c r="D3343" s="1" t="s">
        <v>52</v>
      </c>
      <c r="E3343" s="1" t="s">
        <v>2</v>
      </c>
      <c r="F3343" s="1" t="n">
        <v>4.14</v>
      </c>
      <c r="G3343" s="1" t="n">
        <f aca="false">IF(E3343=E3342,F3343/F3342-1,"")</f>
        <v>-0.0327102803738319</v>
      </c>
    </row>
    <row r="3344" customFormat="false" ht="14.25" hidden="false" customHeight="true" outlineLevel="0" collapsed="false">
      <c r="A3344" s="26" t="n">
        <v>37226</v>
      </c>
      <c r="B3344" s="1" t="n">
        <v>2001</v>
      </c>
      <c r="C3344" s="1" t="n">
        <v>12</v>
      </c>
      <c r="D3344" s="1" t="s">
        <v>53</v>
      </c>
      <c r="E3344" s="1" t="s">
        <v>2</v>
      </c>
      <c r="F3344" s="1" t="n">
        <v>4.52</v>
      </c>
      <c r="G3344" s="1" t="n">
        <f aca="false">IF(E3344=E3343,F3344/F3343-1,"")</f>
        <v>0.0917874396135265</v>
      </c>
    </row>
    <row r="3345" customFormat="false" ht="14.25" hidden="false" customHeight="true" outlineLevel="0" collapsed="false">
      <c r="A3345" s="26" t="n">
        <v>37257</v>
      </c>
      <c r="B3345" s="1" t="n">
        <v>2002</v>
      </c>
      <c r="C3345" s="1" t="n">
        <v>1</v>
      </c>
      <c r="D3345" s="1" t="s">
        <v>42</v>
      </c>
      <c r="E3345" s="1" t="s">
        <v>2</v>
      </c>
      <c r="F3345" s="1" t="n">
        <v>4.28</v>
      </c>
      <c r="G3345" s="1" t="n">
        <f aca="false">IF(E3345=E3344,F3345/F3344-1,"")</f>
        <v>-0.0530973451327432</v>
      </c>
    </row>
    <row r="3346" customFormat="false" ht="14.25" hidden="false" customHeight="true" outlineLevel="0" collapsed="false">
      <c r="A3346" s="26" t="n">
        <v>37288</v>
      </c>
      <c r="B3346" s="1" t="n">
        <v>2002</v>
      </c>
      <c r="C3346" s="1" t="n">
        <v>2</v>
      </c>
      <c r="D3346" s="1" t="s">
        <v>43</v>
      </c>
      <c r="E3346" s="1" t="s">
        <v>2</v>
      </c>
      <c r="F3346" s="1" t="n">
        <v>4.44</v>
      </c>
      <c r="G3346" s="1" t="n">
        <f aca="false">IF(E3346=E3345,F3346/F3345-1,"")</f>
        <v>0.0373831775700935</v>
      </c>
    </row>
    <row r="3347" customFormat="false" ht="14.25" hidden="false" customHeight="true" outlineLevel="0" collapsed="false">
      <c r="A3347" s="26" t="n">
        <v>37316</v>
      </c>
      <c r="B3347" s="1" t="n">
        <v>2002</v>
      </c>
      <c r="C3347" s="1" t="n">
        <v>3</v>
      </c>
      <c r="D3347" s="1" t="s">
        <v>44</v>
      </c>
      <c r="E3347" s="1" t="s">
        <v>2</v>
      </c>
      <c r="F3347" s="1" t="n">
        <v>4.68</v>
      </c>
      <c r="G3347" s="1" t="n">
        <f aca="false">IF(E3347=E3346,F3347/F3346-1,"")</f>
        <v>0.0540540540540539</v>
      </c>
    </row>
    <row r="3348" customFormat="false" ht="14.25" hidden="false" customHeight="true" outlineLevel="0" collapsed="false">
      <c r="A3348" s="26" t="n">
        <v>37347</v>
      </c>
      <c r="B3348" s="1" t="n">
        <v>2002</v>
      </c>
      <c r="C3348" s="1" t="n">
        <v>4</v>
      </c>
      <c r="D3348" s="1" t="s">
        <v>45</v>
      </c>
      <c r="E3348" s="1" t="s">
        <v>2</v>
      </c>
      <c r="F3348" s="1" t="n">
        <v>4.6</v>
      </c>
      <c r="G3348" s="1" t="n">
        <f aca="false">IF(E3348=E3347,F3348/F3347-1,"")</f>
        <v>-0.0170940170940171</v>
      </c>
    </row>
    <row r="3349" customFormat="false" ht="14.25" hidden="false" customHeight="true" outlineLevel="0" collapsed="false">
      <c r="A3349" s="26" t="n">
        <v>37377</v>
      </c>
      <c r="B3349" s="1" t="n">
        <v>2002</v>
      </c>
      <c r="C3349" s="1" t="n">
        <v>5</v>
      </c>
      <c r="D3349" s="1" t="s">
        <v>46</v>
      </c>
      <c r="E3349" s="1" t="s">
        <v>2</v>
      </c>
      <c r="F3349" s="1" t="n">
        <v>5.05</v>
      </c>
      <c r="G3349" s="1" t="n">
        <f aca="false">IF(E3349=E3348,F3349/F3348-1,"")</f>
        <v>0.0978260869565217</v>
      </c>
    </row>
    <row r="3350" customFormat="false" ht="14.25" hidden="false" customHeight="true" outlineLevel="0" collapsed="false">
      <c r="A3350" s="26" t="n">
        <v>37408</v>
      </c>
      <c r="B3350" s="1" t="n">
        <v>2002</v>
      </c>
      <c r="C3350" s="1" t="n">
        <v>6</v>
      </c>
      <c r="D3350" s="1" t="s">
        <v>47</v>
      </c>
      <c r="E3350" s="1" t="s">
        <v>2</v>
      </c>
      <c r="F3350" s="1" t="n">
        <v>4.87</v>
      </c>
      <c r="G3350" s="1" t="n">
        <f aca="false">IF(E3350=E3349,F3350/F3349-1,"")</f>
        <v>-0.0356435643564356</v>
      </c>
    </row>
    <row r="3351" customFormat="false" ht="14.25" hidden="false" customHeight="true" outlineLevel="0" collapsed="false">
      <c r="A3351" s="26" t="n">
        <v>37438</v>
      </c>
      <c r="B3351" s="1" t="n">
        <v>2002</v>
      </c>
      <c r="C3351" s="1" t="n">
        <v>7</v>
      </c>
      <c r="D3351" s="1" t="s">
        <v>48</v>
      </c>
      <c r="E3351" s="1" t="s">
        <v>2</v>
      </c>
      <c r="F3351" s="1" t="n">
        <v>4.66</v>
      </c>
      <c r="G3351" s="1" t="n">
        <f aca="false">IF(E3351=E3350,F3351/F3350-1,"")</f>
        <v>-0.0431211498973306</v>
      </c>
    </row>
    <row r="3352" customFormat="false" ht="14.25" hidden="false" customHeight="true" outlineLevel="0" collapsed="false">
      <c r="A3352" s="26" t="n">
        <v>37469</v>
      </c>
      <c r="B3352" s="1" t="n">
        <v>2002</v>
      </c>
      <c r="C3352" s="1" t="n">
        <v>8</v>
      </c>
      <c r="D3352" s="1" t="s">
        <v>49</v>
      </c>
      <c r="E3352" s="1" t="s">
        <v>2</v>
      </c>
      <c r="F3352" s="1" t="n">
        <v>4.57</v>
      </c>
      <c r="G3352" s="1" t="n">
        <f aca="false">IF(E3352=E3351,F3352/F3351-1,"")</f>
        <v>-0.01931330472103</v>
      </c>
    </row>
    <row r="3353" customFormat="false" ht="14.25" hidden="false" customHeight="true" outlineLevel="0" collapsed="false">
      <c r="A3353" s="26" t="n">
        <v>37500</v>
      </c>
      <c r="B3353" s="1" t="n">
        <v>2002</v>
      </c>
      <c r="C3353" s="1" t="n">
        <v>9</v>
      </c>
      <c r="D3353" s="1" t="s">
        <v>50</v>
      </c>
      <c r="E3353" s="1" t="s">
        <v>2</v>
      </c>
      <c r="F3353" s="1" t="n">
        <v>4.53</v>
      </c>
      <c r="G3353" s="1" t="n">
        <f aca="false">IF(E3353=E3352,F3353/F3352-1,"")</f>
        <v>-0.00875273522975928</v>
      </c>
    </row>
    <row r="3354" customFormat="false" ht="14.25" hidden="false" customHeight="true" outlineLevel="0" collapsed="false">
      <c r="A3354" s="26" t="n">
        <v>37530</v>
      </c>
      <c r="B3354" s="1" t="n">
        <v>2002</v>
      </c>
      <c r="C3354" s="1" t="n">
        <v>10</v>
      </c>
      <c r="D3354" s="1" t="s">
        <v>51</v>
      </c>
      <c r="E3354" s="1" t="s">
        <v>2</v>
      </c>
      <c r="F3354" s="1" t="n">
        <v>4.48</v>
      </c>
      <c r="G3354" s="1" t="n">
        <f aca="false">IF(E3354=E3353,F3354/F3353-1,"")</f>
        <v>-0.0110375275938189</v>
      </c>
    </row>
    <row r="3355" customFormat="false" ht="14.25" hidden="false" customHeight="true" outlineLevel="0" collapsed="false">
      <c r="A3355" s="26" t="n">
        <v>37561</v>
      </c>
      <c r="B3355" s="1" t="n">
        <v>2002</v>
      </c>
      <c r="C3355" s="1" t="n">
        <v>11</v>
      </c>
      <c r="D3355" s="1" t="s">
        <v>52</v>
      </c>
      <c r="E3355" s="1" t="s">
        <v>2</v>
      </c>
      <c r="F3355" s="1" t="n">
        <v>4.43</v>
      </c>
      <c r="G3355" s="1" t="n">
        <f aca="false">IF(E3355=E3354,F3355/F3354-1,"")</f>
        <v>-0.0111607142857144</v>
      </c>
    </row>
    <row r="3356" customFormat="false" ht="14.25" hidden="false" customHeight="true" outlineLevel="0" collapsed="false">
      <c r="A3356" s="26" t="n">
        <v>37591</v>
      </c>
      <c r="B3356" s="1" t="n">
        <v>2002</v>
      </c>
      <c r="C3356" s="1" t="n">
        <v>12</v>
      </c>
      <c r="D3356" s="1" t="s">
        <v>53</v>
      </c>
      <c r="E3356" s="1" t="s">
        <v>2</v>
      </c>
      <c r="F3356" s="1" t="n">
        <v>4.67</v>
      </c>
      <c r="G3356" s="1" t="n">
        <f aca="false">IF(E3356=E3355,F3356/F3355-1,"")</f>
        <v>0.0541760722347631</v>
      </c>
    </row>
    <row r="3357" customFormat="false" ht="14.25" hidden="false" customHeight="true" outlineLevel="0" collapsed="false">
      <c r="A3357" s="26" t="n">
        <v>37622</v>
      </c>
      <c r="B3357" s="1" t="n">
        <v>2003</v>
      </c>
      <c r="C3357" s="1" t="n">
        <v>1</v>
      </c>
      <c r="D3357" s="1" t="s">
        <v>42</v>
      </c>
      <c r="E3357" s="1" t="s">
        <v>2</v>
      </c>
      <c r="F3357" s="1" t="n">
        <v>4.87</v>
      </c>
      <c r="G3357" s="1" t="n">
        <f aca="false">IF(E3357=E3356,F3357/F3356-1,"")</f>
        <v>0.0428265524625269</v>
      </c>
    </row>
    <row r="3358" customFormat="false" ht="14.25" hidden="false" customHeight="true" outlineLevel="0" collapsed="false">
      <c r="A3358" s="26" t="n">
        <v>37653</v>
      </c>
      <c r="B3358" s="1" t="n">
        <v>2003</v>
      </c>
      <c r="C3358" s="1" t="n">
        <v>2</v>
      </c>
      <c r="D3358" s="1" t="s">
        <v>43</v>
      </c>
      <c r="E3358" s="1" t="s">
        <v>2</v>
      </c>
      <c r="F3358" s="1" t="n">
        <v>4.6</v>
      </c>
      <c r="G3358" s="1" t="n">
        <f aca="false">IF(E3358=E3357,F3358/F3357-1,"")</f>
        <v>-0.0554414784394252</v>
      </c>
    </row>
    <row r="3359" customFormat="false" ht="14.25" hidden="false" customHeight="true" outlineLevel="0" collapsed="false">
      <c r="A3359" s="26" t="n">
        <v>37681</v>
      </c>
      <c r="B3359" s="1" t="n">
        <v>2003</v>
      </c>
      <c r="C3359" s="1" t="n">
        <v>3</v>
      </c>
      <c r="D3359" s="1" t="s">
        <v>44</v>
      </c>
      <c r="E3359" s="1" t="s">
        <v>2</v>
      </c>
      <c r="F3359" s="1" t="n">
        <v>4.46</v>
      </c>
      <c r="G3359" s="1" t="n">
        <f aca="false">IF(E3359=E3358,F3359/F3358-1,"")</f>
        <v>-0.0304347826086956</v>
      </c>
    </row>
    <row r="3360" customFormat="false" ht="14.25" hidden="false" customHeight="true" outlineLevel="0" collapsed="false">
      <c r="A3360" s="26" t="n">
        <v>37712</v>
      </c>
      <c r="B3360" s="1" t="n">
        <v>2003</v>
      </c>
      <c r="C3360" s="1" t="n">
        <v>4</v>
      </c>
      <c r="D3360" s="1" t="s">
        <v>45</v>
      </c>
      <c r="E3360" s="1" t="s">
        <v>2</v>
      </c>
      <c r="F3360" s="1" t="n">
        <v>4.61</v>
      </c>
      <c r="G3360" s="1" t="n">
        <f aca="false">IF(E3360=E3359,F3360/F3359-1,"")</f>
        <v>0.0336322869955157</v>
      </c>
    </row>
    <row r="3361" customFormat="false" ht="14.25" hidden="false" customHeight="true" outlineLevel="0" collapsed="false">
      <c r="A3361" s="26" t="n">
        <v>37742</v>
      </c>
      <c r="B3361" s="1" t="n">
        <v>2003</v>
      </c>
      <c r="C3361" s="1" t="n">
        <v>5</v>
      </c>
      <c r="D3361" s="1" t="s">
        <v>46</v>
      </c>
      <c r="E3361" s="1" t="s">
        <v>2</v>
      </c>
      <c r="F3361" s="1" t="n">
        <v>4.56</v>
      </c>
      <c r="G3361" s="1" t="n">
        <f aca="false">IF(E3361=E3360,F3361/F3360-1,"")</f>
        <v>-0.0108459869848158</v>
      </c>
    </row>
    <row r="3362" customFormat="false" ht="14.25" hidden="false" customHeight="true" outlineLevel="0" collapsed="false">
      <c r="A3362" s="26" t="n">
        <v>37773</v>
      </c>
      <c r="B3362" s="1" t="n">
        <v>2003</v>
      </c>
      <c r="C3362" s="1" t="n">
        <v>6</v>
      </c>
      <c r="D3362" s="1" t="s">
        <v>47</v>
      </c>
      <c r="E3362" s="1" t="s">
        <v>2</v>
      </c>
      <c r="F3362" s="1" t="n">
        <v>4.51</v>
      </c>
      <c r="G3362" s="1" t="n">
        <f aca="false">IF(E3362=E3361,F3362/F3361-1,"")</f>
        <v>-0.0109649122807017</v>
      </c>
    </row>
    <row r="3363" customFormat="false" ht="14.25" hidden="false" customHeight="true" outlineLevel="0" collapsed="false">
      <c r="A3363" s="26" t="n">
        <v>37803</v>
      </c>
      <c r="B3363" s="1" t="n">
        <v>2003</v>
      </c>
      <c r="C3363" s="1" t="n">
        <v>7</v>
      </c>
      <c r="D3363" s="1" t="s">
        <v>48</v>
      </c>
      <c r="E3363" s="1" t="s">
        <v>2</v>
      </c>
      <c r="F3363" s="1" t="n">
        <v>5.08</v>
      </c>
      <c r="G3363" s="1" t="n">
        <f aca="false">IF(E3363=E3362,F3363/F3362-1,"")</f>
        <v>0.126385809312639</v>
      </c>
    </row>
    <row r="3364" customFormat="false" ht="14.25" hidden="false" customHeight="true" outlineLevel="0" collapsed="false">
      <c r="A3364" s="26" t="n">
        <v>37834</v>
      </c>
      <c r="B3364" s="1" t="n">
        <v>2003</v>
      </c>
      <c r="C3364" s="1" t="n">
        <v>8</v>
      </c>
      <c r="D3364" s="1" t="s">
        <v>49</v>
      </c>
      <c r="E3364" s="1" t="s">
        <v>2</v>
      </c>
      <c r="F3364" s="1" t="n">
        <v>5.11</v>
      </c>
      <c r="G3364" s="1" t="n">
        <f aca="false">IF(E3364=E3363,F3364/F3363-1,"")</f>
        <v>0.00590551181102361</v>
      </c>
    </row>
    <row r="3365" customFormat="false" ht="14.25" hidden="false" customHeight="true" outlineLevel="0" collapsed="false">
      <c r="A3365" s="26" t="n">
        <v>37865</v>
      </c>
      <c r="B3365" s="1" t="n">
        <v>2003</v>
      </c>
      <c r="C3365" s="1" t="n">
        <v>9</v>
      </c>
      <c r="D3365" s="1" t="s">
        <v>50</v>
      </c>
      <c r="E3365" s="1" t="s">
        <v>2</v>
      </c>
      <c r="F3365" s="1" t="n">
        <v>5.12</v>
      </c>
      <c r="G3365" s="1" t="n">
        <f aca="false">IF(E3365=E3364,F3365/F3364-1,"")</f>
        <v>0.00195694716242656</v>
      </c>
    </row>
    <row r="3366" customFormat="false" ht="14.25" hidden="false" customHeight="true" outlineLevel="0" collapsed="false">
      <c r="A3366" s="26" t="n">
        <v>37895</v>
      </c>
      <c r="B3366" s="1" t="n">
        <v>2003</v>
      </c>
      <c r="C3366" s="1" t="n">
        <v>10</v>
      </c>
      <c r="D3366" s="1" t="s">
        <v>51</v>
      </c>
      <c r="E3366" s="1" t="s">
        <v>2</v>
      </c>
      <c r="F3366" s="1" t="n">
        <v>5.14</v>
      </c>
      <c r="G3366" s="1" t="n">
        <f aca="false">IF(E3366=E3365,F3366/F3365-1,"")</f>
        <v>0.00390625</v>
      </c>
    </row>
    <row r="3367" customFormat="false" ht="14.25" hidden="false" customHeight="true" outlineLevel="0" collapsed="false">
      <c r="A3367" s="26" t="n">
        <v>37926</v>
      </c>
      <c r="B3367" s="1" t="n">
        <v>2003</v>
      </c>
      <c r="C3367" s="1" t="n">
        <v>11</v>
      </c>
      <c r="D3367" s="1" t="s">
        <v>52</v>
      </c>
      <c r="E3367" s="1" t="s">
        <v>2</v>
      </c>
      <c r="F3367" s="1" t="n">
        <v>5.35</v>
      </c>
      <c r="G3367" s="1" t="n">
        <f aca="false">IF(E3367=E3366,F3367/F3366-1,"")</f>
        <v>0.0408560311284047</v>
      </c>
    </row>
    <row r="3368" customFormat="false" ht="14.25" hidden="false" customHeight="true" outlineLevel="0" collapsed="false">
      <c r="A3368" s="26" t="n">
        <v>37956</v>
      </c>
      <c r="B3368" s="1" t="n">
        <v>2003</v>
      </c>
      <c r="C3368" s="1" t="n">
        <v>12</v>
      </c>
      <c r="D3368" s="1" t="s">
        <v>53</v>
      </c>
      <c r="E3368" s="1" t="s">
        <v>2</v>
      </c>
      <c r="F3368" s="1" t="n">
        <v>5.97</v>
      </c>
      <c r="G3368" s="1" t="n">
        <f aca="false">IF(E3368=E3367,F3368/F3367-1,"")</f>
        <v>0.11588785046729</v>
      </c>
    </row>
    <row r="3369" customFormat="false" ht="14.25" hidden="false" customHeight="true" outlineLevel="0" collapsed="false">
      <c r="A3369" s="26" t="n">
        <v>37987</v>
      </c>
      <c r="B3369" s="1" t="n">
        <v>2004</v>
      </c>
      <c r="C3369" s="1" t="n">
        <v>1</v>
      </c>
      <c r="D3369" s="1" t="s">
        <v>42</v>
      </c>
      <c r="E3369" s="1" t="s">
        <v>2</v>
      </c>
      <c r="F3369" s="1" t="n">
        <v>6.23</v>
      </c>
      <c r="G3369" s="1" t="n">
        <f aca="false">IF(E3369=E3368,F3369/F3368-1,"")</f>
        <v>0.0435510887772195</v>
      </c>
    </row>
    <row r="3370" customFormat="false" ht="14.25" hidden="false" customHeight="true" outlineLevel="0" collapsed="false">
      <c r="A3370" s="26" t="n">
        <v>38018</v>
      </c>
      <c r="B3370" s="1" t="n">
        <v>2004</v>
      </c>
      <c r="C3370" s="1" t="n">
        <v>2</v>
      </c>
      <c r="D3370" s="1" t="s">
        <v>43</v>
      </c>
      <c r="E3370" s="1" t="s">
        <v>2</v>
      </c>
      <c r="F3370" s="1" t="n">
        <v>6.58</v>
      </c>
      <c r="G3370" s="1" t="n">
        <f aca="false">IF(E3370=E3369,F3370/F3369-1,"")</f>
        <v>0.0561797752808988</v>
      </c>
    </row>
    <row r="3371" customFormat="false" ht="14.25" hidden="false" customHeight="true" outlineLevel="0" collapsed="false">
      <c r="A3371" s="26" t="n">
        <v>38047</v>
      </c>
      <c r="B3371" s="1" t="n">
        <v>2004</v>
      </c>
      <c r="C3371" s="1" t="n">
        <v>3</v>
      </c>
      <c r="D3371" s="1" t="s">
        <v>44</v>
      </c>
      <c r="E3371" s="1" t="s">
        <v>2</v>
      </c>
      <c r="F3371" s="1" t="n">
        <v>7.83</v>
      </c>
      <c r="G3371" s="1" t="n">
        <f aca="false">IF(E3371=E3370,F3371/F3370-1,"")</f>
        <v>0.189969604863222</v>
      </c>
    </row>
    <row r="3372" customFormat="false" ht="14.25" hidden="false" customHeight="true" outlineLevel="0" collapsed="false">
      <c r="A3372" s="26" t="n">
        <v>38078</v>
      </c>
      <c r="B3372" s="1" t="n">
        <v>2004</v>
      </c>
      <c r="C3372" s="1" t="n">
        <v>4</v>
      </c>
      <c r="D3372" s="1" t="s">
        <v>45</v>
      </c>
      <c r="E3372" s="1" t="s">
        <v>2</v>
      </c>
      <c r="F3372" s="1" t="n">
        <v>5.95</v>
      </c>
      <c r="G3372" s="1" t="n">
        <f aca="false">IF(E3372=E3371,F3372/F3371-1,"")</f>
        <v>-0.240102171136654</v>
      </c>
    </row>
    <row r="3373" customFormat="false" ht="14.25" hidden="false" customHeight="true" outlineLevel="0" collapsed="false">
      <c r="A3373" s="26" t="n">
        <v>38108</v>
      </c>
      <c r="B3373" s="1" t="n">
        <v>2004</v>
      </c>
      <c r="C3373" s="1" t="n">
        <v>5</v>
      </c>
      <c r="D3373" s="1" t="s">
        <v>46</v>
      </c>
      <c r="E3373" s="1" t="s">
        <v>2</v>
      </c>
      <c r="F3373" s="1" t="n">
        <v>6.17</v>
      </c>
      <c r="G3373" s="1" t="n">
        <f aca="false">IF(E3373=E3372,F3373/F3372-1,"")</f>
        <v>0.0369747899159663</v>
      </c>
    </row>
    <row r="3374" customFormat="false" ht="14.25" hidden="false" customHeight="true" outlineLevel="0" collapsed="false">
      <c r="A3374" s="26" t="n">
        <v>38139</v>
      </c>
      <c r="B3374" s="1" t="n">
        <v>2004</v>
      </c>
      <c r="C3374" s="1" t="n">
        <v>6</v>
      </c>
      <c r="D3374" s="1" t="s">
        <v>47</v>
      </c>
      <c r="E3374" s="1" t="s">
        <v>2</v>
      </c>
      <c r="F3374" s="1" t="n">
        <v>5.91</v>
      </c>
      <c r="G3374" s="1" t="n">
        <f aca="false">IF(E3374=E3373,F3374/F3373-1,"")</f>
        <v>-0.0421393841166936</v>
      </c>
    </row>
    <row r="3375" customFormat="false" ht="14.25" hidden="false" customHeight="true" outlineLevel="0" collapsed="false">
      <c r="A3375" s="26" t="n">
        <v>38169</v>
      </c>
      <c r="B3375" s="1" t="n">
        <v>2004</v>
      </c>
      <c r="C3375" s="1" t="n">
        <v>7</v>
      </c>
      <c r="D3375" s="1" t="s">
        <v>48</v>
      </c>
      <c r="E3375" s="1" t="s">
        <v>2</v>
      </c>
      <c r="F3375" s="1" t="n">
        <v>6.42</v>
      </c>
      <c r="G3375" s="1" t="n">
        <f aca="false">IF(E3375=E3374,F3375/F3374-1,"")</f>
        <v>0.0862944162436548</v>
      </c>
    </row>
    <row r="3376" customFormat="false" ht="14.25" hidden="false" customHeight="true" outlineLevel="0" collapsed="false">
      <c r="A3376" s="26" t="n">
        <v>38200</v>
      </c>
      <c r="B3376" s="1" t="n">
        <v>2004</v>
      </c>
      <c r="C3376" s="1" t="n">
        <v>8</v>
      </c>
      <c r="D3376" s="1" t="s">
        <v>49</v>
      </c>
      <c r="E3376" s="1" t="s">
        <v>2</v>
      </c>
      <c r="F3376" s="1" t="n">
        <v>6.74</v>
      </c>
      <c r="G3376" s="1" t="n">
        <f aca="false">IF(E3376=E3375,F3376/F3375-1,"")</f>
        <v>0.0498442367601246</v>
      </c>
    </row>
    <row r="3377" customFormat="false" ht="14.25" hidden="false" customHeight="true" outlineLevel="0" collapsed="false">
      <c r="A3377" s="26" t="n">
        <v>38231</v>
      </c>
      <c r="B3377" s="1" t="n">
        <v>2004</v>
      </c>
      <c r="C3377" s="1" t="n">
        <v>9</v>
      </c>
      <c r="D3377" s="1" t="s">
        <v>50</v>
      </c>
      <c r="E3377" s="1" t="s">
        <v>2</v>
      </c>
      <c r="F3377" s="1" t="n">
        <v>6.67</v>
      </c>
      <c r="G3377" s="1" t="n">
        <f aca="false">IF(E3377=E3376,F3377/F3376-1,"")</f>
        <v>-0.0103857566765579</v>
      </c>
    </row>
    <row r="3378" customFormat="false" ht="14.25" hidden="false" customHeight="true" outlineLevel="0" collapsed="false">
      <c r="A3378" s="26" t="n">
        <v>38261</v>
      </c>
      <c r="B3378" s="1" t="n">
        <v>2004</v>
      </c>
      <c r="C3378" s="1" t="n">
        <v>10</v>
      </c>
      <c r="D3378" s="1" t="s">
        <v>51</v>
      </c>
      <c r="E3378" s="1" t="s">
        <v>2</v>
      </c>
      <c r="F3378" s="1" t="n">
        <v>7.16</v>
      </c>
      <c r="G3378" s="1" t="n">
        <f aca="false">IF(E3378=E3377,F3378/F3377-1,"")</f>
        <v>0.0734632683658172</v>
      </c>
    </row>
    <row r="3379" customFormat="false" ht="14.25" hidden="false" customHeight="true" outlineLevel="0" collapsed="false">
      <c r="A3379" s="26" t="n">
        <v>38292</v>
      </c>
      <c r="B3379" s="1" t="n">
        <v>2004</v>
      </c>
      <c r="C3379" s="1" t="n">
        <v>11</v>
      </c>
      <c r="D3379" s="1" t="s">
        <v>52</v>
      </c>
      <c r="E3379" s="1" t="s">
        <v>2</v>
      </c>
      <c r="F3379" s="1" t="n">
        <v>7.76</v>
      </c>
      <c r="G3379" s="1" t="n">
        <f aca="false">IF(E3379=E3378,F3379/F3378-1,"")</f>
        <v>0.0837988826815641</v>
      </c>
    </row>
    <row r="3380" customFormat="false" ht="14.25" hidden="false" customHeight="true" outlineLevel="0" collapsed="false">
      <c r="A3380" s="26" t="n">
        <v>38322</v>
      </c>
      <c r="B3380" s="1" t="n">
        <v>2004</v>
      </c>
      <c r="C3380" s="1" t="n">
        <v>12</v>
      </c>
      <c r="D3380" s="1" t="s">
        <v>53</v>
      </c>
      <c r="E3380" s="1" t="s">
        <v>2</v>
      </c>
      <c r="F3380" s="1" t="n">
        <v>6.82</v>
      </c>
      <c r="G3380" s="1" t="n">
        <f aca="false">IF(E3380=E3379,F3380/F3379-1,"")</f>
        <v>-0.121134020618557</v>
      </c>
    </row>
    <row r="3381" customFormat="false" ht="14.25" hidden="false" customHeight="true" outlineLevel="0" collapsed="false">
      <c r="A3381" s="26" t="n">
        <v>38353</v>
      </c>
      <c r="B3381" s="1" t="n">
        <v>2005</v>
      </c>
      <c r="C3381" s="1" t="n">
        <v>1</v>
      </c>
      <c r="D3381" s="1" t="s">
        <v>42</v>
      </c>
      <c r="E3381" s="1" t="s">
        <v>2</v>
      </c>
      <c r="F3381" s="1" t="n">
        <v>6.72</v>
      </c>
      <c r="G3381" s="1" t="n">
        <f aca="false">IF(E3381=E3380,F3381/F3380-1,"")</f>
        <v>-0.0146627565982406</v>
      </c>
    </row>
    <row r="3382" customFormat="false" ht="14.25" hidden="false" customHeight="true" outlineLevel="0" collapsed="false">
      <c r="A3382" s="26" t="n">
        <v>38384</v>
      </c>
      <c r="B3382" s="1" t="n">
        <v>2005</v>
      </c>
      <c r="C3382" s="1" t="n">
        <v>2</v>
      </c>
      <c r="D3382" s="1" t="s">
        <v>43</v>
      </c>
      <c r="E3382" s="1" t="s">
        <v>2</v>
      </c>
      <c r="F3382" s="1" t="n">
        <v>7.35</v>
      </c>
      <c r="G3382" s="1" t="n">
        <f aca="false">IF(E3382=E3381,F3382/F3381-1,"")</f>
        <v>0.09375</v>
      </c>
    </row>
    <row r="3383" customFormat="false" ht="14.25" hidden="false" customHeight="true" outlineLevel="0" collapsed="false">
      <c r="A3383" s="26" t="n">
        <v>38412</v>
      </c>
      <c r="B3383" s="1" t="n">
        <v>2005</v>
      </c>
      <c r="C3383" s="1" t="n">
        <v>3</v>
      </c>
      <c r="D3383" s="1" t="s">
        <v>44</v>
      </c>
      <c r="E3383" s="1" t="s">
        <v>2</v>
      </c>
      <c r="F3383" s="1" t="n">
        <v>7.19</v>
      </c>
      <c r="G3383" s="1" t="n">
        <f aca="false">IF(E3383=E3382,F3383/F3382-1,"")</f>
        <v>-0.0217687074829931</v>
      </c>
    </row>
    <row r="3384" customFormat="false" ht="14.25" hidden="false" customHeight="true" outlineLevel="0" collapsed="false">
      <c r="A3384" s="26" t="n">
        <v>38443</v>
      </c>
      <c r="B3384" s="1" t="n">
        <v>2005</v>
      </c>
      <c r="C3384" s="1" t="n">
        <v>4</v>
      </c>
      <c r="D3384" s="1" t="s">
        <v>45</v>
      </c>
      <c r="E3384" s="1" t="s">
        <v>2</v>
      </c>
      <c r="F3384" s="1" t="n">
        <v>6.98</v>
      </c>
      <c r="G3384" s="1" t="n">
        <f aca="false">IF(E3384=E3383,F3384/F3383-1,"")</f>
        <v>-0.0292072322670376</v>
      </c>
    </row>
    <row r="3385" customFormat="false" ht="14.25" hidden="false" customHeight="true" outlineLevel="0" collapsed="false">
      <c r="A3385" s="26" t="n">
        <v>38473</v>
      </c>
      <c r="B3385" s="1" t="n">
        <v>2005</v>
      </c>
      <c r="C3385" s="1" t="n">
        <v>5</v>
      </c>
      <c r="D3385" s="1" t="s">
        <v>46</v>
      </c>
      <c r="E3385" s="1" t="s">
        <v>2</v>
      </c>
      <c r="F3385" s="1" t="n">
        <v>7.13</v>
      </c>
      <c r="G3385" s="1" t="n">
        <f aca="false">IF(E3385=E3384,F3385/F3384-1,"")</f>
        <v>0.0214899713467047</v>
      </c>
    </row>
    <row r="3386" customFormat="false" ht="14.25" hidden="false" customHeight="true" outlineLevel="0" collapsed="false">
      <c r="A3386" s="26" t="n">
        <v>38504</v>
      </c>
      <c r="B3386" s="1" t="n">
        <v>2005</v>
      </c>
      <c r="C3386" s="1" t="n">
        <v>6</v>
      </c>
      <c r="D3386" s="1" t="s">
        <v>47</v>
      </c>
      <c r="E3386" s="1" t="s">
        <v>2</v>
      </c>
      <c r="F3386" s="1" t="n">
        <v>7.1</v>
      </c>
      <c r="G3386" s="1" t="n">
        <f aca="false">IF(E3386=E3385,F3386/F3385-1,"")</f>
        <v>-0.00420757363253865</v>
      </c>
    </row>
    <row r="3387" customFormat="false" ht="14.25" hidden="false" customHeight="true" outlineLevel="0" collapsed="false">
      <c r="A3387" s="26" t="n">
        <v>38534</v>
      </c>
      <c r="B3387" s="1" t="n">
        <v>2005</v>
      </c>
      <c r="C3387" s="1" t="n">
        <v>7</v>
      </c>
      <c r="D3387" s="1" t="s">
        <v>48</v>
      </c>
      <c r="E3387" s="1" t="s">
        <v>2</v>
      </c>
      <c r="F3387" s="1" t="n">
        <v>7.15</v>
      </c>
      <c r="G3387" s="1" t="n">
        <f aca="false">IF(E3387=E3386,F3387/F3386-1,"")</f>
        <v>0.00704225352112675</v>
      </c>
    </row>
    <row r="3388" customFormat="false" ht="14.25" hidden="false" customHeight="true" outlineLevel="0" collapsed="false">
      <c r="A3388" s="26" t="n">
        <v>38565</v>
      </c>
      <c r="B3388" s="1" t="n">
        <v>2005</v>
      </c>
      <c r="C3388" s="1" t="n">
        <v>8</v>
      </c>
      <c r="D3388" s="1" t="s">
        <v>49</v>
      </c>
      <c r="E3388" s="1" t="s">
        <v>2</v>
      </c>
      <c r="F3388" s="1" t="n">
        <v>6.74</v>
      </c>
      <c r="G3388" s="1" t="n">
        <f aca="false">IF(E3388=E3387,F3388/F3387-1,"")</f>
        <v>-0.0573426573426573</v>
      </c>
    </row>
    <row r="3389" customFormat="false" ht="14.25" hidden="false" customHeight="true" outlineLevel="0" collapsed="false">
      <c r="A3389" s="26" t="n">
        <v>38596</v>
      </c>
      <c r="B3389" s="1" t="n">
        <v>2005</v>
      </c>
      <c r="C3389" s="1" t="n">
        <v>9</v>
      </c>
      <c r="D3389" s="1" t="s">
        <v>50</v>
      </c>
      <c r="E3389" s="1" t="s">
        <v>2</v>
      </c>
      <c r="F3389" s="1" t="n">
        <v>7.53</v>
      </c>
      <c r="G3389" s="1" t="n">
        <f aca="false">IF(E3389=E3388,F3389/F3388-1,"")</f>
        <v>0.117210682492582</v>
      </c>
    </row>
    <row r="3390" customFormat="false" ht="14.25" hidden="false" customHeight="true" outlineLevel="0" collapsed="false">
      <c r="A3390" s="26" t="n">
        <v>38626</v>
      </c>
      <c r="B3390" s="1" t="n">
        <v>2005</v>
      </c>
      <c r="C3390" s="1" t="n">
        <v>10</v>
      </c>
      <c r="D3390" s="1" t="s">
        <v>51</v>
      </c>
      <c r="E3390" s="1" t="s">
        <v>2</v>
      </c>
      <c r="F3390" s="1" t="n">
        <v>7.77</v>
      </c>
      <c r="G3390" s="1" t="n">
        <f aca="false">IF(E3390=E3389,F3390/F3389-1,"")</f>
        <v>0.0318725099601593</v>
      </c>
    </row>
    <row r="3391" customFormat="false" ht="14.25" hidden="false" customHeight="true" outlineLevel="0" collapsed="false">
      <c r="A3391" s="26" t="n">
        <v>38657</v>
      </c>
      <c r="B3391" s="1" t="n">
        <v>2005</v>
      </c>
      <c r="C3391" s="1" t="n">
        <v>11</v>
      </c>
      <c r="D3391" s="1" t="s">
        <v>52</v>
      </c>
      <c r="E3391" s="1" t="s">
        <v>2</v>
      </c>
      <c r="F3391" s="1" t="n">
        <v>8.21</v>
      </c>
      <c r="G3391" s="1" t="n">
        <f aca="false">IF(E3391=E3390,F3391/F3390-1,"")</f>
        <v>0.0566280566280568</v>
      </c>
    </row>
    <row r="3392" customFormat="false" ht="14.25" hidden="false" customHeight="true" outlineLevel="0" collapsed="false">
      <c r="A3392" s="26" t="n">
        <v>38687</v>
      </c>
      <c r="B3392" s="1" t="n">
        <v>2005</v>
      </c>
      <c r="C3392" s="1" t="n">
        <v>12</v>
      </c>
      <c r="D3392" s="1" t="s">
        <v>53</v>
      </c>
      <c r="E3392" s="1" t="s">
        <v>2</v>
      </c>
      <c r="F3392" s="1" t="n">
        <v>8.83</v>
      </c>
      <c r="G3392" s="1" t="n">
        <f aca="false">IF(E3392=E3391,F3392/F3391-1,"")</f>
        <v>0.0755176613885504</v>
      </c>
    </row>
    <row r="3393" customFormat="false" ht="14.25" hidden="false" customHeight="true" outlineLevel="0" collapsed="false">
      <c r="A3393" s="26" t="n">
        <v>38718</v>
      </c>
      <c r="B3393" s="1" t="n">
        <v>2006</v>
      </c>
      <c r="C3393" s="1" t="n">
        <v>1</v>
      </c>
      <c r="D3393" s="1" t="s">
        <v>42</v>
      </c>
      <c r="E3393" s="1" t="s">
        <v>2</v>
      </c>
      <c r="F3393" s="1" t="n">
        <v>9.91</v>
      </c>
      <c r="G3393" s="1" t="n">
        <f aca="false">IF(E3393=E3392,F3393/F3392-1,"")</f>
        <v>0.122310305775764</v>
      </c>
    </row>
    <row r="3394" customFormat="false" ht="14.25" hidden="false" customHeight="true" outlineLevel="0" collapsed="false">
      <c r="A3394" s="26" t="n">
        <v>38749</v>
      </c>
      <c r="B3394" s="1" t="n">
        <v>2006</v>
      </c>
      <c r="C3394" s="1" t="n">
        <v>2</v>
      </c>
      <c r="D3394" s="1" t="s">
        <v>43</v>
      </c>
      <c r="E3394" s="1" t="s">
        <v>2</v>
      </c>
      <c r="F3394" s="1" t="n">
        <v>9.7</v>
      </c>
      <c r="G3394" s="1" t="n">
        <f aca="false">IF(E3394=E3393,F3394/F3393-1,"")</f>
        <v>-0.0211907164480324</v>
      </c>
    </row>
    <row r="3395" customFormat="false" ht="14.25" hidden="false" customHeight="true" outlineLevel="0" collapsed="false">
      <c r="A3395" s="26" t="n">
        <v>38777</v>
      </c>
      <c r="B3395" s="1" t="n">
        <v>2006</v>
      </c>
      <c r="C3395" s="1" t="n">
        <v>3</v>
      </c>
      <c r="D3395" s="1" t="s">
        <v>44</v>
      </c>
      <c r="E3395" s="1" t="s">
        <v>2</v>
      </c>
      <c r="F3395" s="1" t="n">
        <v>11.76</v>
      </c>
      <c r="G3395" s="1" t="n">
        <f aca="false">IF(E3395=E3394,F3395/F3394-1,"")</f>
        <v>0.212371134020619</v>
      </c>
    </row>
    <row r="3396" customFormat="false" ht="14.25" hidden="false" customHeight="true" outlineLevel="0" collapsed="false">
      <c r="A3396" s="26" t="n">
        <v>38808</v>
      </c>
      <c r="B3396" s="1" t="n">
        <v>2006</v>
      </c>
      <c r="C3396" s="1" t="n">
        <v>4</v>
      </c>
      <c r="D3396" s="1" t="s">
        <v>45</v>
      </c>
      <c r="E3396" s="1" t="s">
        <v>2</v>
      </c>
      <c r="F3396" s="1" t="n">
        <v>12.56</v>
      </c>
      <c r="G3396" s="1" t="n">
        <f aca="false">IF(E3396=E3395,F3396/F3395-1,"")</f>
        <v>0.0680272108843538</v>
      </c>
    </row>
    <row r="3397" customFormat="false" ht="14.25" hidden="false" customHeight="true" outlineLevel="0" collapsed="false">
      <c r="A3397" s="26" t="n">
        <v>38838</v>
      </c>
      <c r="B3397" s="1" t="n">
        <v>2006</v>
      </c>
      <c r="C3397" s="1" t="n">
        <v>5</v>
      </c>
      <c r="D3397" s="1" t="s">
        <v>46</v>
      </c>
      <c r="E3397" s="1" t="s">
        <v>2</v>
      </c>
      <c r="F3397" s="1" t="n">
        <v>13.13</v>
      </c>
      <c r="G3397" s="1" t="n">
        <f aca="false">IF(E3397=E3396,F3397/F3396-1,"")</f>
        <v>0.0453821656050957</v>
      </c>
    </row>
    <row r="3398" customFormat="false" ht="14.25" hidden="false" customHeight="true" outlineLevel="0" collapsed="false">
      <c r="A3398" s="26" t="n">
        <v>38869</v>
      </c>
      <c r="B3398" s="1" t="n">
        <v>2006</v>
      </c>
      <c r="C3398" s="1" t="n">
        <v>6</v>
      </c>
      <c r="D3398" s="1" t="s">
        <v>47</v>
      </c>
      <c r="E3398" s="1" t="s">
        <v>2</v>
      </c>
      <c r="F3398" s="1" t="n">
        <v>10.7</v>
      </c>
      <c r="G3398" s="1" t="n">
        <f aca="false">IF(E3398=E3397,F3398/F3397-1,"")</f>
        <v>-0.185072353389185</v>
      </c>
    </row>
    <row r="3399" customFormat="false" ht="14.25" hidden="false" customHeight="true" outlineLevel="0" collapsed="false">
      <c r="A3399" s="26" t="n">
        <v>38899</v>
      </c>
      <c r="B3399" s="1" t="n">
        <v>2006</v>
      </c>
      <c r="C3399" s="1" t="n">
        <v>7</v>
      </c>
      <c r="D3399" s="1" t="s">
        <v>48</v>
      </c>
      <c r="E3399" s="1" t="s">
        <v>2</v>
      </c>
      <c r="F3399" s="1" t="n">
        <v>11.44</v>
      </c>
      <c r="G3399" s="1" t="n">
        <f aca="false">IF(E3399=E3398,F3399/F3398-1,"")</f>
        <v>0.0691588785046728</v>
      </c>
    </row>
    <row r="3400" customFormat="false" ht="14.25" hidden="false" customHeight="true" outlineLevel="0" collapsed="false">
      <c r="A3400" s="26" t="n">
        <v>38930</v>
      </c>
      <c r="B3400" s="1" t="n">
        <v>2006</v>
      </c>
      <c r="C3400" s="1" t="n">
        <v>8</v>
      </c>
      <c r="D3400" s="1" t="s">
        <v>49</v>
      </c>
      <c r="E3400" s="1" t="s">
        <v>2</v>
      </c>
      <c r="F3400" s="1" t="n">
        <v>12.6</v>
      </c>
      <c r="G3400" s="1" t="n">
        <f aca="false">IF(E3400=E3399,F3400/F3399-1,"")</f>
        <v>0.101398601398601</v>
      </c>
    </row>
    <row r="3401" customFormat="false" ht="14.25" hidden="false" customHeight="true" outlineLevel="0" collapsed="false">
      <c r="A3401" s="26" t="n">
        <v>38961</v>
      </c>
      <c r="B3401" s="1" t="n">
        <v>2006</v>
      </c>
      <c r="C3401" s="1" t="n">
        <v>9</v>
      </c>
      <c r="D3401" s="1" t="s">
        <v>50</v>
      </c>
      <c r="E3401" s="1" t="s">
        <v>2</v>
      </c>
      <c r="F3401" s="1" t="n">
        <v>11.55</v>
      </c>
      <c r="G3401" s="1" t="n">
        <f aca="false">IF(E3401=E3400,F3401/F3400-1,"")</f>
        <v>-0.0833333333333333</v>
      </c>
    </row>
    <row r="3402" customFormat="false" ht="14.25" hidden="false" customHeight="true" outlineLevel="0" collapsed="false">
      <c r="A3402" s="26" t="n">
        <v>38991</v>
      </c>
      <c r="B3402" s="1" t="n">
        <v>2006</v>
      </c>
      <c r="C3402" s="1" t="n">
        <v>10</v>
      </c>
      <c r="D3402" s="1" t="s">
        <v>51</v>
      </c>
      <c r="E3402" s="1" t="s">
        <v>2</v>
      </c>
      <c r="F3402" s="1" t="n">
        <v>12.08</v>
      </c>
      <c r="G3402" s="1" t="n">
        <f aca="false">IF(E3402=E3401,F3402/F3401-1,"")</f>
        <v>0.0458874458874459</v>
      </c>
    </row>
    <row r="3403" customFormat="false" ht="14.25" hidden="false" customHeight="true" outlineLevel="0" collapsed="false">
      <c r="A3403" s="26" t="n">
        <v>39022</v>
      </c>
      <c r="B3403" s="1" t="n">
        <v>2006</v>
      </c>
      <c r="C3403" s="1" t="n">
        <v>11</v>
      </c>
      <c r="D3403" s="1" t="s">
        <v>52</v>
      </c>
      <c r="E3403" s="1" t="s">
        <v>2</v>
      </c>
      <c r="F3403" s="1" t="n">
        <v>13.68</v>
      </c>
      <c r="G3403" s="1" t="n">
        <f aca="false">IF(E3403=E3402,F3403/F3402-1,"")</f>
        <v>0.132450331125828</v>
      </c>
    </row>
    <row r="3404" customFormat="false" ht="14.25" hidden="false" customHeight="true" outlineLevel="0" collapsed="false">
      <c r="A3404" s="26" t="n">
        <v>39052</v>
      </c>
      <c r="B3404" s="1" t="n">
        <v>2006</v>
      </c>
      <c r="C3404" s="1" t="n">
        <v>12</v>
      </c>
      <c r="D3404" s="1" t="s">
        <v>53</v>
      </c>
      <c r="E3404" s="1" t="s">
        <v>2</v>
      </c>
      <c r="F3404" s="1" t="n">
        <v>12.9</v>
      </c>
      <c r="G3404" s="1" t="n">
        <f aca="false">IF(E3404=E3403,F3404/F3403-1,"")</f>
        <v>-0.0570175438596491</v>
      </c>
    </row>
    <row r="3405" customFormat="false" ht="14.25" hidden="false" customHeight="true" outlineLevel="0" collapsed="false">
      <c r="A3405" s="26" t="n">
        <v>39083</v>
      </c>
      <c r="B3405" s="1" t="n">
        <v>2007</v>
      </c>
      <c r="C3405" s="1" t="n">
        <v>1</v>
      </c>
      <c r="D3405" s="1" t="s">
        <v>42</v>
      </c>
      <c r="E3405" s="1" t="s">
        <v>2</v>
      </c>
      <c r="F3405" s="1" t="n">
        <v>13.36</v>
      </c>
      <c r="G3405" s="1" t="n">
        <f aca="false">IF(E3405=E3404,F3405/F3404-1,"")</f>
        <v>0.0356589147286821</v>
      </c>
    </row>
    <row r="3406" customFormat="false" ht="14.25" hidden="false" customHeight="true" outlineLevel="0" collapsed="false">
      <c r="A3406" s="26" t="n">
        <v>39114</v>
      </c>
      <c r="B3406" s="1" t="n">
        <v>2007</v>
      </c>
      <c r="C3406" s="1" t="n">
        <v>2</v>
      </c>
      <c r="D3406" s="1" t="s">
        <v>43</v>
      </c>
      <c r="E3406" s="1" t="s">
        <v>2</v>
      </c>
      <c r="F3406" s="1" t="n">
        <v>14.31</v>
      </c>
      <c r="G3406" s="1" t="n">
        <f aca="false">IF(E3406=E3405,F3406/F3405-1,"")</f>
        <v>0.0711077844311379</v>
      </c>
    </row>
    <row r="3407" customFormat="false" ht="14.25" hidden="false" customHeight="true" outlineLevel="0" collapsed="false">
      <c r="A3407" s="26" t="n">
        <v>39142</v>
      </c>
      <c r="B3407" s="1" t="n">
        <v>2007</v>
      </c>
      <c r="C3407" s="1" t="n">
        <v>3</v>
      </c>
      <c r="D3407" s="1" t="s">
        <v>44</v>
      </c>
      <c r="E3407" s="1" t="s">
        <v>2</v>
      </c>
      <c r="F3407" s="1" t="n">
        <v>13.35</v>
      </c>
      <c r="G3407" s="1" t="n">
        <f aca="false">IF(E3407=E3406,F3407/F3406-1,"")</f>
        <v>-0.0670859538784068</v>
      </c>
    </row>
    <row r="3408" customFormat="false" ht="14.25" hidden="false" customHeight="true" outlineLevel="0" collapsed="false">
      <c r="A3408" s="26" t="n">
        <v>39173</v>
      </c>
      <c r="B3408" s="1" t="n">
        <v>2007</v>
      </c>
      <c r="C3408" s="1" t="n">
        <v>4</v>
      </c>
      <c r="D3408" s="1" t="s">
        <v>45</v>
      </c>
      <c r="E3408" s="1" t="s">
        <v>2</v>
      </c>
      <c r="F3408" s="1" t="n">
        <v>13.5</v>
      </c>
      <c r="G3408" s="1" t="n">
        <f aca="false">IF(E3408=E3407,F3408/F3407-1,"")</f>
        <v>0.0112359550561798</v>
      </c>
    </row>
    <row r="3409" customFormat="false" ht="14.25" hidden="false" customHeight="true" outlineLevel="0" collapsed="false">
      <c r="A3409" s="26" t="n">
        <v>39203</v>
      </c>
      <c r="B3409" s="1" t="n">
        <v>2007</v>
      </c>
      <c r="C3409" s="1" t="n">
        <v>5</v>
      </c>
      <c r="D3409" s="1" t="s">
        <v>46</v>
      </c>
      <c r="E3409" s="1" t="s">
        <v>2</v>
      </c>
      <c r="F3409" s="1" t="n">
        <v>13.25</v>
      </c>
      <c r="G3409" s="1" t="n">
        <f aca="false">IF(E3409=E3408,F3409/F3408-1,"")</f>
        <v>-0.0185185185185185</v>
      </c>
    </row>
    <row r="3410" customFormat="false" ht="14.25" hidden="false" customHeight="true" outlineLevel="0" collapsed="false">
      <c r="A3410" s="26" t="n">
        <v>39234</v>
      </c>
      <c r="B3410" s="1" t="n">
        <v>2007</v>
      </c>
      <c r="C3410" s="1" t="n">
        <v>6</v>
      </c>
      <c r="D3410" s="1" t="s">
        <v>47</v>
      </c>
      <c r="E3410" s="1" t="s">
        <v>2</v>
      </c>
      <c r="F3410" s="1" t="n">
        <v>12.54</v>
      </c>
      <c r="G3410" s="1" t="n">
        <f aca="false">IF(E3410=E3409,F3410/F3409-1,"")</f>
        <v>-0.0535849056603774</v>
      </c>
    </row>
    <row r="3411" customFormat="false" ht="14.25" hidden="false" customHeight="true" outlineLevel="0" collapsed="false">
      <c r="A3411" s="26" t="n">
        <v>39264</v>
      </c>
      <c r="B3411" s="1" t="n">
        <v>2007</v>
      </c>
      <c r="C3411" s="1" t="n">
        <v>7</v>
      </c>
      <c r="D3411" s="1" t="s">
        <v>48</v>
      </c>
      <c r="E3411" s="1" t="s">
        <v>2</v>
      </c>
      <c r="F3411" s="1" t="n">
        <v>12.93</v>
      </c>
      <c r="G3411" s="1" t="n">
        <f aca="false">IF(E3411=E3410,F3411/F3410-1,"")</f>
        <v>0.0311004784688995</v>
      </c>
    </row>
    <row r="3412" customFormat="false" ht="14.25" hidden="false" customHeight="true" outlineLevel="0" collapsed="false">
      <c r="A3412" s="26" t="n">
        <v>39295</v>
      </c>
      <c r="B3412" s="1" t="n">
        <v>2007</v>
      </c>
      <c r="C3412" s="1" t="n">
        <v>8</v>
      </c>
      <c r="D3412" s="1" t="s">
        <v>49</v>
      </c>
      <c r="E3412" s="1" t="s">
        <v>2</v>
      </c>
      <c r="F3412" s="1" t="n">
        <v>11.95</v>
      </c>
      <c r="G3412" s="1" t="n">
        <f aca="false">IF(E3412=E3411,F3412/F3411-1,"")</f>
        <v>-0.0757927300850735</v>
      </c>
    </row>
    <row r="3413" customFormat="false" ht="14.25" hidden="false" customHeight="true" outlineLevel="0" collapsed="false">
      <c r="A3413" s="26" t="n">
        <v>39326</v>
      </c>
      <c r="B3413" s="1" t="n">
        <v>2007</v>
      </c>
      <c r="C3413" s="1" t="n">
        <v>9</v>
      </c>
      <c r="D3413" s="1" t="s">
        <v>50</v>
      </c>
      <c r="E3413" s="1" t="s">
        <v>2</v>
      </c>
      <c r="F3413" s="1" t="n">
        <v>13.65</v>
      </c>
      <c r="G3413" s="1" t="n">
        <f aca="false">IF(E3413=E3412,F3413/F3412-1,"")</f>
        <v>0.142259414225941</v>
      </c>
    </row>
    <row r="3414" customFormat="false" ht="14.25" hidden="false" customHeight="true" outlineLevel="0" collapsed="false">
      <c r="A3414" s="26" t="n">
        <v>39356</v>
      </c>
      <c r="B3414" s="1" t="n">
        <v>2007</v>
      </c>
      <c r="C3414" s="1" t="n">
        <v>10</v>
      </c>
      <c r="D3414" s="1" t="s">
        <v>51</v>
      </c>
      <c r="E3414" s="1" t="s">
        <v>2</v>
      </c>
      <c r="F3414" s="1" t="n">
        <v>14.32</v>
      </c>
      <c r="G3414" s="1" t="n">
        <f aca="false">IF(E3414=E3413,F3414/F3413-1,"")</f>
        <v>0.0490842490842491</v>
      </c>
    </row>
    <row r="3415" customFormat="false" ht="14.25" hidden="false" customHeight="true" outlineLevel="0" collapsed="false">
      <c r="A3415" s="26" t="n">
        <v>39387</v>
      </c>
      <c r="B3415" s="1" t="n">
        <v>2007</v>
      </c>
      <c r="C3415" s="1" t="n">
        <v>11</v>
      </c>
      <c r="D3415" s="1" t="s">
        <v>52</v>
      </c>
      <c r="E3415" s="1" t="s">
        <v>2</v>
      </c>
      <c r="F3415" s="1" t="n">
        <v>14.23</v>
      </c>
      <c r="G3415" s="1" t="n">
        <f aca="false">IF(E3415=E3414,F3415/F3414-1,"")</f>
        <v>-0.00628491620111726</v>
      </c>
    </row>
    <row r="3416" customFormat="false" ht="14.25" hidden="false" customHeight="true" outlineLevel="0" collapsed="false">
      <c r="A3416" s="26" t="n">
        <v>39417</v>
      </c>
      <c r="B3416" s="1" t="n">
        <v>2007</v>
      </c>
      <c r="C3416" s="1" t="n">
        <v>12</v>
      </c>
      <c r="D3416" s="1" t="s">
        <v>53</v>
      </c>
      <c r="E3416" s="1" t="s">
        <v>2</v>
      </c>
      <c r="F3416" s="1" t="n">
        <v>14.76</v>
      </c>
      <c r="G3416" s="1" t="n">
        <f aca="false">IF(E3416=E3415,F3416/F3415-1,"")</f>
        <v>0.0372452565003514</v>
      </c>
    </row>
    <row r="3417" customFormat="false" ht="14.25" hidden="false" customHeight="true" outlineLevel="0" collapsed="false">
      <c r="A3417" s="26" t="n">
        <v>39448</v>
      </c>
      <c r="B3417" s="1" t="n">
        <v>2008</v>
      </c>
      <c r="C3417" s="1" t="n">
        <v>1</v>
      </c>
      <c r="D3417" s="1" t="s">
        <v>42</v>
      </c>
      <c r="E3417" s="1" t="s">
        <v>2</v>
      </c>
      <c r="F3417" s="1" t="n">
        <v>16.74</v>
      </c>
      <c r="G3417" s="1" t="n">
        <f aca="false">IF(E3417=E3416,F3417/F3416-1,"")</f>
        <v>0.134146341463415</v>
      </c>
    </row>
    <row r="3418" customFormat="false" ht="14.25" hidden="false" customHeight="true" outlineLevel="0" collapsed="false">
      <c r="A3418" s="26" t="n">
        <v>39479</v>
      </c>
      <c r="B3418" s="1" t="n">
        <v>2008</v>
      </c>
      <c r="C3418" s="1" t="n">
        <v>2</v>
      </c>
      <c r="D3418" s="1" t="s">
        <v>43</v>
      </c>
      <c r="E3418" s="1" t="s">
        <v>2</v>
      </c>
      <c r="F3418" s="1" t="n">
        <v>19.62</v>
      </c>
      <c r="G3418" s="1" t="n">
        <f aca="false">IF(E3418=E3417,F3418/F3417-1,"")</f>
        <v>0.172043010752688</v>
      </c>
    </row>
    <row r="3419" customFormat="false" ht="14.25" hidden="false" customHeight="true" outlineLevel="0" collapsed="false">
      <c r="A3419" s="26" t="n">
        <v>39508</v>
      </c>
      <c r="B3419" s="1" t="n">
        <v>2008</v>
      </c>
      <c r="C3419" s="1" t="n">
        <v>3</v>
      </c>
      <c r="D3419" s="1" t="s">
        <v>44</v>
      </c>
      <c r="E3419" s="1" t="s">
        <v>2</v>
      </c>
      <c r="F3419" s="1" t="n">
        <v>17.99</v>
      </c>
      <c r="G3419" s="1" t="n">
        <f aca="false">IF(E3419=E3418,F3419/F3418-1,"")</f>
        <v>-0.0830784913353722</v>
      </c>
    </row>
    <row r="3420" customFormat="false" ht="14.25" hidden="false" customHeight="true" outlineLevel="0" collapsed="false">
      <c r="A3420" s="26" t="n">
        <v>39539</v>
      </c>
      <c r="B3420" s="1" t="n">
        <v>2008</v>
      </c>
      <c r="C3420" s="1" t="n">
        <v>4</v>
      </c>
      <c r="D3420" s="1" t="s">
        <v>45</v>
      </c>
      <c r="E3420" s="1" t="s">
        <v>2</v>
      </c>
      <c r="F3420" s="1" t="n">
        <v>16.47</v>
      </c>
      <c r="G3420" s="1" t="n">
        <f aca="false">IF(E3420=E3419,F3420/F3419-1,"")</f>
        <v>-0.0844913841022791</v>
      </c>
    </row>
    <row r="3421" customFormat="false" ht="14.25" hidden="false" customHeight="true" outlineLevel="0" collapsed="false">
      <c r="A3421" s="26" t="n">
        <v>39569</v>
      </c>
      <c r="B3421" s="1" t="n">
        <v>2008</v>
      </c>
      <c r="C3421" s="1" t="n">
        <v>5</v>
      </c>
      <c r="D3421" s="1" t="s">
        <v>46</v>
      </c>
      <c r="E3421" s="1" t="s">
        <v>2</v>
      </c>
      <c r="F3421" s="1" t="n">
        <v>16.85</v>
      </c>
      <c r="G3421" s="1" t="n">
        <f aca="false">IF(E3421=E3420,F3421/F3420-1,"")</f>
        <v>0.0230722525804494</v>
      </c>
    </row>
    <row r="3422" customFormat="false" ht="14.25" hidden="false" customHeight="true" outlineLevel="0" collapsed="false">
      <c r="A3422" s="26" t="n">
        <v>39600</v>
      </c>
      <c r="B3422" s="1" t="n">
        <v>2008</v>
      </c>
      <c r="C3422" s="1" t="n">
        <v>6</v>
      </c>
      <c r="D3422" s="1" t="s">
        <v>47</v>
      </c>
      <c r="E3422" s="1" t="s">
        <v>2</v>
      </c>
      <c r="F3422" s="1" t="n">
        <v>17.65</v>
      </c>
      <c r="G3422" s="1" t="n">
        <f aca="false">IF(E3422=E3421,F3422/F3421-1,"")</f>
        <v>0.0474777448071215</v>
      </c>
    </row>
    <row r="3423" customFormat="false" ht="14.25" hidden="false" customHeight="true" outlineLevel="0" collapsed="false">
      <c r="A3423" s="26" t="n">
        <v>39630</v>
      </c>
      <c r="B3423" s="1" t="n">
        <v>2008</v>
      </c>
      <c r="C3423" s="1" t="n">
        <v>7</v>
      </c>
      <c r="D3423" s="1" t="s">
        <v>48</v>
      </c>
      <c r="E3423" s="1" t="s">
        <v>2</v>
      </c>
      <c r="F3423" s="1" t="n">
        <v>17.48</v>
      </c>
      <c r="G3423" s="1" t="n">
        <f aca="false">IF(E3423=E3422,F3423/F3422-1,"")</f>
        <v>-0.00963172804532564</v>
      </c>
    </row>
    <row r="3424" customFormat="false" ht="14.25" hidden="false" customHeight="true" outlineLevel="0" collapsed="false">
      <c r="A3424" s="26" t="n">
        <v>39661</v>
      </c>
      <c r="B3424" s="1" t="n">
        <v>2008</v>
      </c>
      <c r="C3424" s="1" t="n">
        <v>8</v>
      </c>
      <c r="D3424" s="1" t="s">
        <v>49</v>
      </c>
      <c r="E3424" s="1" t="s">
        <v>2</v>
      </c>
      <c r="F3424" s="1" t="n">
        <v>13.76</v>
      </c>
      <c r="G3424" s="1" t="n">
        <f aca="false">IF(E3424=E3423,F3424/F3423-1,"")</f>
        <v>-0.212814645308924</v>
      </c>
    </row>
    <row r="3425" customFormat="false" ht="14.25" hidden="false" customHeight="true" outlineLevel="0" collapsed="false">
      <c r="A3425" s="26" t="n">
        <v>39692</v>
      </c>
      <c r="B3425" s="1" t="n">
        <v>2008</v>
      </c>
      <c r="C3425" s="1" t="n">
        <v>9</v>
      </c>
      <c r="D3425" s="1" t="s">
        <v>50</v>
      </c>
      <c r="E3425" s="1" t="s">
        <v>2</v>
      </c>
      <c r="F3425" s="1" t="n">
        <v>12.96</v>
      </c>
      <c r="G3425" s="1" t="n">
        <f aca="false">IF(E3425=E3424,F3425/F3424-1,"")</f>
        <v>-0.0581395348837208</v>
      </c>
    </row>
    <row r="3426" customFormat="false" ht="14.25" hidden="false" customHeight="true" outlineLevel="0" collapsed="false">
      <c r="A3426" s="26" t="n">
        <v>39722</v>
      </c>
      <c r="B3426" s="1" t="n">
        <v>2008</v>
      </c>
      <c r="C3426" s="1" t="n">
        <v>10</v>
      </c>
      <c r="D3426" s="1" t="s">
        <v>51</v>
      </c>
      <c r="E3426" s="1" t="s">
        <v>2</v>
      </c>
      <c r="F3426" s="1" t="n">
        <v>9.28</v>
      </c>
      <c r="G3426" s="1" t="n">
        <f aca="false">IF(E3426=E3425,F3426/F3425-1,"")</f>
        <v>-0.283950617283951</v>
      </c>
    </row>
    <row r="3427" customFormat="false" ht="14.25" hidden="false" customHeight="true" outlineLevel="0" collapsed="false">
      <c r="A3427" s="26" t="n">
        <v>39753</v>
      </c>
      <c r="B3427" s="1" t="n">
        <v>2008</v>
      </c>
      <c r="C3427" s="1" t="n">
        <v>11</v>
      </c>
      <c r="D3427" s="1" t="s">
        <v>52</v>
      </c>
      <c r="E3427" s="1" t="s">
        <v>2</v>
      </c>
      <c r="F3427" s="1" t="n">
        <v>10.12</v>
      </c>
      <c r="G3427" s="1" t="n">
        <f aca="false">IF(E3427=E3426,F3427/F3426-1,"")</f>
        <v>0.0905172413793103</v>
      </c>
    </row>
    <row r="3428" customFormat="false" ht="14.25" hidden="false" customHeight="true" outlineLevel="0" collapsed="false">
      <c r="A3428" s="26" t="n">
        <v>39783</v>
      </c>
      <c r="B3428" s="1" t="n">
        <v>2008</v>
      </c>
      <c r="C3428" s="1" t="n">
        <v>12</v>
      </c>
      <c r="D3428" s="1" t="s">
        <v>53</v>
      </c>
      <c r="E3428" s="1" t="s">
        <v>2</v>
      </c>
      <c r="F3428" s="1" t="n">
        <v>10.79</v>
      </c>
      <c r="G3428" s="1" t="n">
        <f aca="false">IF(E3428=E3427,F3428/F3427-1,"")</f>
        <v>0.0662055335968379</v>
      </c>
    </row>
    <row r="3429" customFormat="false" ht="14.25" hidden="false" customHeight="true" outlineLevel="0" collapsed="false">
      <c r="A3429" s="26" t="n">
        <v>39814</v>
      </c>
      <c r="B3429" s="1" t="n">
        <v>2009</v>
      </c>
      <c r="C3429" s="1" t="n">
        <v>1</v>
      </c>
      <c r="D3429" s="1" t="s">
        <v>42</v>
      </c>
      <c r="E3429" s="1" t="s">
        <v>2</v>
      </c>
      <c r="F3429" s="1" t="n">
        <v>12.51</v>
      </c>
      <c r="G3429" s="1" t="n">
        <f aca="false">IF(E3429=E3428,F3429/F3428-1,"")</f>
        <v>0.159406858202039</v>
      </c>
    </row>
    <row r="3430" customFormat="false" ht="14.25" hidden="false" customHeight="true" outlineLevel="0" collapsed="false">
      <c r="A3430" s="26" t="n">
        <v>39845</v>
      </c>
      <c r="B3430" s="1" t="n">
        <v>2009</v>
      </c>
      <c r="C3430" s="1" t="n">
        <v>2</v>
      </c>
      <c r="D3430" s="1" t="s">
        <v>43</v>
      </c>
      <c r="E3430" s="1" t="s">
        <v>2</v>
      </c>
      <c r="F3430" s="1" t="n">
        <v>13.21</v>
      </c>
      <c r="G3430" s="1" t="n">
        <f aca="false">IF(E3430=E3429,F3430/F3429-1,"")</f>
        <v>0.0559552358113511</v>
      </c>
    </row>
    <row r="3431" customFormat="false" ht="14.25" hidden="false" customHeight="true" outlineLevel="0" collapsed="false">
      <c r="A3431" s="26" t="n">
        <v>39873</v>
      </c>
      <c r="B3431" s="1" t="n">
        <v>2009</v>
      </c>
      <c r="C3431" s="1" t="n">
        <v>3</v>
      </c>
      <c r="D3431" s="1" t="s">
        <v>44</v>
      </c>
      <c r="E3431" s="1" t="s">
        <v>2</v>
      </c>
      <c r="F3431" s="1" t="n">
        <v>13.11</v>
      </c>
      <c r="G3431" s="1" t="n">
        <f aca="false">IF(E3431=E3430,F3431/F3430-1,"")</f>
        <v>-0.00757002271006824</v>
      </c>
    </row>
    <row r="3432" customFormat="false" ht="14.25" hidden="false" customHeight="true" outlineLevel="0" collapsed="false">
      <c r="A3432" s="26" t="n">
        <v>39904</v>
      </c>
      <c r="B3432" s="1" t="n">
        <v>2009</v>
      </c>
      <c r="C3432" s="1" t="n">
        <v>4</v>
      </c>
      <c r="D3432" s="1" t="s">
        <v>45</v>
      </c>
      <c r="E3432" s="1" t="s">
        <v>2</v>
      </c>
      <c r="F3432" s="1" t="n">
        <v>12.63</v>
      </c>
      <c r="G3432" s="1" t="n">
        <f aca="false">IF(E3432=E3431,F3432/F3431-1,"")</f>
        <v>-0.0366132723112127</v>
      </c>
    </row>
    <row r="3433" customFormat="false" ht="14.25" hidden="false" customHeight="true" outlineLevel="0" collapsed="false">
      <c r="A3433" s="26" t="n">
        <v>39934</v>
      </c>
      <c r="B3433" s="1" t="n">
        <v>2009</v>
      </c>
      <c r="C3433" s="1" t="n">
        <v>5</v>
      </c>
      <c r="D3433" s="1" t="s">
        <v>46</v>
      </c>
      <c r="E3433" s="1" t="s">
        <v>2</v>
      </c>
      <c r="F3433" s="1" t="n">
        <v>15.52</v>
      </c>
      <c r="G3433" s="1" t="n">
        <f aca="false">IF(E3433=E3432,F3433/F3432-1,"")</f>
        <v>0.228820269200317</v>
      </c>
    </row>
    <row r="3434" customFormat="false" ht="14.25" hidden="false" customHeight="true" outlineLevel="0" collapsed="false">
      <c r="A3434" s="26" t="n">
        <v>39965</v>
      </c>
      <c r="B3434" s="1" t="n">
        <v>2009</v>
      </c>
      <c r="C3434" s="1" t="n">
        <v>6</v>
      </c>
      <c r="D3434" s="1" t="s">
        <v>47</v>
      </c>
      <c r="E3434" s="1" t="s">
        <v>2</v>
      </c>
      <c r="F3434" s="1" t="n">
        <v>13.94</v>
      </c>
      <c r="G3434" s="1" t="n">
        <f aca="false">IF(E3434=E3433,F3434/F3433-1,"")</f>
        <v>-0.10180412371134</v>
      </c>
    </row>
    <row r="3435" customFormat="false" ht="14.25" hidden="false" customHeight="true" outlineLevel="0" collapsed="false">
      <c r="A3435" s="26" t="n">
        <v>39995</v>
      </c>
      <c r="B3435" s="1" t="n">
        <v>2009</v>
      </c>
      <c r="C3435" s="1" t="n">
        <v>7</v>
      </c>
      <c r="D3435" s="1" t="s">
        <v>48</v>
      </c>
      <c r="E3435" s="1" t="s">
        <v>2</v>
      </c>
      <c r="F3435" s="1" t="n">
        <v>13.63</v>
      </c>
      <c r="G3435" s="1" t="n">
        <f aca="false">IF(E3435=E3434,F3435/F3434-1,"")</f>
        <v>-0.022238163558106</v>
      </c>
    </row>
    <row r="3436" customFormat="false" ht="14.25" hidden="false" customHeight="true" outlineLevel="0" collapsed="false">
      <c r="A3436" s="26" t="n">
        <v>40026</v>
      </c>
      <c r="B3436" s="1" t="n">
        <v>2009</v>
      </c>
      <c r="C3436" s="1" t="n">
        <v>8</v>
      </c>
      <c r="D3436" s="1" t="s">
        <v>49</v>
      </c>
      <c r="E3436" s="1" t="s">
        <v>2</v>
      </c>
      <c r="F3436" s="1" t="n">
        <v>14.54</v>
      </c>
      <c r="G3436" s="1" t="n">
        <f aca="false">IF(E3436=E3435,F3436/F3435-1,"")</f>
        <v>0.0667644900953777</v>
      </c>
    </row>
    <row r="3437" customFormat="false" ht="14.25" hidden="false" customHeight="true" outlineLevel="0" collapsed="false">
      <c r="A3437" s="26" t="n">
        <v>40057</v>
      </c>
      <c r="B3437" s="1" t="n">
        <v>2009</v>
      </c>
      <c r="C3437" s="1" t="n">
        <v>9</v>
      </c>
      <c r="D3437" s="1" t="s">
        <v>50</v>
      </c>
      <c r="E3437" s="1" t="s">
        <v>2</v>
      </c>
      <c r="F3437" s="1" t="n">
        <v>16.45</v>
      </c>
      <c r="G3437" s="1" t="n">
        <f aca="false">IF(E3437=E3436,F3437/F3436-1,"")</f>
        <v>0.131361760660248</v>
      </c>
    </row>
    <row r="3438" customFormat="false" ht="14.25" hidden="false" customHeight="true" outlineLevel="0" collapsed="false">
      <c r="A3438" s="26" t="n">
        <v>40087</v>
      </c>
      <c r="B3438" s="1" t="n">
        <v>2009</v>
      </c>
      <c r="C3438" s="1" t="n">
        <v>10</v>
      </c>
      <c r="D3438" s="1" t="s">
        <v>51</v>
      </c>
      <c r="E3438" s="1" t="s">
        <v>2</v>
      </c>
      <c r="F3438" s="1" t="n">
        <v>16.57</v>
      </c>
      <c r="G3438" s="1" t="n">
        <f aca="false">IF(E3438=E3437,F3438/F3437-1,"")</f>
        <v>0.0072948328267477</v>
      </c>
    </row>
    <row r="3439" customFormat="false" ht="14.25" hidden="false" customHeight="true" outlineLevel="0" collapsed="false">
      <c r="A3439" s="26" t="n">
        <v>40118</v>
      </c>
      <c r="B3439" s="1" t="n">
        <v>2009</v>
      </c>
      <c r="C3439" s="1" t="n">
        <v>11</v>
      </c>
      <c r="D3439" s="1" t="s">
        <v>52</v>
      </c>
      <c r="E3439" s="1" t="s">
        <v>2</v>
      </c>
      <c r="F3439" s="1" t="n">
        <v>18.14</v>
      </c>
      <c r="G3439" s="1" t="n">
        <f aca="false">IF(E3439=E3438,F3439/F3438-1,"")</f>
        <v>0.0947495473747737</v>
      </c>
    </row>
    <row r="3440" customFormat="false" ht="14.25" hidden="false" customHeight="true" outlineLevel="0" collapsed="false">
      <c r="A3440" s="26" t="n">
        <v>40148</v>
      </c>
      <c r="B3440" s="1" t="n">
        <v>2009</v>
      </c>
      <c r="C3440" s="1" t="n">
        <v>12</v>
      </c>
      <c r="D3440" s="1" t="s">
        <v>53</v>
      </c>
      <c r="E3440" s="1" t="s">
        <v>2</v>
      </c>
      <c r="F3440" s="1" t="n">
        <v>16.99</v>
      </c>
      <c r="G3440" s="1" t="n">
        <f aca="false">IF(E3440=E3439,F3440/F3439-1,"")</f>
        <v>-0.0633958103638369</v>
      </c>
    </row>
    <row r="3441" customFormat="false" ht="14.25" hidden="false" customHeight="true" outlineLevel="0" collapsed="false">
      <c r="A3441" s="26" t="n">
        <v>40179</v>
      </c>
      <c r="B3441" s="1" t="n">
        <v>2010</v>
      </c>
      <c r="C3441" s="1" t="n">
        <v>1</v>
      </c>
      <c r="D3441" s="1" t="s">
        <v>42</v>
      </c>
      <c r="E3441" s="1" t="s">
        <v>2</v>
      </c>
      <c r="F3441" s="1" t="n">
        <v>16.29</v>
      </c>
      <c r="G3441" s="1" t="n">
        <f aca="false">IF(E3441=E3440,F3441/F3440-1,"")</f>
        <v>-0.0412007062978222</v>
      </c>
    </row>
    <row r="3442" customFormat="false" ht="14.25" hidden="false" customHeight="true" outlineLevel="0" collapsed="false">
      <c r="A3442" s="26" t="n">
        <v>40210</v>
      </c>
      <c r="B3442" s="1" t="n">
        <v>2010</v>
      </c>
      <c r="C3442" s="1" t="n">
        <v>2</v>
      </c>
      <c r="D3442" s="1" t="s">
        <v>43</v>
      </c>
      <c r="E3442" s="1" t="s">
        <v>2</v>
      </c>
      <c r="F3442" s="1" t="n">
        <v>16.12</v>
      </c>
      <c r="G3442" s="1" t="n">
        <f aca="false">IF(E3442=E3441,F3442/F3441-1,"")</f>
        <v>-0.0104358502148556</v>
      </c>
    </row>
    <row r="3443" customFormat="false" ht="14.25" hidden="false" customHeight="true" outlineLevel="0" collapsed="false">
      <c r="A3443" s="26" t="n">
        <v>40238</v>
      </c>
      <c r="B3443" s="1" t="n">
        <v>2010</v>
      </c>
      <c r="C3443" s="1" t="n">
        <v>3</v>
      </c>
      <c r="D3443" s="1" t="s">
        <v>44</v>
      </c>
      <c r="E3443" s="1" t="s">
        <v>2</v>
      </c>
      <c r="F3443" s="1" t="n">
        <v>17.5</v>
      </c>
      <c r="G3443" s="1" t="n">
        <f aca="false">IF(E3443=E3442,F3443/F3442-1,"")</f>
        <v>0.0856079404466501</v>
      </c>
    </row>
    <row r="3444" customFormat="false" ht="14.25" hidden="false" customHeight="true" outlineLevel="0" collapsed="false">
      <c r="A3444" s="26" t="n">
        <v>40269</v>
      </c>
      <c r="B3444" s="1" t="n">
        <v>2010</v>
      </c>
      <c r="C3444" s="1" t="n">
        <v>4</v>
      </c>
      <c r="D3444" s="1" t="s">
        <v>45</v>
      </c>
      <c r="E3444" s="1" t="s">
        <v>2</v>
      </c>
      <c r="F3444" s="1" t="n">
        <v>18.62</v>
      </c>
      <c r="G3444" s="1" t="n">
        <f aca="false">IF(E3444=E3443,F3444/F3443-1,"")</f>
        <v>0.0640000000000001</v>
      </c>
    </row>
    <row r="3445" customFormat="false" ht="14.25" hidden="false" customHeight="true" outlineLevel="0" collapsed="false">
      <c r="A3445" s="26" t="n">
        <v>40299</v>
      </c>
      <c r="B3445" s="1" t="n">
        <v>2010</v>
      </c>
      <c r="C3445" s="1" t="n">
        <v>5</v>
      </c>
      <c r="D3445" s="1" t="s">
        <v>46</v>
      </c>
      <c r="E3445" s="1" t="s">
        <v>2</v>
      </c>
      <c r="F3445" s="1" t="n">
        <v>18.53</v>
      </c>
      <c r="G3445" s="1" t="n">
        <f aca="false">IF(E3445=E3444,F3445/F3444-1,"")</f>
        <v>-0.00483351235230933</v>
      </c>
    </row>
    <row r="3446" customFormat="false" ht="14.25" hidden="false" customHeight="true" outlineLevel="0" collapsed="false">
      <c r="A3446" s="26" t="n">
        <v>40330</v>
      </c>
      <c r="B3446" s="1" t="n">
        <v>2010</v>
      </c>
      <c r="C3446" s="1" t="n">
        <v>6</v>
      </c>
      <c r="D3446" s="1" t="s">
        <v>47</v>
      </c>
      <c r="E3446" s="1" t="s">
        <v>2</v>
      </c>
      <c r="F3446" s="1" t="n">
        <v>18.74</v>
      </c>
      <c r="G3446" s="1" t="n">
        <f aca="false">IF(E3446=E3445,F3446/F3445-1,"")</f>
        <v>0.011332973556395</v>
      </c>
    </row>
    <row r="3447" customFormat="false" ht="14.25" hidden="false" customHeight="true" outlineLevel="0" collapsed="false">
      <c r="A3447" s="26" t="n">
        <v>40360</v>
      </c>
      <c r="B3447" s="1" t="n">
        <v>2010</v>
      </c>
      <c r="C3447" s="1" t="n">
        <v>7</v>
      </c>
      <c r="D3447" s="1" t="s">
        <v>48</v>
      </c>
      <c r="E3447" s="1" t="s">
        <v>2</v>
      </c>
      <c r="F3447" s="1" t="n">
        <v>17.66</v>
      </c>
      <c r="G3447" s="1" t="n">
        <f aca="false">IF(E3447=E3446,F3447/F3446-1,"")</f>
        <v>-0.0576307363927427</v>
      </c>
    </row>
    <row r="3448" customFormat="false" ht="14.25" hidden="false" customHeight="true" outlineLevel="0" collapsed="false">
      <c r="A3448" s="26" t="n">
        <v>40391</v>
      </c>
      <c r="B3448" s="1" t="n">
        <v>2010</v>
      </c>
      <c r="C3448" s="1" t="n">
        <v>8</v>
      </c>
      <c r="D3448" s="1" t="s">
        <v>49</v>
      </c>
      <c r="E3448" s="1" t="s">
        <v>2</v>
      </c>
      <c r="F3448" s="1" t="n">
        <v>18.87</v>
      </c>
      <c r="G3448" s="1" t="n">
        <f aca="false">IF(E3448=E3447,F3448/F3447-1,"")</f>
        <v>0.0685164212910532</v>
      </c>
    </row>
    <row r="3449" customFormat="false" ht="14.25" hidden="false" customHeight="true" outlineLevel="0" collapsed="false">
      <c r="A3449" s="26" t="n">
        <v>40422</v>
      </c>
      <c r="B3449" s="1" t="n">
        <v>2010</v>
      </c>
      <c r="C3449" s="1" t="n">
        <v>9</v>
      </c>
      <c r="D3449" s="1" t="s">
        <v>50</v>
      </c>
      <c r="E3449" s="1" t="s">
        <v>2</v>
      </c>
      <c r="F3449" s="1" t="n">
        <v>22.07</v>
      </c>
      <c r="G3449" s="1" t="n">
        <f aca="false">IF(E3449=E3448,F3449/F3448-1,"")</f>
        <v>0.169581346051934</v>
      </c>
    </row>
    <row r="3450" customFormat="false" ht="14.25" hidden="false" customHeight="true" outlineLevel="0" collapsed="false">
      <c r="A3450" s="26" t="n">
        <v>40452</v>
      </c>
      <c r="B3450" s="1" t="n">
        <v>2010</v>
      </c>
      <c r="C3450" s="1" t="n">
        <v>10</v>
      </c>
      <c r="D3450" s="1" t="s">
        <v>51</v>
      </c>
      <c r="E3450" s="1" t="s">
        <v>2</v>
      </c>
      <c r="F3450" s="1" t="n">
        <v>23.96</v>
      </c>
      <c r="G3450" s="1" t="n">
        <f aca="false">IF(E3450=E3449,F3450/F3449-1,"")</f>
        <v>0.0856366107838695</v>
      </c>
    </row>
    <row r="3451" customFormat="false" ht="14.25" hidden="false" customHeight="true" outlineLevel="0" collapsed="false">
      <c r="A3451" s="26" t="n">
        <v>40483</v>
      </c>
      <c r="B3451" s="1" t="n">
        <v>2010</v>
      </c>
      <c r="C3451" s="1" t="n">
        <v>11</v>
      </c>
      <c r="D3451" s="1" t="s">
        <v>52</v>
      </c>
      <c r="E3451" s="1" t="s">
        <v>2</v>
      </c>
      <c r="F3451" s="1" t="n">
        <v>27.13</v>
      </c>
      <c r="G3451" s="1" t="n">
        <f aca="false">IF(E3451=E3450,F3451/F3450-1,"")</f>
        <v>0.132303839732888</v>
      </c>
    </row>
    <row r="3452" customFormat="false" ht="14.25" hidden="false" customHeight="true" outlineLevel="0" collapsed="false">
      <c r="A3452" s="26" t="n">
        <v>40513</v>
      </c>
      <c r="B3452" s="1" t="n">
        <v>2010</v>
      </c>
      <c r="C3452" s="1" t="n">
        <v>12</v>
      </c>
      <c r="D3452" s="1" t="s">
        <v>53</v>
      </c>
      <c r="E3452" s="1" t="s">
        <v>2</v>
      </c>
      <c r="F3452" s="1" t="n">
        <v>30.63</v>
      </c>
      <c r="G3452" s="1" t="n">
        <f aca="false">IF(E3452=E3451,F3452/F3451-1,"")</f>
        <v>0.129008477699963</v>
      </c>
    </row>
    <row r="3453" customFormat="false" ht="14.25" hidden="false" customHeight="true" outlineLevel="0" collapsed="false">
      <c r="A3453" s="26" t="n">
        <v>40544</v>
      </c>
      <c r="B3453" s="1" t="n">
        <v>2011</v>
      </c>
      <c r="C3453" s="1" t="n">
        <v>1</v>
      </c>
      <c r="D3453" s="1" t="s">
        <v>42</v>
      </c>
      <c r="E3453" s="1" t="s">
        <v>2</v>
      </c>
      <c r="F3453" s="1" t="n">
        <v>27.75</v>
      </c>
      <c r="G3453" s="1" t="n">
        <f aca="false">IF(E3453=E3452,F3453/F3452-1,"")</f>
        <v>-0.0940254652301665</v>
      </c>
    </row>
    <row r="3454" customFormat="false" ht="14.25" hidden="false" customHeight="true" outlineLevel="0" collapsed="false">
      <c r="A3454" s="26" t="n">
        <v>40575</v>
      </c>
      <c r="B3454" s="1" t="n">
        <v>2011</v>
      </c>
      <c r="C3454" s="1" t="n">
        <v>2</v>
      </c>
      <c r="D3454" s="1" t="s">
        <v>43</v>
      </c>
      <c r="E3454" s="1" t="s">
        <v>2</v>
      </c>
      <c r="F3454" s="1" t="n">
        <v>33.49</v>
      </c>
      <c r="G3454" s="1" t="n">
        <f aca="false">IF(E3454=E3453,F3454/F3453-1,"")</f>
        <v>0.206846846846847</v>
      </c>
    </row>
    <row r="3455" customFormat="false" ht="14.25" hidden="false" customHeight="true" outlineLevel="0" collapsed="false">
      <c r="A3455" s="26" t="n">
        <v>40603</v>
      </c>
      <c r="B3455" s="1" t="n">
        <v>2011</v>
      </c>
      <c r="C3455" s="1" t="n">
        <v>3</v>
      </c>
      <c r="D3455" s="1" t="s">
        <v>44</v>
      </c>
      <c r="E3455" s="1" t="s">
        <v>2</v>
      </c>
      <c r="F3455" s="1" t="n">
        <v>37.87</v>
      </c>
      <c r="G3455" s="1" t="n">
        <f aca="false">IF(E3455=E3454,F3455/F3454-1,"")</f>
        <v>0.130785309047477</v>
      </c>
    </row>
    <row r="3456" customFormat="false" ht="14.25" hidden="false" customHeight="true" outlineLevel="0" collapsed="false">
      <c r="A3456" s="26" t="n">
        <v>40634</v>
      </c>
      <c r="B3456" s="1" t="n">
        <v>2011</v>
      </c>
      <c r="C3456" s="1" t="n">
        <v>4</v>
      </c>
      <c r="D3456" s="1" t="s">
        <v>45</v>
      </c>
      <c r="E3456" s="1" t="s">
        <v>2</v>
      </c>
      <c r="F3456" s="1" t="n">
        <v>48.7</v>
      </c>
      <c r="G3456" s="1" t="n">
        <f aca="false">IF(E3456=E3455,F3456/F3455-1,"")</f>
        <v>0.285978346976499</v>
      </c>
    </row>
    <row r="3457" customFormat="false" ht="14.25" hidden="false" customHeight="true" outlineLevel="0" collapsed="false">
      <c r="A3457" s="26" t="n">
        <v>40664</v>
      </c>
      <c r="B3457" s="1" t="n">
        <v>2011</v>
      </c>
      <c r="C3457" s="1" t="n">
        <v>5</v>
      </c>
      <c r="D3457" s="1" t="s">
        <v>46</v>
      </c>
      <c r="E3457" s="1" t="s">
        <v>2</v>
      </c>
      <c r="F3457" s="1" t="n">
        <v>38.65</v>
      </c>
      <c r="G3457" s="1" t="n">
        <f aca="false">IF(E3457=E3456,F3457/F3456-1,"")</f>
        <v>-0.206365503080082</v>
      </c>
    </row>
    <row r="3458" customFormat="false" ht="14.25" hidden="false" customHeight="true" outlineLevel="0" collapsed="false">
      <c r="A3458" s="26" t="n">
        <v>40695</v>
      </c>
      <c r="B3458" s="1" t="n">
        <v>2011</v>
      </c>
      <c r="C3458" s="1" t="n">
        <v>6</v>
      </c>
      <c r="D3458" s="1" t="s">
        <v>47</v>
      </c>
      <c r="E3458" s="1" t="s">
        <v>2</v>
      </c>
      <c r="F3458" s="1" t="n">
        <v>35.02</v>
      </c>
      <c r="G3458" s="1" t="n">
        <f aca="false">IF(E3458=E3457,F3458/F3457-1,"")</f>
        <v>-0.0939197930142302</v>
      </c>
    </row>
    <row r="3459" customFormat="false" ht="14.25" hidden="false" customHeight="true" outlineLevel="0" collapsed="false">
      <c r="A3459" s="26" t="n">
        <v>40725</v>
      </c>
      <c r="B3459" s="1" t="n">
        <v>2011</v>
      </c>
      <c r="C3459" s="1" t="n">
        <v>7</v>
      </c>
      <c r="D3459" s="1" t="s">
        <v>48</v>
      </c>
      <c r="E3459" s="1" t="s">
        <v>2</v>
      </c>
      <c r="F3459" s="1" t="n">
        <v>39.63</v>
      </c>
      <c r="G3459" s="1" t="n">
        <f aca="false">IF(E3459=E3458,F3459/F3458-1,"")</f>
        <v>0.131639063392347</v>
      </c>
    </row>
    <row r="3460" customFormat="false" ht="14.25" hidden="false" customHeight="true" outlineLevel="0" collapsed="false">
      <c r="A3460" s="26" t="n">
        <v>40756</v>
      </c>
      <c r="B3460" s="1" t="n">
        <v>2011</v>
      </c>
      <c r="C3460" s="1" t="n">
        <v>8</v>
      </c>
      <c r="D3460" s="1" t="s">
        <v>49</v>
      </c>
      <c r="E3460" s="1" t="s">
        <v>2</v>
      </c>
      <c r="F3460" s="1" t="n">
        <v>41.35</v>
      </c>
      <c r="G3460" s="1" t="n">
        <f aca="false">IF(E3460=E3459,F3460/F3459-1,"")</f>
        <v>0.043401463537724</v>
      </c>
    </row>
    <row r="3461" customFormat="false" ht="14.25" hidden="false" customHeight="true" outlineLevel="0" collapsed="false">
      <c r="A3461" s="26" t="n">
        <v>40787</v>
      </c>
      <c r="B3461" s="1" t="n">
        <v>2011</v>
      </c>
      <c r="C3461" s="1" t="n">
        <v>9</v>
      </c>
      <c r="D3461" s="1" t="s">
        <v>50</v>
      </c>
      <c r="E3461" s="1" t="s">
        <v>2</v>
      </c>
      <c r="F3461" s="1" t="n">
        <v>30.45</v>
      </c>
      <c r="G3461" s="1" t="n">
        <f aca="false">IF(E3461=E3460,F3461/F3460-1,"")</f>
        <v>-0.26360338573156</v>
      </c>
    </row>
    <row r="3462" customFormat="false" ht="14.25" hidden="false" customHeight="true" outlineLevel="0" collapsed="false">
      <c r="A3462" s="26" t="n">
        <v>40817</v>
      </c>
      <c r="B3462" s="1" t="n">
        <v>2011</v>
      </c>
      <c r="C3462" s="1" t="n">
        <v>10</v>
      </c>
      <c r="D3462" s="1" t="s">
        <v>51</v>
      </c>
      <c r="E3462" s="1" t="s">
        <v>2</v>
      </c>
      <c r="F3462" s="1" t="n">
        <v>34.24</v>
      </c>
      <c r="G3462" s="1" t="n">
        <f aca="false">IF(E3462=E3461,F3462/F3461-1,"")</f>
        <v>0.124466338259442</v>
      </c>
    </row>
    <row r="3463" customFormat="false" ht="14.25" hidden="false" customHeight="true" outlineLevel="0" collapsed="false">
      <c r="A3463" s="26" t="n">
        <v>40848</v>
      </c>
      <c r="B3463" s="1" t="n">
        <v>2011</v>
      </c>
      <c r="C3463" s="1" t="n">
        <v>11</v>
      </c>
      <c r="D3463" s="1" t="s">
        <v>52</v>
      </c>
      <c r="E3463" s="1" t="s">
        <v>2</v>
      </c>
      <c r="F3463" s="1" t="n">
        <v>31.35</v>
      </c>
      <c r="G3463" s="1" t="n">
        <f aca="false">IF(E3463=E3462,F3463/F3462-1,"")</f>
        <v>-0.0844042056074766</v>
      </c>
    </row>
    <row r="3464" customFormat="false" ht="14.25" hidden="false" customHeight="true" outlineLevel="0" collapsed="false">
      <c r="A3464" s="26" t="n">
        <v>40878</v>
      </c>
      <c r="B3464" s="1" t="n">
        <v>2011</v>
      </c>
      <c r="C3464" s="1" t="n">
        <v>12</v>
      </c>
      <c r="D3464" s="1" t="s">
        <v>53</v>
      </c>
      <c r="E3464" s="1" t="s">
        <v>2</v>
      </c>
      <c r="F3464" s="1" t="n">
        <v>28.18</v>
      </c>
      <c r="G3464" s="1" t="n">
        <f aca="false">IF(E3464=E3463,F3464/F3463-1,"")</f>
        <v>-0.101116427432217</v>
      </c>
    </row>
    <row r="3465" customFormat="false" ht="14.25" hidden="false" customHeight="true" outlineLevel="0" collapsed="false">
      <c r="A3465" s="26" t="n">
        <v>40909</v>
      </c>
      <c r="B3465" s="1" t="n">
        <v>2012</v>
      </c>
      <c r="C3465" s="1" t="n">
        <v>1</v>
      </c>
      <c r="D3465" s="1" t="s">
        <v>42</v>
      </c>
      <c r="E3465" s="1" t="s">
        <v>2</v>
      </c>
      <c r="F3465" s="1" t="n">
        <v>33.6</v>
      </c>
      <c r="G3465" s="1" t="n">
        <f aca="false">IF(E3465=E3464,F3465/F3464-1,"")</f>
        <v>0.192334989354152</v>
      </c>
    </row>
    <row r="3466" customFormat="false" ht="14.25" hidden="false" customHeight="true" outlineLevel="0" collapsed="false">
      <c r="A3466" s="26" t="n">
        <v>40940</v>
      </c>
      <c r="B3466" s="1" t="n">
        <v>2012</v>
      </c>
      <c r="C3466" s="1" t="n">
        <v>2</v>
      </c>
      <c r="D3466" s="1" t="s">
        <v>43</v>
      </c>
      <c r="E3466" s="1" t="s">
        <v>2</v>
      </c>
      <c r="F3466" s="1" t="n">
        <v>37.23</v>
      </c>
      <c r="G3466" s="1" t="n">
        <f aca="false">IF(E3466=E3465,F3466/F3465-1,"")</f>
        <v>0.108035714285714</v>
      </c>
    </row>
    <row r="3467" customFormat="false" ht="14.25" hidden="false" customHeight="true" outlineLevel="0" collapsed="false">
      <c r="A3467" s="26" t="n">
        <v>40969</v>
      </c>
      <c r="B3467" s="1" t="n">
        <v>2012</v>
      </c>
      <c r="C3467" s="1" t="n">
        <v>3</v>
      </c>
      <c r="D3467" s="1" t="s">
        <v>44</v>
      </c>
      <c r="E3467" s="1" t="s">
        <v>2</v>
      </c>
      <c r="F3467" s="1" t="n">
        <v>32.43</v>
      </c>
      <c r="G3467" s="1" t="n">
        <f aca="false">IF(E3467=E3466,F3467/F3466-1,"")</f>
        <v>-0.128928283642224</v>
      </c>
    </row>
    <row r="3468" customFormat="false" ht="14.25" hidden="false" customHeight="true" outlineLevel="0" collapsed="false">
      <c r="A3468" s="26" t="n">
        <v>41000</v>
      </c>
      <c r="B3468" s="1" t="n">
        <v>2012</v>
      </c>
      <c r="C3468" s="1" t="n">
        <v>4</v>
      </c>
      <c r="D3468" s="1" t="s">
        <v>45</v>
      </c>
      <c r="E3468" s="1" t="s">
        <v>2</v>
      </c>
      <c r="F3468" s="1" t="n">
        <v>31.2</v>
      </c>
      <c r="G3468" s="1" t="n">
        <f aca="false">IF(E3468=E3467,F3468/F3467-1,"")</f>
        <v>-0.0379278445883441</v>
      </c>
    </row>
    <row r="3469" customFormat="false" ht="14.25" hidden="false" customHeight="true" outlineLevel="0" collapsed="false">
      <c r="A3469" s="26" t="n">
        <v>41030</v>
      </c>
      <c r="B3469" s="1" t="n">
        <v>2012</v>
      </c>
      <c r="C3469" s="1" t="n">
        <v>5</v>
      </c>
      <c r="D3469" s="1" t="s">
        <v>46</v>
      </c>
      <c r="E3469" s="1" t="s">
        <v>2</v>
      </c>
      <c r="F3469" s="1" t="n">
        <v>28.1</v>
      </c>
      <c r="G3469" s="1" t="n">
        <f aca="false">IF(E3469=E3468,F3469/F3468-1,"")</f>
        <v>-0.0993589743589743</v>
      </c>
    </row>
    <row r="3470" customFormat="false" ht="14.25" hidden="false" customHeight="true" outlineLevel="0" collapsed="false">
      <c r="A3470" s="26" t="n">
        <v>41061</v>
      </c>
      <c r="B3470" s="1" t="n">
        <v>2012</v>
      </c>
      <c r="C3470" s="1" t="n">
        <v>6</v>
      </c>
      <c r="D3470" s="1" t="s">
        <v>47</v>
      </c>
      <c r="E3470" s="1" t="s">
        <v>2</v>
      </c>
      <c r="F3470" s="1" t="n">
        <v>27.08</v>
      </c>
      <c r="G3470" s="1" t="n">
        <f aca="false">IF(E3470=E3469,F3470/F3469-1,"")</f>
        <v>-0.0362989323843418</v>
      </c>
    </row>
    <row r="3471" customFormat="false" ht="14.25" hidden="false" customHeight="true" outlineLevel="0" collapsed="false">
      <c r="A3471" s="26" t="n">
        <v>41091</v>
      </c>
      <c r="B3471" s="1" t="n">
        <v>2012</v>
      </c>
      <c r="C3471" s="1" t="n">
        <v>7</v>
      </c>
      <c r="D3471" s="1" t="s">
        <v>48</v>
      </c>
      <c r="E3471" s="1" t="s">
        <v>2</v>
      </c>
      <c r="F3471" s="1" t="n">
        <v>28.2</v>
      </c>
      <c r="G3471" s="1" t="n">
        <f aca="false">IF(E3471=E3470,F3471/F3470-1,"")</f>
        <v>0.0413589364844904</v>
      </c>
    </row>
    <row r="3472" customFormat="false" ht="14.25" hidden="false" customHeight="true" outlineLevel="0" collapsed="false">
      <c r="A3472" s="26" t="n">
        <v>41122</v>
      </c>
      <c r="B3472" s="1" t="n">
        <v>2012</v>
      </c>
      <c r="C3472" s="1" t="n">
        <v>8</v>
      </c>
      <c r="D3472" s="1" t="s">
        <v>49</v>
      </c>
      <c r="E3472" s="1" t="s">
        <v>2</v>
      </c>
      <c r="F3472" s="1" t="n">
        <v>30.52</v>
      </c>
      <c r="G3472" s="1" t="n">
        <f aca="false">IF(E3472=E3471,F3472/F3471-1,"")</f>
        <v>0.0822695035460994</v>
      </c>
    </row>
    <row r="3473" customFormat="false" ht="14.25" hidden="false" customHeight="true" outlineLevel="0" collapsed="false">
      <c r="A3473" s="26" t="n">
        <v>41153</v>
      </c>
      <c r="B3473" s="1" t="n">
        <v>2012</v>
      </c>
      <c r="C3473" s="1" t="n">
        <v>9</v>
      </c>
      <c r="D3473" s="1" t="s">
        <v>50</v>
      </c>
      <c r="E3473" s="1" t="s">
        <v>2</v>
      </c>
      <c r="F3473" s="1" t="n">
        <v>34.65</v>
      </c>
      <c r="G3473" s="1" t="n">
        <f aca="false">IF(E3473=E3472,F3473/F3472-1,"")</f>
        <v>0.135321100917431</v>
      </c>
    </row>
    <row r="3474" customFormat="false" ht="14.25" hidden="false" customHeight="true" outlineLevel="0" collapsed="false">
      <c r="A3474" s="26" t="n">
        <v>41183</v>
      </c>
      <c r="B3474" s="1" t="n">
        <v>2012</v>
      </c>
      <c r="C3474" s="1" t="n">
        <v>10</v>
      </c>
      <c r="D3474" s="1" t="s">
        <v>51</v>
      </c>
      <c r="E3474" s="1" t="s">
        <v>2</v>
      </c>
      <c r="F3474" s="1" t="n">
        <v>32.28</v>
      </c>
      <c r="G3474" s="1" t="n">
        <f aca="false">IF(E3474=E3473,F3474/F3473-1,"")</f>
        <v>-0.0683982683982684</v>
      </c>
    </row>
    <row r="3475" customFormat="false" ht="14.25" hidden="false" customHeight="true" outlineLevel="0" collapsed="false">
      <c r="A3475" s="26" t="n">
        <v>41214</v>
      </c>
      <c r="B3475" s="1" t="n">
        <v>2012</v>
      </c>
      <c r="C3475" s="1" t="n">
        <v>11</v>
      </c>
      <c r="D3475" s="1" t="s">
        <v>52</v>
      </c>
      <c r="E3475" s="1" t="s">
        <v>2</v>
      </c>
      <c r="F3475" s="1" t="n">
        <v>34.28</v>
      </c>
      <c r="G3475" s="1" t="n">
        <f aca="false">IF(E3475=E3474,F3475/F3474-1,"")</f>
        <v>0.0619578686493185</v>
      </c>
    </row>
    <row r="3476" customFormat="false" ht="14.25" hidden="false" customHeight="true" outlineLevel="0" collapsed="false">
      <c r="A3476" s="26" t="n">
        <v>41244</v>
      </c>
      <c r="B3476" s="1" t="n">
        <v>2012</v>
      </c>
      <c r="C3476" s="1" t="n">
        <v>12</v>
      </c>
      <c r="D3476" s="1" t="s">
        <v>53</v>
      </c>
      <c r="E3476" s="1" t="s">
        <v>2</v>
      </c>
      <c r="F3476" s="1" t="n">
        <v>29.95</v>
      </c>
      <c r="G3476" s="1" t="n">
        <f aca="false">IF(E3476=E3475,F3476/F3475-1,"")</f>
        <v>-0.126312718786464</v>
      </c>
    </row>
    <row r="3477" customFormat="false" ht="14.25" hidden="false" customHeight="true" outlineLevel="0" collapsed="false">
      <c r="A3477" s="26" t="n">
        <v>41275</v>
      </c>
      <c r="B3477" s="1" t="n">
        <v>2013</v>
      </c>
      <c r="C3477" s="1" t="n">
        <v>1</v>
      </c>
      <c r="D3477" s="1" t="s">
        <v>42</v>
      </c>
      <c r="E3477" s="1" t="s">
        <v>2</v>
      </c>
      <c r="F3477" s="1" t="n">
        <v>32.03</v>
      </c>
      <c r="G3477" s="1" t="n">
        <f aca="false">IF(E3477=E3476,F3477/F3476-1,"")</f>
        <v>0.0694490818030051</v>
      </c>
    </row>
    <row r="3478" customFormat="false" ht="14.25" hidden="false" customHeight="true" outlineLevel="0" collapsed="false">
      <c r="A3478" s="26" t="n">
        <v>41306</v>
      </c>
      <c r="B3478" s="1" t="n">
        <v>2013</v>
      </c>
      <c r="C3478" s="1" t="n">
        <v>2</v>
      </c>
      <c r="D3478" s="1" t="s">
        <v>43</v>
      </c>
      <c r="E3478" s="1" t="s">
        <v>2</v>
      </c>
      <c r="F3478" s="1" t="n">
        <v>28.95</v>
      </c>
      <c r="G3478" s="1" t="n">
        <f aca="false">IF(E3478=E3477,F3478/F3477-1,"")</f>
        <v>-0.0961598501404933</v>
      </c>
    </row>
    <row r="3479" customFormat="false" ht="14.25" hidden="false" customHeight="true" outlineLevel="0" collapsed="false">
      <c r="A3479" s="26" t="n">
        <v>41334</v>
      </c>
      <c r="B3479" s="1" t="n">
        <v>2013</v>
      </c>
      <c r="C3479" s="1" t="n">
        <v>3</v>
      </c>
      <c r="D3479" s="1" t="s">
        <v>44</v>
      </c>
      <c r="E3479" s="1" t="s">
        <v>2</v>
      </c>
      <c r="F3479" s="1" t="n">
        <v>28.64</v>
      </c>
      <c r="G3479" s="1" t="n">
        <f aca="false">IF(E3479=E3478,F3479/F3478-1,"")</f>
        <v>-0.0107081174438687</v>
      </c>
    </row>
    <row r="3480" customFormat="false" ht="14.25" hidden="false" customHeight="true" outlineLevel="0" collapsed="false">
      <c r="A3480" s="26" t="n">
        <v>41365</v>
      </c>
      <c r="B3480" s="1" t="n">
        <v>2013</v>
      </c>
      <c r="C3480" s="1" t="n">
        <v>4</v>
      </c>
      <c r="D3480" s="1" t="s">
        <v>45</v>
      </c>
      <c r="E3480" s="1" t="s">
        <v>2</v>
      </c>
      <c r="F3480" s="1" t="n">
        <v>24.42</v>
      </c>
      <c r="G3480" s="1" t="n">
        <f aca="false">IF(E3480=E3479,F3480/F3479-1,"")</f>
        <v>-0.147346368715084</v>
      </c>
    </row>
    <row r="3481" customFormat="false" ht="14.25" hidden="false" customHeight="true" outlineLevel="0" collapsed="false">
      <c r="A3481" s="26" t="n">
        <v>41395</v>
      </c>
      <c r="B3481" s="1" t="n">
        <v>2013</v>
      </c>
      <c r="C3481" s="1" t="n">
        <v>5</v>
      </c>
      <c r="D3481" s="1" t="s">
        <v>46</v>
      </c>
      <c r="E3481" s="1" t="s">
        <v>2</v>
      </c>
      <c r="F3481" s="1" t="n">
        <v>22.57</v>
      </c>
      <c r="G3481" s="1" t="n">
        <f aca="false">IF(E3481=E3480,F3481/F3480-1,"")</f>
        <v>-0.0757575757575758</v>
      </c>
    </row>
    <row r="3482" customFormat="false" ht="14.25" hidden="false" customHeight="true" outlineLevel="0" collapsed="false">
      <c r="A3482" s="26" t="n">
        <v>41426</v>
      </c>
      <c r="B3482" s="1" t="n">
        <v>2013</v>
      </c>
      <c r="C3482" s="1" t="n">
        <v>6</v>
      </c>
      <c r="D3482" s="1" t="s">
        <v>47</v>
      </c>
      <c r="E3482" s="1" t="s">
        <v>2</v>
      </c>
      <c r="F3482" s="1" t="n">
        <v>18.86</v>
      </c>
      <c r="G3482" s="1" t="n">
        <f aca="false">IF(E3482=E3481,F3482/F3481-1,"")</f>
        <v>-0.164377492246345</v>
      </c>
    </row>
    <row r="3483" customFormat="false" ht="14.25" hidden="false" customHeight="true" outlineLevel="0" collapsed="false">
      <c r="A3483" s="26" t="n">
        <v>41456</v>
      </c>
      <c r="B3483" s="1" t="n">
        <v>2013</v>
      </c>
      <c r="C3483" s="1" t="n">
        <v>7</v>
      </c>
      <c r="D3483" s="1" t="s">
        <v>48</v>
      </c>
      <c r="E3483" s="1" t="s">
        <v>2</v>
      </c>
      <c r="F3483" s="1" t="n">
        <v>19.94</v>
      </c>
      <c r="G3483" s="1" t="n">
        <f aca="false">IF(E3483=E3482,F3483/F3482-1,"")</f>
        <v>0.0572640509013787</v>
      </c>
    </row>
    <row r="3484" customFormat="false" ht="14.25" hidden="false" customHeight="true" outlineLevel="0" collapsed="false">
      <c r="A3484" s="26" t="n">
        <v>41487</v>
      </c>
      <c r="B3484" s="1" t="n">
        <v>2013</v>
      </c>
      <c r="C3484" s="1" t="n">
        <v>8</v>
      </c>
      <c r="D3484" s="1" t="s">
        <v>49</v>
      </c>
      <c r="E3484" s="1" t="s">
        <v>2</v>
      </c>
      <c r="F3484" s="1" t="n">
        <v>23.64</v>
      </c>
      <c r="G3484" s="1" t="n">
        <f aca="false">IF(E3484=E3483,F3484/F3483-1,"")</f>
        <v>0.18555667001003</v>
      </c>
    </row>
    <row r="3485" customFormat="false" ht="14.25" hidden="false" customHeight="true" outlineLevel="0" collapsed="false">
      <c r="A3485" s="26" t="n">
        <v>41518</v>
      </c>
      <c r="B3485" s="1" t="n">
        <v>2013</v>
      </c>
      <c r="C3485" s="1" t="n">
        <v>9</v>
      </c>
      <c r="D3485" s="1" t="s">
        <v>50</v>
      </c>
      <c r="E3485" s="1" t="s">
        <v>2</v>
      </c>
      <c r="F3485" s="1" t="n">
        <v>21.68</v>
      </c>
      <c r="G3485" s="1" t="n">
        <f aca="false">IF(E3485=E3484,F3485/F3484-1,"")</f>
        <v>-0.0829103214890017</v>
      </c>
    </row>
    <row r="3486" customFormat="false" ht="14.25" hidden="false" customHeight="true" outlineLevel="0" collapsed="false">
      <c r="A3486" s="26" t="n">
        <v>41548</v>
      </c>
      <c r="B3486" s="1" t="n">
        <v>2013</v>
      </c>
      <c r="C3486" s="1" t="n">
        <v>10</v>
      </c>
      <c r="D3486" s="1" t="s">
        <v>51</v>
      </c>
      <c r="E3486" s="1" t="s">
        <v>2</v>
      </c>
      <c r="F3486" s="1" t="n">
        <v>22.2</v>
      </c>
      <c r="G3486" s="1" t="n">
        <f aca="false">IF(E3486=E3485,F3486/F3485-1,"")</f>
        <v>0.0239852398523985</v>
      </c>
    </row>
    <row r="3487" customFormat="false" ht="14.25" hidden="false" customHeight="true" outlineLevel="0" collapsed="false">
      <c r="A3487" s="26" t="n">
        <v>41579</v>
      </c>
      <c r="B3487" s="1" t="n">
        <v>2013</v>
      </c>
      <c r="C3487" s="1" t="n">
        <v>11</v>
      </c>
      <c r="D3487" s="1" t="s">
        <v>52</v>
      </c>
      <c r="E3487" s="1" t="s">
        <v>2</v>
      </c>
      <c r="F3487" s="1" t="n">
        <v>19.93</v>
      </c>
      <c r="G3487" s="1" t="n">
        <f aca="false">IF(E3487=E3486,F3487/F3486-1,"")</f>
        <v>-0.102252252252252</v>
      </c>
    </row>
    <row r="3488" customFormat="false" ht="14.25" hidden="false" customHeight="true" outlineLevel="0" collapsed="false">
      <c r="A3488" s="26" t="n">
        <v>41609</v>
      </c>
      <c r="B3488" s="1" t="n">
        <v>2013</v>
      </c>
      <c r="C3488" s="1" t="n">
        <v>12</v>
      </c>
      <c r="D3488" s="1" t="s">
        <v>53</v>
      </c>
      <c r="E3488" s="1" t="s">
        <v>2</v>
      </c>
      <c r="F3488" s="1" t="n">
        <v>19.5</v>
      </c>
      <c r="G3488" s="1" t="n">
        <f aca="false">IF(E3488=E3487,F3488/F3487-1,"")</f>
        <v>-0.0215755143000501</v>
      </c>
    </row>
    <row r="3489" customFormat="false" ht="14.25" hidden="false" customHeight="true" outlineLevel="0" collapsed="false">
      <c r="A3489" s="26" t="n">
        <v>41640</v>
      </c>
      <c r="B3489" s="1" t="n">
        <v>2014</v>
      </c>
      <c r="C3489" s="1" t="n">
        <v>1</v>
      </c>
      <c r="D3489" s="1" t="s">
        <v>42</v>
      </c>
      <c r="E3489" s="1" t="s">
        <v>2</v>
      </c>
      <c r="F3489" s="1" t="n">
        <v>19.31</v>
      </c>
      <c r="G3489" s="1" t="n">
        <f aca="false">IF(E3489=E3488,F3489/F3488-1,"")</f>
        <v>-0.0097435897435898</v>
      </c>
    </row>
    <row r="3490" customFormat="false" ht="14.25" hidden="false" customHeight="true" outlineLevel="0" collapsed="false">
      <c r="A3490" s="26" t="n">
        <v>41671</v>
      </c>
      <c r="B3490" s="1" t="n">
        <v>2014</v>
      </c>
      <c r="C3490" s="1" t="n">
        <v>2</v>
      </c>
      <c r="D3490" s="1" t="s">
        <v>43</v>
      </c>
      <c r="E3490" s="1" t="s">
        <v>2</v>
      </c>
      <c r="F3490" s="1" t="n">
        <v>21.27</v>
      </c>
      <c r="G3490" s="1" t="n">
        <f aca="false">IF(E3490=E3489,F3490/F3489-1,"")</f>
        <v>0.101501812532367</v>
      </c>
    </row>
    <row r="3491" customFormat="false" ht="14.25" hidden="false" customHeight="true" outlineLevel="0" collapsed="false">
      <c r="A3491" s="26" t="n">
        <v>41699</v>
      </c>
      <c r="B3491" s="1" t="n">
        <v>2014</v>
      </c>
      <c r="C3491" s="1" t="n">
        <v>3</v>
      </c>
      <c r="D3491" s="1" t="s">
        <v>44</v>
      </c>
      <c r="E3491" s="1" t="s">
        <v>2</v>
      </c>
      <c r="F3491" s="1" t="n">
        <v>19.97</v>
      </c>
      <c r="G3491" s="1" t="n">
        <f aca="false">IF(E3491=E3490,F3491/F3490-1,"")</f>
        <v>-0.0611189468735308</v>
      </c>
    </row>
    <row r="3492" customFormat="false" ht="14.25" hidden="false" customHeight="true" outlineLevel="0" collapsed="false">
      <c r="A3492" s="26" t="n">
        <v>41730</v>
      </c>
      <c r="B3492" s="1" t="n">
        <v>2014</v>
      </c>
      <c r="C3492" s="1" t="n">
        <v>4</v>
      </c>
      <c r="D3492" s="1" t="s">
        <v>45</v>
      </c>
      <c r="E3492" s="1" t="s">
        <v>2</v>
      </c>
      <c r="F3492" s="1" t="n">
        <v>19.28</v>
      </c>
      <c r="G3492" s="1" t="n">
        <f aca="false">IF(E3492=E3491,F3492/F3491-1,"")</f>
        <v>-0.0345518277416124</v>
      </c>
    </row>
    <row r="3493" customFormat="false" ht="14.25" hidden="false" customHeight="true" outlineLevel="0" collapsed="false">
      <c r="A3493" s="26" t="n">
        <v>41760</v>
      </c>
      <c r="B3493" s="1" t="n">
        <v>2014</v>
      </c>
      <c r="C3493" s="1" t="n">
        <v>5</v>
      </c>
      <c r="D3493" s="1" t="s">
        <v>46</v>
      </c>
      <c r="E3493" s="1" t="s">
        <v>2</v>
      </c>
      <c r="F3493" s="1" t="n">
        <v>19</v>
      </c>
      <c r="G3493" s="1" t="n">
        <f aca="false">IF(E3493=E3492,F3493/F3492-1,"")</f>
        <v>-0.0145228215767635</v>
      </c>
    </row>
    <row r="3494" customFormat="false" ht="14.25" hidden="false" customHeight="true" outlineLevel="0" collapsed="false">
      <c r="A3494" s="26" t="n">
        <v>41791</v>
      </c>
      <c r="B3494" s="1" t="n">
        <v>2014</v>
      </c>
      <c r="C3494" s="1" t="n">
        <v>6</v>
      </c>
      <c r="D3494" s="1" t="s">
        <v>47</v>
      </c>
      <c r="E3494" s="1" t="s">
        <v>2</v>
      </c>
      <c r="F3494" s="1" t="n">
        <v>20.87</v>
      </c>
      <c r="G3494" s="1" t="n">
        <f aca="false">IF(E3494=E3493,F3494/F3493-1,"")</f>
        <v>0.098421052631579</v>
      </c>
    </row>
    <row r="3495" customFormat="false" ht="14.25" hidden="false" customHeight="true" outlineLevel="0" collapsed="false">
      <c r="A3495" s="26" t="n">
        <v>41821</v>
      </c>
      <c r="B3495" s="1" t="n">
        <v>2014</v>
      </c>
      <c r="C3495" s="1" t="n">
        <v>7</v>
      </c>
      <c r="D3495" s="1" t="s">
        <v>48</v>
      </c>
      <c r="E3495" s="1" t="s">
        <v>2</v>
      </c>
      <c r="F3495" s="1" t="n">
        <v>20.69</v>
      </c>
      <c r="G3495" s="1" t="n">
        <f aca="false">IF(E3495=E3494,F3495/F3494-1,"")</f>
        <v>-0.00862482031624334</v>
      </c>
    </row>
    <row r="3496" customFormat="false" ht="14.25" hidden="false" customHeight="true" outlineLevel="0" collapsed="false">
      <c r="A3496" s="26" t="n">
        <v>41852</v>
      </c>
      <c r="B3496" s="1" t="n">
        <v>2014</v>
      </c>
      <c r="C3496" s="1" t="n">
        <v>8</v>
      </c>
      <c r="D3496" s="1" t="s">
        <v>49</v>
      </c>
      <c r="E3496" s="1" t="s">
        <v>2</v>
      </c>
      <c r="F3496" s="1" t="n">
        <v>19.47</v>
      </c>
      <c r="G3496" s="1" t="n">
        <f aca="false">IF(E3496=E3495,F3496/F3495-1,"")</f>
        <v>-0.0589656839052684</v>
      </c>
    </row>
    <row r="3497" customFormat="false" ht="14.25" hidden="false" customHeight="true" outlineLevel="0" collapsed="false">
      <c r="A3497" s="26" t="n">
        <v>41883</v>
      </c>
      <c r="B3497" s="1" t="n">
        <v>2014</v>
      </c>
      <c r="C3497" s="1" t="n">
        <v>9</v>
      </c>
      <c r="D3497" s="1" t="s">
        <v>50</v>
      </c>
      <c r="E3497" s="1" t="s">
        <v>2</v>
      </c>
      <c r="F3497" s="1" t="n">
        <v>17.11</v>
      </c>
      <c r="G3497" s="1" t="n">
        <f aca="false">IF(E3497=E3496,F3497/F3496-1,"")</f>
        <v>-0.121212121212121</v>
      </c>
    </row>
    <row r="3498" customFormat="false" ht="14.25" hidden="false" customHeight="true" outlineLevel="0" collapsed="false">
      <c r="A3498" s="26" t="n">
        <v>41913</v>
      </c>
      <c r="B3498" s="1" t="n">
        <v>2014</v>
      </c>
      <c r="C3498" s="1" t="n">
        <v>10</v>
      </c>
      <c r="D3498" s="1" t="s">
        <v>51</v>
      </c>
      <c r="E3498" s="1" t="s">
        <v>2</v>
      </c>
      <c r="F3498" s="1" t="n">
        <v>16.2</v>
      </c>
      <c r="G3498" s="1" t="n">
        <f aca="false">IF(E3498=E3497,F3498/F3497-1,"")</f>
        <v>-0.0531852717708943</v>
      </c>
    </row>
    <row r="3499" customFormat="false" ht="14.25" hidden="false" customHeight="true" outlineLevel="0" collapsed="false">
      <c r="A3499" s="26" t="n">
        <v>41944</v>
      </c>
      <c r="B3499" s="1" t="n">
        <v>2014</v>
      </c>
      <c r="C3499" s="1" t="n">
        <v>11</v>
      </c>
      <c r="D3499" s="1" t="s">
        <v>52</v>
      </c>
      <c r="E3499" s="1" t="s">
        <v>2</v>
      </c>
      <c r="F3499" s="1" t="n">
        <v>15.97</v>
      </c>
      <c r="G3499" s="1" t="n">
        <f aca="false">IF(E3499=E3498,F3499/F3498-1,"")</f>
        <v>-0.0141975308641974</v>
      </c>
    </row>
    <row r="3500" customFormat="false" ht="14.25" hidden="false" customHeight="true" outlineLevel="0" collapsed="false">
      <c r="A3500" s="26" t="n">
        <v>41974</v>
      </c>
      <c r="B3500" s="1" t="n">
        <v>2014</v>
      </c>
      <c r="C3500" s="1" t="n">
        <v>12</v>
      </c>
      <c r="D3500" s="1" t="s">
        <v>53</v>
      </c>
      <c r="E3500" s="1" t="s">
        <v>2</v>
      </c>
      <c r="F3500" s="1" t="n">
        <v>15.97</v>
      </c>
      <c r="G3500" s="1" t="n">
        <f aca="false">IF(E3500=E3499,F3500/F3499-1,"")</f>
        <v>0</v>
      </c>
    </row>
    <row r="3501" customFormat="false" ht="14.25" hidden="false" customHeight="true" outlineLevel="0" collapsed="false">
      <c r="A3501" s="26" t="n">
        <v>42005</v>
      </c>
      <c r="B3501" s="1" t="n">
        <v>2015</v>
      </c>
      <c r="C3501" s="1" t="n">
        <v>1</v>
      </c>
      <c r="D3501" s="1" t="s">
        <v>42</v>
      </c>
      <c r="E3501" s="1" t="s">
        <v>2</v>
      </c>
      <c r="F3501" s="1" t="n">
        <v>16.92</v>
      </c>
      <c r="G3501" s="1" t="n">
        <f aca="false">IF(E3501=E3500,F3501/F3500-1,"")</f>
        <v>0.0594865372573576</v>
      </c>
    </row>
    <row r="3502" customFormat="false" ht="14.25" hidden="false" customHeight="true" outlineLevel="0" collapsed="false">
      <c r="A3502" s="26" t="n">
        <v>42036</v>
      </c>
      <c r="B3502" s="1" t="n">
        <v>2015</v>
      </c>
      <c r="C3502" s="1" t="n">
        <v>2</v>
      </c>
      <c r="D3502" s="1" t="s">
        <v>43</v>
      </c>
      <c r="E3502" s="1" t="s">
        <v>2</v>
      </c>
      <c r="F3502" s="1" t="n">
        <v>16.53</v>
      </c>
      <c r="G3502" s="1" t="n">
        <f aca="false">IF(E3502=E3501,F3502/F3501-1,"")</f>
        <v>-0.0230496453900709</v>
      </c>
    </row>
    <row r="3503" customFormat="false" ht="14.25" hidden="false" customHeight="true" outlineLevel="0" collapsed="false">
      <c r="A3503" s="26" t="n">
        <v>42064</v>
      </c>
      <c r="B3503" s="1" t="n">
        <v>2015</v>
      </c>
      <c r="C3503" s="1" t="n">
        <v>3</v>
      </c>
      <c r="D3503" s="1" t="s">
        <v>44</v>
      </c>
      <c r="E3503" s="1" t="s">
        <v>2</v>
      </c>
      <c r="F3503" s="1" t="n">
        <v>16.6</v>
      </c>
      <c r="G3503" s="1" t="n">
        <f aca="false">IF(E3503=E3502,F3503/F3502-1,"")</f>
        <v>0.00423472474289177</v>
      </c>
    </row>
    <row r="3504" customFormat="false" ht="14.25" hidden="false" customHeight="true" outlineLevel="0" collapsed="false">
      <c r="A3504" s="26" t="n">
        <v>42095</v>
      </c>
      <c r="B3504" s="1" t="n">
        <v>2015</v>
      </c>
      <c r="C3504" s="1" t="n">
        <v>4</v>
      </c>
      <c r="D3504" s="1" t="s">
        <v>45</v>
      </c>
      <c r="E3504" s="1" t="s">
        <v>2</v>
      </c>
      <c r="F3504" s="1" t="n">
        <v>16.52</v>
      </c>
      <c r="G3504" s="1" t="n">
        <f aca="false">IF(E3504=E3503,F3504/F3503-1,"")</f>
        <v>-0.00481927710843388</v>
      </c>
    </row>
    <row r="3505" customFormat="false" ht="14.25" hidden="false" customHeight="true" outlineLevel="0" collapsed="false">
      <c r="A3505" s="26" t="n">
        <v>42125</v>
      </c>
      <c r="B3505" s="1" t="n">
        <v>2015</v>
      </c>
      <c r="C3505" s="1" t="n">
        <v>5</v>
      </c>
      <c r="D3505" s="1" t="s">
        <v>46</v>
      </c>
      <c r="E3505" s="1" t="s">
        <v>2</v>
      </c>
      <c r="F3505" s="1" t="n">
        <v>16.7</v>
      </c>
      <c r="G3505" s="1" t="n">
        <f aca="false">IF(E3505=E3504,F3505/F3504-1,"")</f>
        <v>0.0108958837772397</v>
      </c>
    </row>
    <row r="3506" customFormat="false" ht="14.25" hidden="false" customHeight="true" outlineLevel="0" collapsed="false">
      <c r="A3506" s="26" t="n">
        <v>42156</v>
      </c>
      <c r="B3506" s="1" t="n">
        <v>2015</v>
      </c>
      <c r="C3506" s="1" t="n">
        <v>6</v>
      </c>
      <c r="D3506" s="1" t="s">
        <v>47</v>
      </c>
      <c r="E3506" s="1" t="s">
        <v>2</v>
      </c>
      <c r="F3506" s="1" t="n">
        <v>15.58</v>
      </c>
      <c r="G3506" s="1" t="n">
        <f aca="false">IF(E3506=E3505,F3506/F3505-1,"")</f>
        <v>-0.0670658682634731</v>
      </c>
    </row>
    <row r="3507" customFormat="false" ht="14.25" hidden="false" customHeight="true" outlineLevel="0" collapsed="false">
      <c r="A3507" s="26" t="n">
        <v>42186</v>
      </c>
      <c r="B3507" s="1" t="n">
        <v>2015</v>
      </c>
      <c r="C3507" s="1" t="n">
        <v>7</v>
      </c>
      <c r="D3507" s="1" t="s">
        <v>48</v>
      </c>
      <c r="E3507" s="1" t="s">
        <v>2</v>
      </c>
      <c r="F3507" s="1" t="n">
        <v>14.75</v>
      </c>
      <c r="G3507" s="1" t="n">
        <f aca="false">IF(E3507=E3506,F3507/F3506-1,"")</f>
        <v>-0.0532734274711169</v>
      </c>
    </row>
    <row r="3508" customFormat="false" ht="14.25" hidden="false" customHeight="true" outlineLevel="0" collapsed="false">
      <c r="A3508" s="26" t="n">
        <v>42217</v>
      </c>
      <c r="B3508" s="1" t="n">
        <v>2015</v>
      </c>
      <c r="C3508" s="1" t="n">
        <v>8</v>
      </c>
      <c r="D3508" s="1" t="s">
        <v>49</v>
      </c>
      <c r="E3508" s="1" t="s">
        <v>2</v>
      </c>
      <c r="F3508" s="1" t="n">
        <v>14.59</v>
      </c>
      <c r="G3508" s="1" t="n">
        <f aca="false">IF(E3508=E3507,F3508/F3507-1,"")</f>
        <v>-0.0108474576271187</v>
      </c>
    </row>
    <row r="3509" customFormat="false" ht="14.25" hidden="false" customHeight="true" outlineLevel="0" collapsed="false">
      <c r="A3509" s="26" t="n">
        <v>42248</v>
      </c>
      <c r="B3509" s="1" t="n">
        <v>2015</v>
      </c>
      <c r="C3509" s="1" t="n">
        <v>9</v>
      </c>
      <c r="D3509" s="1" t="s">
        <v>50</v>
      </c>
      <c r="E3509" s="1" t="s">
        <v>2</v>
      </c>
      <c r="F3509" s="1" t="n">
        <v>14.52</v>
      </c>
      <c r="G3509" s="1" t="n">
        <f aca="false">IF(E3509=E3508,F3509/F3508-1,"")</f>
        <v>-0.00479780671692942</v>
      </c>
    </row>
    <row r="3510" customFormat="false" ht="14.25" hidden="false" customHeight="true" outlineLevel="0" collapsed="false">
      <c r="A3510" s="26" t="n">
        <v>42278</v>
      </c>
      <c r="B3510" s="1" t="n">
        <v>2015</v>
      </c>
      <c r="C3510" s="1" t="n">
        <v>10</v>
      </c>
      <c r="D3510" s="1" t="s">
        <v>51</v>
      </c>
      <c r="E3510" s="1" t="s">
        <v>2</v>
      </c>
      <c r="F3510" s="1" t="n">
        <v>15.57</v>
      </c>
      <c r="G3510" s="1" t="n">
        <f aca="false">IF(E3510=E3509,F3510/F3509-1,"")</f>
        <v>0.0723140495867769</v>
      </c>
    </row>
    <row r="3511" customFormat="false" ht="14.25" hidden="false" customHeight="true" outlineLevel="0" collapsed="false">
      <c r="A3511" s="26" t="n">
        <v>42309</v>
      </c>
      <c r="B3511" s="1" t="n">
        <v>2015</v>
      </c>
      <c r="C3511" s="1" t="n">
        <v>11</v>
      </c>
      <c r="D3511" s="1" t="s">
        <v>52</v>
      </c>
      <c r="E3511" s="1" t="s">
        <v>2</v>
      </c>
      <c r="F3511" s="1" t="n">
        <v>14.09</v>
      </c>
      <c r="G3511" s="1" t="n">
        <f aca="false">IF(E3511=E3510,F3511/F3510-1,"")</f>
        <v>-0.0950545921644188</v>
      </c>
    </row>
    <row r="3512" customFormat="false" ht="14.25" hidden="false" customHeight="true" outlineLevel="0" collapsed="false">
      <c r="A3512" s="26" t="n">
        <v>42339</v>
      </c>
      <c r="B3512" s="1" t="n">
        <v>2015</v>
      </c>
      <c r="C3512" s="1" t="n">
        <v>12</v>
      </c>
      <c r="D3512" s="1" t="s">
        <v>53</v>
      </c>
      <c r="E3512" s="1" t="s">
        <v>2</v>
      </c>
      <c r="F3512" s="1" t="n">
        <v>13.8</v>
      </c>
      <c r="G3512" s="1" t="n">
        <f aca="false">IF(E3512=E3511,F3512/F3511-1,"")</f>
        <v>-0.020581973030518</v>
      </c>
    </row>
    <row r="3513" customFormat="false" ht="14.25" hidden="false" customHeight="true" outlineLevel="0" collapsed="false">
      <c r="A3513" s="26" t="n">
        <v>42370</v>
      </c>
      <c r="B3513" s="1" t="n">
        <v>2016</v>
      </c>
      <c r="C3513" s="1" t="n">
        <v>1</v>
      </c>
      <c r="D3513" s="1" t="s">
        <v>42</v>
      </c>
      <c r="E3513" s="1" t="s">
        <v>2</v>
      </c>
      <c r="F3513" s="1" t="n">
        <v>14.24</v>
      </c>
      <c r="G3513" s="1" t="n">
        <f aca="false">IF(E3513=E3512,F3513/F3512-1,"")</f>
        <v>0.0318840579710145</v>
      </c>
    </row>
    <row r="3514" customFormat="false" ht="14.25" hidden="false" customHeight="true" outlineLevel="0" collapsed="false">
      <c r="A3514" s="26" t="n">
        <v>42401</v>
      </c>
      <c r="B3514" s="1" t="n">
        <v>2016</v>
      </c>
      <c r="C3514" s="1" t="n">
        <v>2</v>
      </c>
      <c r="D3514" s="1" t="s">
        <v>43</v>
      </c>
      <c r="E3514" s="1" t="s">
        <v>2</v>
      </c>
      <c r="F3514" s="1" t="n">
        <v>14.92</v>
      </c>
      <c r="G3514" s="1" t="n">
        <f aca="false">IF(E3514=E3513,F3514/F3513-1,"")</f>
        <v>0.047752808988764</v>
      </c>
    </row>
    <row r="3515" customFormat="false" ht="14.25" hidden="false" customHeight="true" outlineLevel="0" collapsed="false">
      <c r="A3515" s="26" t="n">
        <v>42430</v>
      </c>
      <c r="B3515" s="1" t="n">
        <v>2016</v>
      </c>
      <c r="C3515" s="1" t="n">
        <v>3</v>
      </c>
      <c r="D3515" s="1" t="s">
        <v>44</v>
      </c>
      <c r="E3515" s="1" t="s">
        <v>2</v>
      </c>
      <c r="F3515" s="1" t="n">
        <v>15.46</v>
      </c>
      <c r="G3515" s="1" t="n">
        <f aca="false">IF(E3515=E3514,F3515/F3514-1,"")</f>
        <v>0.0361930294906168</v>
      </c>
    </row>
    <row r="3516" customFormat="false" ht="14.25" hidden="false" customHeight="true" outlineLevel="0" collapsed="false">
      <c r="A3516" s="26" t="n">
        <v>42461</v>
      </c>
      <c r="B3516" s="1" t="n">
        <v>2016</v>
      </c>
      <c r="C3516" s="1" t="n">
        <v>4</v>
      </c>
      <c r="D3516" s="1" t="s">
        <v>45</v>
      </c>
      <c r="E3516" s="1" t="s">
        <v>2</v>
      </c>
      <c r="F3516" s="1" t="n">
        <v>17.82</v>
      </c>
      <c r="G3516" s="1" t="n">
        <f aca="false">IF(E3516=E3515,F3516/F3515-1,"")</f>
        <v>0.152652005174644</v>
      </c>
    </row>
    <row r="3517" customFormat="false" ht="14.25" hidden="false" customHeight="true" outlineLevel="0" collapsed="false">
      <c r="A3517" s="26" t="n">
        <v>42491</v>
      </c>
      <c r="B3517" s="1" t="n">
        <v>2016</v>
      </c>
      <c r="C3517" s="1" t="n">
        <v>5</v>
      </c>
      <c r="D3517" s="1" t="s">
        <v>46</v>
      </c>
      <c r="E3517" s="1" t="s">
        <v>2</v>
      </c>
      <c r="F3517" s="1" t="n">
        <v>15.994</v>
      </c>
      <c r="G3517" s="1" t="n">
        <f aca="false">IF(E3517=E3516,F3517/F3516-1,"")</f>
        <v>-0.102469135802469</v>
      </c>
    </row>
    <row r="3518" customFormat="false" ht="14.25" hidden="false" customHeight="true" outlineLevel="0" collapsed="false">
      <c r="A3518" s="26" t="n">
        <v>42522</v>
      </c>
      <c r="B3518" s="1" t="n">
        <v>2016</v>
      </c>
      <c r="C3518" s="1" t="n">
        <v>6</v>
      </c>
      <c r="D3518" s="1" t="s">
        <v>47</v>
      </c>
      <c r="E3518" s="1" t="s">
        <v>2</v>
      </c>
      <c r="F3518" s="1" t="n">
        <v>18.623</v>
      </c>
      <c r="G3518" s="1" t="n">
        <f aca="false">IF(E3518=E3517,F3518/F3517-1,"")</f>
        <v>0.164374140302614</v>
      </c>
    </row>
    <row r="3519" customFormat="false" ht="14.25" hidden="false" customHeight="true" outlineLevel="0" collapsed="false">
      <c r="A3519" s="26" t="n">
        <v>42552</v>
      </c>
      <c r="B3519" s="1" t="n">
        <v>2016</v>
      </c>
      <c r="C3519" s="1" t="n">
        <v>7</v>
      </c>
      <c r="D3519" s="1" t="s">
        <v>48</v>
      </c>
      <c r="E3519" s="1" t="s">
        <v>2</v>
      </c>
      <c r="F3519" s="1" t="n">
        <v>20.347</v>
      </c>
      <c r="G3519" s="1" t="n">
        <f aca="false">IF(E3519=E3518,F3519/F3518-1,"")</f>
        <v>0.0925736991891746</v>
      </c>
    </row>
    <row r="3520" customFormat="false" ht="14.25" hidden="false" customHeight="true" outlineLevel="0" collapsed="false">
      <c r="A3520" s="26" t="n">
        <v>42583</v>
      </c>
      <c r="B3520" s="1" t="n">
        <v>2016</v>
      </c>
      <c r="C3520" s="1" t="n">
        <v>8</v>
      </c>
      <c r="D3520" s="1" t="s">
        <v>49</v>
      </c>
      <c r="E3520" s="1" t="s">
        <v>2</v>
      </c>
      <c r="F3520" s="1" t="n">
        <v>18.707</v>
      </c>
      <c r="G3520" s="1" t="n">
        <f aca="false">IF(E3520=E3519,F3520/F3519-1,"")</f>
        <v>-0.0806015628839633</v>
      </c>
    </row>
    <row r="3521" customFormat="false" ht="14.25" hidden="false" customHeight="true" outlineLevel="0" collapsed="false">
      <c r="A3521" s="26" t="n">
        <v>42614</v>
      </c>
      <c r="B3521" s="1" t="n">
        <v>2016</v>
      </c>
      <c r="C3521" s="1" t="n">
        <v>9</v>
      </c>
      <c r="D3521" s="1" t="s">
        <v>50</v>
      </c>
      <c r="E3521" s="1" t="s">
        <v>2</v>
      </c>
      <c r="F3521" s="1" t="n">
        <v>19.214</v>
      </c>
      <c r="G3521" s="1" t="n">
        <f aca="false">IF(E3521=E3520,F3521/F3520-1,"")</f>
        <v>0.027102154273801</v>
      </c>
    </row>
    <row r="3522" customFormat="false" ht="14.25" hidden="false" customHeight="true" outlineLevel="0" collapsed="false">
      <c r="A3522" s="26" t="n">
        <v>42644</v>
      </c>
      <c r="B3522" s="1" t="n">
        <v>2016</v>
      </c>
      <c r="C3522" s="1" t="n">
        <v>10</v>
      </c>
      <c r="D3522" s="1" t="s">
        <v>51</v>
      </c>
      <c r="E3522" s="1" t="s">
        <v>2</v>
      </c>
      <c r="F3522" s="1" t="n">
        <v>17.796</v>
      </c>
      <c r="G3522" s="1" t="n">
        <f aca="false">IF(E3522=E3521,F3522/F3521-1,"")</f>
        <v>-0.0738003539086083</v>
      </c>
    </row>
    <row r="3523" customFormat="false" ht="14.25" hidden="false" customHeight="true" outlineLevel="0" collapsed="false">
      <c r="A3523" s="26" t="n">
        <v>42675</v>
      </c>
      <c r="B3523" s="1" t="n">
        <v>2016</v>
      </c>
      <c r="C3523" s="1" t="n">
        <v>11</v>
      </c>
      <c r="D3523" s="1" t="s">
        <v>52</v>
      </c>
      <c r="E3523" s="1" t="s">
        <v>2</v>
      </c>
      <c r="F3523" s="1" t="n">
        <v>16.482</v>
      </c>
      <c r="G3523" s="1" t="n">
        <f aca="false">IF(E3523=E3522,F3523/F3522-1,"")</f>
        <v>-0.0738368172623062</v>
      </c>
    </row>
    <row r="3524" customFormat="false" ht="14.25" hidden="false" customHeight="true" outlineLevel="0" collapsed="false">
      <c r="A3524" s="26" t="n">
        <v>42705</v>
      </c>
      <c r="B3524" s="1" t="n">
        <v>2016</v>
      </c>
      <c r="C3524" s="1" t="n">
        <v>12</v>
      </c>
      <c r="D3524" s="1" t="s">
        <v>53</v>
      </c>
      <c r="E3524" s="1" t="s">
        <v>2</v>
      </c>
      <c r="F3524" s="1" t="n">
        <v>15.989</v>
      </c>
      <c r="G3524" s="1" t="n">
        <f aca="false">IF(E3524=E3523,F3524/F3523-1,"")</f>
        <v>-0.0299114185171702</v>
      </c>
    </row>
    <row r="3525" customFormat="false" ht="14.25" hidden="false" customHeight="true" outlineLevel="0" collapsed="false">
      <c r="A3525" s="26" t="n">
        <v>42736</v>
      </c>
      <c r="B3525" s="1" t="n">
        <v>2017</v>
      </c>
      <c r="C3525" s="1" t="n">
        <v>1</v>
      </c>
      <c r="D3525" s="1" t="s">
        <v>42</v>
      </c>
      <c r="E3525" s="1" t="s">
        <v>2</v>
      </c>
      <c r="F3525" s="1" t="n">
        <v>17.543</v>
      </c>
      <c r="G3525" s="1" t="n">
        <f aca="false">IF(E3525=E3524,F3525/F3524-1,"")</f>
        <v>0.0971918193758208</v>
      </c>
    </row>
    <row r="3526" customFormat="false" ht="14.25" hidden="false" customHeight="true" outlineLevel="0" collapsed="false">
      <c r="A3526" s="26" t="n">
        <v>42767</v>
      </c>
      <c r="B3526" s="1" t="n">
        <v>2017</v>
      </c>
      <c r="C3526" s="1" t="n">
        <v>2</v>
      </c>
      <c r="D3526" s="1" t="s">
        <v>43</v>
      </c>
      <c r="E3526" s="1" t="s">
        <v>2</v>
      </c>
      <c r="F3526" s="1" t="n">
        <v>18.469</v>
      </c>
      <c r="G3526" s="1" t="n">
        <f aca="false">IF(E3526=E3525,F3526/F3525-1,"")</f>
        <v>0.0527845864447358</v>
      </c>
    </row>
    <row r="3527" customFormat="false" ht="14.25" hidden="false" customHeight="true" outlineLevel="0" collapsed="false">
      <c r="A3527" s="26" t="n">
        <v>42795</v>
      </c>
      <c r="B3527" s="1" t="n">
        <v>2017</v>
      </c>
      <c r="C3527" s="1" t="n">
        <v>3</v>
      </c>
      <c r="D3527" s="1" t="s">
        <v>44</v>
      </c>
      <c r="E3527" s="1" t="s">
        <v>2</v>
      </c>
      <c r="F3527" s="1" t="n">
        <v>18.256</v>
      </c>
      <c r="G3527" s="1" t="n">
        <f aca="false">IF(E3527=E3526,F3527/F3526-1,"")</f>
        <v>-0.0115328388109807</v>
      </c>
    </row>
    <row r="3528" customFormat="false" ht="14.25" hidden="false" customHeight="true" outlineLevel="0" collapsed="false">
      <c r="A3528" s="26" t="n">
        <v>42826</v>
      </c>
      <c r="B3528" s="1" t="n">
        <v>2017</v>
      </c>
      <c r="C3528" s="1" t="n">
        <v>4</v>
      </c>
      <c r="D3528" s="1" t="s">
        <v>45</v>
      </c>
      <c r="E3528" s="1" t="s">
        <v>2</v>
      </c>
      <c r="F3528" s="1" t="n">
        <v>17.262</v>
      </c>
      <c r="G3528" s="1" t="n">
        <f aca="false">IF(E3528=E3527,F3528/F3527-1,"")</f>
        <v>-0.0544478527607362</v>
      </c>
    </row>
    <row r="3529" customFormat="false" ht="14.25" hidden="false" customHeight="true" outlineLevel="0" collapsed="false">
      <c r="A3529" s="26" t="n">
        <v>42856</v>
      </c>
      <c r="B3529" s="1" t="n">
        <v>2017</v>
      </c>
      <c r="C3529" s="1" t="n">
        <v>5</v>
      </c>
      <c r="D3529" s="1" t="s">
        <v>46</v>
      </c>
      <c r="E3529" s="1" t="s">
        <v>2</v>
      </c>
      <c r="F3529" s="1" t="n">
        <v>17.406</v>
      </c>
      <c r="G3529" s="1" t="n">
        <f aca="false">IF(E3529=E3528,F3529/F3528-1,"")</f>
        <v>0.00834202294056308</v>
      </c>
    </row>
    <row r="3530" customFormat="false" ht="14.25" hidden="false" customHeight="true" outlineLevel="0" collapsed="false">
      <c r="A3530" s="26" t="n">
        <v>42887</v>
      </c>
      <c r="B3530" s="1" t="n">
        <v>2017</v>
      </c>
      <c r="C3530" s="1" t="n">
        <v>6</v>
      </c>
      <c r="D3530" s="1" t="s">
        <v>47</v>
      </c>
      <c r="E3530" s="1" t="s">
        <v>2</v>
      </c>
      <c r="F3530" s="1" t="n">
        <v>16.627</v>
      </c>
      <c r="G3530" s="1" t="n">
        <f aca="false">IF(E3530=E3529,F3530/F3529-1,"")</f>
        <v>-0.044754682293462</v>
      </c>
    </row>
    <row r="3531" customFormat="false" ht="14.25" hidden="false" customHeight="true" outlineLevel="0" collapsed="false">
      <c r="A3531" s="26" t="n">
        <v>42917</v>
      </c>
      <c r="B3531" s="1" t="n">
        <v>2017</v>
      </c>
      <c r="C3531" s="1" t="n">
        <v>7</v>
      </c>
      <c r="D3531" s="1" t="s">
        <v>48</v>
      </c>
      <c r="E3531" s="1" t="s">
        <v>2</v>
      </c>
      <c r="F3531" s="1" t="n">
        <v>16.786</v>
      </c>
      <c r="G3531" s="1" t="n">
        <f aca="false">IF(E3531=E3530,F3531/F3530-1,"")</f>
        <v>0.00956275936729423</v>
      </c>
    </row>
    <row r="3532" customFormat="false" ht="14.25" hidden="false" customHeight="true" outlineLevel="0" collapsed="false">
      <c r="A3532" s="26" t="n">
        <v>42948</v>
      </c>
      <c r="B3532" s="1" t="n">
        <v>2017</v>
      </c>
      <c r="C3532" s="1" t="n">
        <v>8</v>
      </c>
      <c r="D3532" s="1" t="s">
        <v>49</v>
      </c>
      <c r="E3532" s="1" t="s">
        <v>2</v>
      </c>
      <c r="F3532" s="1" t="n">
        <v>17.575</v>
      </c>
      <c r="G3532" s="1" t="n">
        <f aca="false">IF(E3532=E3531,F3532/F3531-1,"")</f>
        <v>0.0470034552603358</v>
      </c>
    </row>
    <row r="3533" customFormat="false" ht="14.25" hidden="false" customHeight="true" outlineLevel="0" collapsed="false">
      <c r="A3533" s="26" t="n">
        <v>42979</v>
      </c>
      <c r="B3533" s="1" t="n">
        <v>2017</v>
      </c>
      <c r="C3533" s="1" t="n">
        <v>9</v>
      </c>
      <c r="D3533" s="1" t="s">
        <v>50</v>
      </c>
      <c r="E3533" s="1" t="s">
        <v>2</v>
      </c>
      <c r="F3533" s="1" t="n">
        <v>16.676</v>
      </c>
      <c r="G3533" s="1" t="n">
        <f aca="false">IF(E3533=E3532,F3533/F3532-1,"")</f>
        <v>-0.0511522048364155</v>
      </c>
    </row>
    <row r="3534" customFormat="false" ht="14.25" hidden="false" customHeight="true" outlineLevel="0" collapsed="false">
      <c r="A3534" s="26" t="n">
        <v>43009</v>
      </c>
      <c r="B3534" s="1" t="n">
        <v>2017</v>
      </c>
      <c r="C3534" s="1" t="n">
        <v>10</v>
      </c>
      <c r="D3534" s="1" t="s">
        <v>51</v>
      </c>
      <c r="E3534" s="1" t="s">
        <v>2</v>
      </c>
      <c r="F3534" s="1" t="n">
        <v>16.693</v>
      </c>
      <c r="G3534" s="1" t="n">
        <f aca="false">IF(E3534=E3533,F3534/F3533-1,"")</f>
        <v>0.00101942911969322</v>
      </c>
    </row>
    <row r="3535" customFormat="false" ht="14.25" hidden="false" customHeight="true" outlineLevel="0" collapsed="false">
      <c r="A3535" s="26" t="n">
        <v>43040</v>
      </c>
      <c r="B3535" s="1" t="n">
        <v>2017</v>
      </c>
      <c r="C3535" s="1" t="n">
        <v>11</v>
      </c>
      <c r="D3535" s="1" t="s">
        <v>52</v>
      </c>
      <c r="E3535" s="1" t="s">
        <v>2</v>
      </c>
      <c r="F3535" s="1" t="n">
        <v>16.4052</v>
      </c>
      <c r="G3535" s="1" t="n">
        <f aca="false">IF(E3535=E3534,F3535/F3534-1,"")</f>
        <v>-0.0172407595998323</v>
      </c>
    </row>
    <row r="3536" customFormat="false" ht="14.25" hidden="false" customHeight="true" outlineLevel="0" collapsed="false">
      <c r="A3536" s="26" t="n">
        <v>43070</v>
      </c>
      <c r="B3536" s="1" t="n">
        <v>2017</v>
      </c>
      <c r="C3536" s="1" t="n">
        <v>12</v>
      </c>
      <c r="D3536" s="1" t="s">
        <v>53</v>
      </c>
      <c r="E3536" s="1" t="s">
        <v>2</v>
      </c>
      <c r="F3536" s="1" t="n">
        <v>17.128</v>
      </c>
      <c r="G3536" s="1" t="n">
        <f aca="false">IF(E3536=E3535,F3536/F3535-1,"")</f>
        <v>0.0440592007412284</v>
      </c>
    </row>
    <row r="3537" customFormat="false" ht="14.25" hidden="false" customHeight="true" outlineLevel="0" collapsed="false">
      <c r="A3537" s="26" t="n">
        <v>43101</v>
      </c>
      <c r="B3537" s="1" t="n">
        <v>2018</v>
      </c>
      <c r="C3537" s="1" t="n">
        <v>1</v>
      </c>
      <c r="D3537" s="1" t="s">
        <v>42</v>
      </c>
      <c r="E3537" s="1" t="s">
        <v>2</v>
      </c>
      <c r="F3537" s="1" t="n">
        <v>17.241</v>
      </c>
      <c r="G3537" s="1" t="n">
        <f aca="false">IF(E3537=E3536,F3537/F3536-1,"")</f>
        <v>0.00659738439981306</v>
      </c>
    </row>
    <row r="3538" customFormat="false" ht="14.25" hidden="false" customHeight="true" outlineLevel="0" collapsed="false">
      <c r="A3538" s="26" t="n">
        <v>43132</v>
      </c>
      <c r="B3538" s="1" t="n">
        <v>2018</v>
      </c>
      <c r="C3538" s="1" t="n">
        <v>2</v>
      </c>
      <c r="D3538" s="1" t="s">
        <v>43</v>
      </c>
      <c r="E3538" s="1" t="s">
        <v>2</v>
      </c>
      <c r="F3538" s="1" t="n">
        <v>16.3904</v>
      </c>
      <c r="G3538" s="1" t="n">
        <f aca="false">IF(E3538=E3537,F3538/F3537-1,"")</f>
        <v>-0.0493358853894785</v>
      </c>
    </row>
    <row r="3539" customFormat="false" ht="14.25" hidden="false" customHeight="true" outlineLevel="0" collapsed="false">
      <c r="A3539" s="26" t="n">
        <v>43160</v>
      </c>
      <c r="B3539" s="1" t="n">
        <v>2018</v>
      </c>
      <c r="C3539" s="1" t="n">
        <v>3</v>
      </c>
      <c r="D3539" s="1" t="s">
        <v>44</v>
      </c>
      <c r="E3539" s="1" t="s">
        <v>2</v>
      </c>
      <c r="F3539" s="1" t="n">
        <v>16.268</v>
      </c>
      <c r="G3539" s="1" t="n">
        <f aca="false">IF(E3539=E3538,F3539/F3538-1,"")</f>
        <v>-0.00746778602108544</v>
      </c>
    </row>
    <row r="3540" customFormat="false" ht="14.25" hidden="false" customHeight="true" outlineLevel="0" collapsed="false">
      <c r="A3540" s="26" t="n">
        <v>43191</v>
      </c>
      <c r="B3540" s="1" t="n">
        <v>2018</v>
      </c>
      <c r="C3540" s="1" t="n">
        <v>4</v>
      </c>
      <c r="D3540" s="1" t="s">
        <v>45</v>
      </c>
      <c r="E3540" s="1" t="s">
        <v>2</v>
      </c>
      <c r="F3540" s="1" t="n">
        <v>16.3832</v>
      </c>
      <c r="G3540" s="1" t="n">
        <f aca="false">IF(E3540=E3539,F3540/F3539-1,"")</f>
        <v>0.00708138677157599</v>
      </c>
    </row>
    <row r="3541" customFormat="false" ht="14.25" hidden="false" customHeight="true" outlineLevel="0" collapsed="false">
      <c r="A3541" s="26" t="n">
        <v>43221</v>
      </c>
      <c r="B3541" s="1" t="n">
        <v>2018</v>
      </c>
      <c r="C3541" s="1" t="n">
        <v>5</v>
      </c>
      <c r="D3541" s="1" t="s">
        <v>46</v>
      </c>
      <c r="E3541" s="1" t="s">
        <v>2</v>
      </c>
      <c r="F3541" s="1" t="n">
        <v>16.458</v>
      </c>
      <c r="G3541" s="1" t="n">
        <f aca="false">IF(E3541=E3540,F3541/F3540-1,"")</f>
        <v>0.00456565261975683</v>
      </c>
    </row>
    <row r="3542" customFormat="false" ht="14.25" hidden="false" customHeight="true" outlineLevel="0" collapsed="false">
      <c r="A3542" s="26" t="n">
        <v>43252</v>
      </c>
      <c r="B3542" s="1" t="n">
        <v>2018</v>
      </c>
      <c r="C3542" s="1" t="n">
        <v>6</v>
      </c>
      <c r="D3542" s="1" t="s">
        <v>47</v>
      </c>
      <c r="E3542" s="1" t="s">
        <v>2</v>
      </c>
      <c r="F3542" s="1" t="n">
        <v>16.1792</v>
      </c>
      <c r="G3542" s="1" t="n">
        <f aca="false">IF(E3542=E3541,F3542/F3541-1,"")</f>
        <v>-0.0169400899258717</v>
      </c>
    </row>
    <row r="3543" customFormat="false" ht="14.25" hidden="false" customHeight="true" outlineLevel="0" collapsed="false">
      <c r="A3543" s="26" t="n">
        <v>43282</v>
      </c>
      <c r="B3543" s="1" t="n">
        <v>2018</v>
      </c>
      <c r="C3543" s="1" t="n">
        <v>7</v>
      </c>
      <c r="D3543" s="1" t="s">
        <v>48</v>
      </c>
      <c r="E3543" s="1" t="s">
        <v>2</v>
      </c>
      <c r="F3543" s="1" t="n">
        <v>15.559</v>
      </c>
      <c r="G3543" s="1" t="n">
        <f aca="false">IF(E3543=E3542,F3543/F3542-1,"")</f>
        <v>-0.0383331685126583</v>
      </c>
    </row>
    <row r="3544" customFormat="false" ht="14.25" hidden="false" customHeight="true" outlineLevel="0" collapsed="false">
      <c r="A3544" s="26" t="n">
        <v>43313</v>
      </c>
      <c r="B3544" s="1" t="n">
        <v>2018</v>
      </c>
      <c r="C3544" s="1" t="n">
        <v>8</v>
      </c>
      <c r="D3544" s="1" t="s">
        <v>49</v>
      </c>
      <c r="E3544" s="1" t="s">
        <v>2</v>
      </c>
      <c r="F3544" s="1" t="n">
        <v>14.5332</v>
      </c>
      <c r="G3544" s="1" t="n">
        <f aca="false">IF(E3544=E3543,F3544/F3543-1,"")</f>
        <v>-0.0659296869978789</v>
      </c>
    </row>
    <row r="3545" customFormat="false" ht="14.25" hidden="false" customHeight="true" outlineLevel="0" collapsed="false">
      <c r="A3545" s="26" t="n">
        <v>43344</v>
      </c>
      <c r="B3545" s="1" t="n">
        <v>2018</v>
      </c>
      <c r="C3545" s="1" t="n">
        <v>9</v>
      </c>
      <c r="D3545" s="1" t="s">
        <v>50</v>
      </c>
      <c r="E3545" s="1" t="s">
        <v>2</v>
      </c>
      <c r="F3545" s="1" t="n">
        <v>14.712</v>
      </c>
      <c r="G3545" s="1" t="n">
        <f aca="false">IF(E3545=E3544,F3545/F3544-1,"")</f>
        <v>0.0123028651639006</v>
      </c>
    </row>
    <row r="3546" customFormat="false" ht="14.25" hidden="false" customHeight="true" outlineLevel="0" collapsed="false">
      <c r="A3546" s="26" t="n">
        <v>43374</v>
      </c>
      <c r="B3546" s="1" t="n">
        <v>2018</v>
      </c>
      <c r="C3546" s="1" t="n">
        <v>10</v>
      </c>
      <c r="D3546" s="1" t="s">
        <v>51</v>
      </c>
      <c r="E3546" s="1" t="s">
        <v>2</v>
      </c>
      <c r="F3546" s="1" t="n">
        <v>14.282</v>
      </c>
      <c r="G3546" s="1" t="n">
        <f aca="false">IF(E3546=E3545,F3546/F3545-1,"")</f>
        <v>-0.0292278412180532</v>
      </c>
    </row>
    <row r="3547" customFormat="false" ht="14.25" hidden="false" customHeight="true" outlineLevel="0" collapsed="false">
      <c r="A3547" s="26" t="n">
        <v>43405</v>
      </c>
      <c r="B3547" s="1" t="n">
        <v>2018</v>
      </c>
      <c r="C3547" s="1" t="n">
        <v>11</v>
      </c>
      <c r="D3547" s="1" t="s">
        <v>52</v>
      </c>
      <c r="E3547" s="1" t="s">
        <v>2</v>
      </c>
      <c r="F3547" s="1" t="n">
        <v>14.1268</v>
      </c>
      <c r="G3547" s="1" t="n">
        <f aca="false">IF(E3547=E3546,F3547/F3546-1,"")</f>
        <v>-0.0108668253745975</v>
      </c>
    </row>
    <row r="3548" customFormat="false" ht="14.25" hidden="false" customHeight="true" outlineLevel="0" collapsed="false">
      <c r="A3548" s="26" t="n">
        <v>43435</v>
      </c>
      <c r="B3548" s="1" t="n">
        <v>2018</v>
      </c>
      <c r="C3548" s="1" t="n">
        <v>12</v>
      </c>
      <c r="D3548" s="1" t="s">
        <v>53</v>
      </c>
      <c r="E3548" s="1" t="s">
        <v>2</v>
      </c>
      <c r="F3548" s="1" t="n">
        <v>15.5186</v>
      </c>
      <c r="G3548" s="1" t="n">
        <f aca="false">IF(E3548=E3547,F3548/F3547-1,"")</f>
        <v>0.0985219582637258</v>
      </c>
    </row>
    <row r="3549" customFormat="false" ht="14.25" hidden="false" customHeight="true" outlineLevel="0" collapsed="false">
      <c r="A3549" s="26" t="n">
        <v>43466</v>
      </c>
      <c r="B3549" s="1" t="n">
        <v>2019</v>
      </c>
      <c r="C3549" s="1" t="n">
        <v>1</v>
      </c>
      <c r="D3549" s="1" t="s">
        <v>42</v>
      </c>
      <c r="E3549" s="1" t="s">
        <v>2</v>
      </c>
      <c r="F3549" s="1" t="n">
        <v>16.072</v>
      </c>
      <c r="G3549" s="1" t="n">
        <f aca="false">IF(E3549=E3548,F3549/F3548-1,"")</f>
        <v>0.0356604332865078</v>
      </c>
    </row>
    <row r="3550" customFormat="false" ht="14.25" hidden="false" customHeight="true" outlineLevel="0" collapsed="false">
      <c r="A3550" s="26" t="n">
        <v>43497</v>
      </c>
      <c r="B3550" s="1" t="n">
        <v>2019</v>
      </c>
      <c r="C3550" s="1" t="n">
        <v>2</v>
      </c>
      <c r="D3550" s="1" t="s">
        <v>43</v>
      </c>
      <c r="E3550" s="1" t="s">
        <v>2</v>
      </c>
      <c r="F3550" s="1" t="n">
        <v>15.6148</v>
      </c>
      <c r="G3550" s="1" t="n">
        <f aca="false">IF(E3550=E3549,F3550/F3549-1,"")</f>
        <v>-0.0284469885515181</v>
      </c>
    </row>
    <row r="3551" customFormat="false" ht="14.25" hidden="false" customHeight="true" outlineLevel="0" collapsed="false">
      <c r="A3551" s="26" t="n">
        <v>43525</v>
      </c>
      <c r="B3551" s="1" t="n">
        <v>2019</v>
      </c>
      <c r="C3551" s="1" t="n">
        <v>3</v>
      </c>
      <c r="D3551" s="1" t="s">
        <v>44</v>
      </c>
      <c r="E3551" s="1" t="s">
        <v>2</v>
      </c>
      <c r="F3551" s="1" t="n">
        <v>15.11</v>
      </c>
      <c r="G3551" s="1" t="n">
        <f aca="false">IF(E3551=E3550,F3551/F3550-1,"")</f>
        <v>-0.032328303916797</v>
      </c>
    </row>
    <row r="3552" customFormat="false" ht="14.25" hidden="false" customHeight="true" outlineLevel="0" collapsed="false">
      <c r="A3552" s="26" t="n">
        <v>43556</v>
      </c>
      <c r="B3552" s="1" t="n">
        <v>2019</v>
      </c>
      <c r="C3552" s="1" t="n">
        <v>4</v>
      </c>
      <c r="D3552" s="1" t="s">
        <v>45</v>
      </c>
      <c r="E3552" s="1" t="s">
        <v>2</v>
      </c>
      <c r="F3552" s="1" t="n">
        <v>14.9672</v>
      </c>
      <c r="G3552" s="1" t="n">
        <f aca="false">IF(E3552=E3551,F3552/F3551-1,"")</f>
        <v>-0.00945069490403705</v>
      </c>
    </row>
    <row r="3553" customFormat="false" ht="14.25" hidden="false" customHeight="true" outlineLevel="0" collapsed="false">
      <c r="A3553" s="26" t="n">
        <v>43586</v>
      </c>
      <c r="B3553" s="1" t="n">
        <v>2019</v>
      </c>
      <c r="C3553" s="1" t="n">
        <v>5</v>
      </c>
      <c r="D3553" s="1" t="s">
        <v>46</v>
      </c>
      <c r="E3553" s="1" t="s">
        <v>2</v>
      </c>
      <c r="F3553" s="1" t="n">
        <v>14.567</v>
      </c>
      <c r="G3553" s="1" t="n">
        <f aca="false">IF(E3553=E3552,F3553/F3552-1,"")</f>
        <v>-0.026738468116949</v>
      </c>
    </row>
    <row r="3554" customFormat="false" ht="14.25" hidden="false" customHeight="true" outlineLevel="0" collapsed="false">
      <c r="A3554" s="26" t="n">
        <v>43617</v>
      </c>
      <c r="B3554" s="1" t="n">
        <v>2019</v>
      </c>
      <c r="C3554" s="1" t="n">
        <v>6</v>
      </c>
      <c r="D3554" s="1" t="s">
        <v>47</v>
      </c>
      <c r="E3554" s="1" t="s">
        <v>2</v>
      </c>
      <c r="F3554" s="1" t="n">
        <v>15.3234</v>
      </c>
      <c r="G3554" s="1" t="n">
        <f aca="false">IF(E3554=E3553,F3554/F3553-1,"")</f>
        <v>0.0519255852268827</v>
      </c>
    </row>
    <row r="3555" customFormat="false" ht="14.25" hidden="false" customHeight="true" outlineLevel="0" collapsed="false">
      <c r="A3555" s="26" t="n">
        <v>43647</v>
      </c>
      <c r="B3555" s="1" t="n">
        <v>2019</v>
      </c>
      <c r="C3555" s="1" t="n">
        <v>7</v>
      </c>
      <c r="D3555" s="1" t="s">
        <v>48</v>
      </c>
      <c r="E3555" s="1" t="s">
        <v>2</v>
      </c>
      <c r="F3555" s="1" t="n">
        <v>16.405</v>
      </c>
      <c r="G3555" s="1" t="n">
        <f aca="false">IF(E3555=E3554,F3555/F3554-1,"")</f>
        <v>0.0705848571465864</v>
      </c>
    </row>
    <row r="3556" customFormat="false" ht="14.25" hidden="false" customHeight="true" outlineLevel="0" collapsed="false">
      <c r="A3556" s="26" t="n">
        <v>43678</v>
      </c>
      <c r="B3556" s="1" t="n">
        <v>2019</v>
      </c>
      <c r="C3556" s="1" t="n">
        <v>8</v>
      </c>
      <c r="D3556" s="1" t="s">
        <v>49</v>
      </c>
      <c r="E3556" s="1" t="s">
        <v>2</v>
      </c>
      <c r="F3556" s="1" t="n">
        <v>18.3106</v>
      </c>
      <c r="G3556" s="1" t="n">
        <f aca="false">IF(E3556=E3555,F3556/F3555-1,"")</f>
        <v>0.116159707406279</v>
      </c>
    </row>
    <row r="3557" customFormat="false" ht="14.25" hidden="false" customHeight="true" outlineLevel="0" collapsed="false">
      <c r="A3557" s="26" t="n">
        <v>43709</v>
      </c>
      <c r="B3557" s="1" t="n">
        <v>2019</v>
      </c>
      <c r="C3557" s="1" t="n">
        <v>9</v>
      </c>
      <c r="D3557" s="1" t="s">
        <v>50</v>
      </c>
      <c r="E3557" s="1" t="s">
        <v>2</v>
      </c>
      <c r="F3557" s="1" t="n">
        <v>16.998</v>
      </c>
      <c r="G3557" s="1" t="n">
        <f aca="false">IF(E3557=E3556,F3557/F3556-1,"")</f>
        <v>-0.0716852533505182</v>
      </c>
    </row>
    <row r="3558" customFormat="false" ht="14.25" hidden="false" customHeight="true" outlineLevel="0" collapsed="false">
      <c r="A3558" s="26" t="n">
        <v>43739</v>
      </c>
      <c r="B3558" s="1" t="n">
        <v>2019</v>
      </c>
      <c r="C3558" s="1" t="n">
        <v>10</v>
      </c>
      <c r="D3558" s="1" t="s">
        <v>51</v>
      </c>
      <c r="E3558" s="1" t="s">
        <v>2</v>
      </c>
      <c r="F3558" s="1" t="n">
        <v>18.067</v>
      </c>
      <c r="G3558" s="1" t="n">
        <f aca="false">IF(E3558=E3557,F3558/F3557-1,"")</f>
        <v>0.0628897517354983</v>
      </c>
    </row>
    <row r="3559" customFormat="false" ht="14.25" hidden="false" customHeight="true" outlineLevel="0" collapsed="false">
      <c r="A3559" s="26" t="n">
        <v>43770</v>
      </c>
      <c r="B3559" s="1" t="n">
        <v>2019</v>
      </c>
      <c r="C3559" s="1" t="n">
        <v>11</v>
      </c>
      <c r="D3559" s="1" t="s">
        <v>52</v>
      </c>
      <c r="E3559" s="1" t="s">
        <v>2</v>
      </c>
      <c r="F3559" s="1" t="n">
        <v>17.0042</v>
      </c>
      <c r="G3559" s="1" t="n">
        <f aca="false">IF(E3559=E3558,F3559/F3558-1,"")</f>
        <v>-0.0588254829246693</v>
      </c>
    </row>
    <row r="3560" customFormat="false" ht="14.25" hidden="false" customHeight="true" outlineLevel="0" collapsed="false">
      <c r="A3560" s="26" t="n">
        <v>43800</v>
      </c>
      <c r="B3560" s="1" t="n">
        <v>2019</v>
      </c>
      <c r="C3560" s="1" t="n">
        <v>12</v>
      </c>
      <c r="D3560" s="1" t="s">
        <v>53</v>
      </c>
      <c r="E3560" s="1" t="s">
        <v>2</v>
      </c>
      <c r="F3560" s="1" t="n">
        <v>17.9024</v>
      </c>
      <c r="G3560" s="1" t="n">
        <f aca="false">IF(E3560=E3559,F3560/F3559-1,"")</f>
        <v>0.0528222439162089</v>
      </c>
    </row>
    <row r="3561" customFormat="false" ht="14.25" hidden="false" customHeight="true" outlineLevel="0" collapsed="false">
      <c r="A3561" s="26" t="n">
        <v>43831</v>
      </c>
      <c r="B3561" s="1" t="n">
        <v>2020</v>
      </c>
      <c r="C3561" s="1" t="n">
        <v>1</v>
      </c>
      <c r="D3561" s="1" t="s">
        <v>42</v>
      </c>
      <c r="E3561" s="1" t="s">
        <v>2</v>
      </c>
      <c r="F3561" s="1" t="n">
        <v>18.012</v>
      </c>
      <c r="G3561" s="1" t="n">
        <f aca="false">IF(E3561=E3560,F3561/F3560-1,"")</f>
        <v>0.00612208418982929</v>
      </c>
    </row>
    <row r="3562" customFormat="false" ht="14.25" hidden="false" customHeight="true" outlineLevel="0" collapsed="false">
      <c r="A3562" s="26" t="n">
        <v>43862</v>
      </c>
      <c r="B3562" s="1" t="n">
        <v>2020</v>
      </c>
      <c r="C3562" s="1" t="n">
        <v>2</v>
      </c>
      <c r="D3562" s="1" t="s">
        <v>43</v>
      </c>
      <c r="E3562" s="1" t="s">
        <v>2</v>
      </c>
      <c r="F3562" s="1" t="n">
        <v>16.443</v>
      </c>
      <c r="G3562" s="1" t="n">
        <f aca="false">IF(E3562=E3561,F3562/F3561-1,"")</f>
        <v>-0.0871085942704863</v>
      </c>
    </row>
    <row r="3563" customFormat="false" ht="14.25" hidden="false" customHeight="true" outlineLevel="0" collapsed="false">
      <c r="A3563" s="26" t="n">
        <v>43891</v>
      </c>
      <c r="B3563" s="1" t="n">
        <v>2020</v>
      </c>
      <c r="C3563" s="1" t="n">
        <v>3</v>
      </c>
      <c r="D3563" s="1" t="s">
        <v>44</v>
      </c>
      <c r="E3563" s="1" t="s">
        <v>2</v>
      </c>
      <c r="F3563" s="1" t="n">
        <v>14.156</v>
      </c>
      <c r="G3563" s="1" t="n">
        <f aca="false">IF(E3563=E3562,F3563/F3562-1,"")</f>
        <v>-0.139086541385392</v>
      </c>
    </row>
    <row r="3564" customFormat="false" ht="14.25" hidden="false" customHeight="true" outlineLevel="0" collapsed="false">
      <c r="A3564" s="26" t="n">
        <v>43922</v>
      </c>
      <c r="B3564" s="1" t="n">
        <v>2020</v>
      </c>
      <c r="C3564" s="1" t="n">
        <v>4</v>
      </c>
      <c r="D3564" s="1" t="s">
        <v>45</v>
      </c>
      <c r="E3564" s="1" t="s">
        <v>2</v>
      </c>
      <c r="F3564" s="1" t="n">
        <v>14.958</v>
      </c>
      <c r="G3564" s="1" t="n">
        <f aca="false">IF(E3564=E3563,F3564/F3563-1,"")</f>
        <v>0.0566544221531506</v>
      </c>
    </row>
    <row r="3565" customFormat="false" ht="14.25" hidden="false" customHeight="true" outlineLevel="0" collapsed="false">
      <c r="A3565" s="26" t="n">
        <v>43952</v>
      </c>
      <c r="B3565" s="1" t="n">
        <v>2020</v>
      </c>
      <c r="C3565" s="1" t="n">
        <v>5</v>
      </c>
      <c r="D3565" s="1" t="s">
        <v>46</v>
      </c>
      <c r="E3565" s="1" t="s">
        <v>2</v>
      </c>
      <c r="F3565" s="1" t="n">
        <v>18.499</v>
      </c>
      <c r="G3565" s="1" t="n">
        <f aca="false">IF(E3565=E3564,F3565/F3564-1,"")</f>
        <v>0.236729509292686</v>
      </c>
    </row>
    <row r="3566" customFormat="false" ht="14.25" hidden="false" customHeight="true" outlineLevel="0" collapsed="false">
      <c r="A3566" s="26" t="n">
        <v>43983</v>
      </c>
      <c r="B3566" s="1" t="n">
        <v>2020</v>
      </c>
      <c r="C3566" s="1" t="n">
        <v>6</v>
      </c>
      <c r="D3566" s="1" t="s">
        <v>47</v>
      </c>
      <c r="E3566" s="1" t="s">
        <v>2</v>
      </c>
      <c r="F3566" s="1" t="n">
        <v>18.6178</v>
      </c>
      <c r="G3566" s="1" t="n">
        <f aca="false">IF(E3566=E3565,F3566/F3565-1,"")</f>
        <v>0.00642196875506795</v>
      </c>
    </row>
    <row r="3567" customFormat="false" ht="14.25" hidden="false" customHeight="true" outlineLevel="0" collapsed="false">
      <c r="A3567" s="26" t="n">
        <v>44013</v>
      </c>
      <c r="B3567" s="1" t="n">
        <v>2020</v>
      </c>
      <c r="C3567" s="1" t="n">
        <v>7</v>
      </c>
      <c r="D3567" s="1" t="s">
        <v>48</v>
      </c>
      <c r="E3567" s="1" t="s">
        <v>2</v>
      </c>
      <c r="F3567" s="1" t="n">
        <v>24.216</v>
      </c>
      <c r="G3567" s="1" t="n">
        <f aca="false">IF(E3567=E3566,F3567/F3566-1,"")</f>
        <v>0.300690736821751</v>
      </c>
    </row>
    <row r="3568" customFormat="false" ht="14.25" hidden="false" customHeight="true" outlineLevel="0" collapsed="false">
      <c r="A3568" s="26" t="n">
        <v>44044</v>
      </c>
      <c r="B3568" s="1" t="n">
        <v>2020</v>
      </c>
      <c r="C3568" s="1" t="n">
        <v>8</v>
      </c>
      <c r="D3568" s="1" t="s">
        <v>49</v>
      </c>
      <c r="E3568" s="1" t="s">
        <v>2</v>
      </c>
      <c r="F3568" s="1" t="n">
        <v>28.5626</v>
      </c>
      <c r="G3568" s="1" t="n">
        <f aca="false">IF(E3568=E3567,F3568/F3567-1,"")</f>
        <v>0.179492897258011</v>
      </c>
    </row>
    <row r="3569" customFormat="false" ht="14.25" hidden="false" customHeight="true" outlineLevel="0" collapsed="false">
      <c r="A3569" s="26" t="n">
        <v>44075</v>
      </c>
      <c r="B3569" s="1" t="n">
        <v>2020</v>
      </c>
      <c r="C3569" s="1" t="n">
        <v>9</v>
      </c>
      <c r="D3569" s="1" t="s">
        <v>50</v>
      </c>
      <c r="E3569" s="1" t="s">
        <v>2</v>
      </c>
      <c r="F3569" s="1" t="n">
        <v>23.494</v>
      </c>
      <c r="G3569" s="1" t="n">
        <f aca="false">IF(E3569=E3568,F3569/F3568-1,"")</f>
        <v>-0.177455833852661</v>
      </c>
    </row>
    <row r="3570" customFormat="false" ht="14.25" hidden="false" customHeight="true" outlineLevel="0" collapsed="false">
      <c r="A3570" s="26" t="n">
        <v>44105</v>
      </c>
      <c r="B3570" s="1" t="n">
        <v>2020</v>
      </c>
      <c r="C3570" s="1" t="n">
        <v>10</v>
      </c>
      <c r="D3570" s="1" t="s">
        <v>51</v>
      </c>
      <c r="E3570" s="1" t="s">
        <v>2</v>
      </c>
      <c r="F3570" s="1" t="n">
        <v>23.646</v>
      </c>
      <c r="G3570" s="1" t="n">
        <f aca="false">IF(E3570=E3569,F3570/F3569-1,"")</f>
        <v>0.00646973695411601</v>
      </c>
    </row>
    <row r="3571" customFormat="false" ht="14.25" hidden="false" customHeight="true" outlineLevel="0" collapsed="false">
      <c r="A3571" s="26" t="n">
        <v>44136</v>
      </c>
      <c r="B3571" s="1" t="n">
        <v>2020</v>
      </c>
      <c r="C3571" s="1" t="n">
        <v>11</v>
      </c>
      <c r="D3571" s="1" t="s">
        <v>52</v>
      </c>
      <c r="E3571" s="1" t="s">
        <v>2</v>
      </c>
      <c r="F3571" s="1" t="n">
        <v>22.5532</v>
      </c>
      <c r="G3571" s="1" t="n">
        <f aca="false">IF(E3571=E3570,F3571/F3570-1,"")</f>
        <v>-0.0462150046519496</v>
      </c>
    </row>
    <row r="3572" customFormat="false" ht="14.25" hidden="false" customHeight="true" outlineLevel="0" collapsed="false">
      <c r="A3572" s="26" t="n">
        <v>44166</v>
      </c>
      <c r="B3572" s="1" t="n">
        <v>2020</v>
      </c>
      <c r="C3572" s="1" t="n">
        <v>12</v>
      </c>
      <c r="D3572" s="1" t="s">
        <v>53</v>
      </c>
      <c r="E3572" s="1" t="s">
        <v>2</v>
      </c>
      <c r="F3572" s="1" t="n">
        <v>26.396</v>
      </c>
      <c r="G3572" s="1" t="n">
        <f aca="false">IF(E3572=E3571,F3572/F3571-1,"")</f>
        <v>0.170388237589344</v>
      </c>
    </row>
    <row r="3573" customFormat="false" ht="14.25" hidden="false" customHeight="true" outlineLevel="0" collapsed="false">
      <c r="A3573" s="26" t="n">
        <v>44197</v>
      </c>
      <c r="B3573" s="1" t="n">
        <v>2021</v>
      </c>
      <c r="C3573" s="1" t="n">
        <v>1</v>
      </c>
      <c r="D3573" s="1" t="s">
        <v>42</v>
      </c>
      <c r="E3573" s="1" t="s">
        <v>2</v>
      </c>
      <c r="F3573" s="1" t="n">
        <v>26.914</v>
      </c>
      <c r="G3573" s="1" t="n">
        <f aca="false">IF(E3573=E3572,F3573/F3572-1,"")</f>
        <v>0.0196241854826489</v>
      </c>
    </row>
    <row r="3574" customFormat="false" ht="14.25" hidden="false" customHeight="true" outlineLevel="0" collapsed="false">
      <c r="A3574" s="26" t="n">
        <v>44228</v>
      </c>
      <c r="B3574" s="1" t="n">
        <v>2021</v>
      </c>
      <c r="C3574" s="1" t="n">
        <v>2</v>
      </c>
      <c r="D3574" s="1" t="s">
        <v>43</v>
      </c>
      <c r="E3574" s="1" t="s">
        <v>2</v>
      </c>
      <c r="F3574" s="1" t="n">
        <v>26.4324</v>
      </c>
      <c r="G3574" s="1" t="n">
        <f aca="false">IF(E3574=E3573,F3574/F3573-1,"")</f>
        <v>-0.0178940328453593</v>
      </c>
    </row>
    <row r="3575" customFormat="false" ht="14.25" hidden="false" customHeight="true" outlineLevel="0" collapsed="false">
      <c r="A3575" s="26" t="n">
        <v>44256</v>
      </c>
      <c r="B3575" s="1" t="n">
        <v>2021</v>
      </c>
      <c r="C3575" s="1" t="n">
        <v>3</v>
      </c>
      <c r="D3575" s="1" t="s">
        <v>44</v>
      </c>
      <c r="E3575" s="1" t="s">
        <v>2</v>
      </c>
      <c r="F3575" s="1" t="n">
        <v>24.532</v>
      </c>
      <c r="G3575" s="1" t="n">
        <f aca="false">IF(E3575=E3574,F3575/F3574-1,"")</f>
        <v>-0.071896611734084</v>
      </c>
    </row>
    <row r="3576" customFormat="false" ht="14.25" hidden="false" customHeight="true" outlineLevel="0" collapsed="false">
      <c r="A3576" s="26" t="n">
        <v>44287</v>
      </c>
      <c r="B3576" s="1" t="n">
        <v>2021</v>
      </c>
      <c r="C3576" s="1" t="n">
        <v>4</v>
      </c>
      <c r="D3576" s="1" t="s">
        <v>45</v>
      </c>
      <c r="E3576" s="1" t="s">
        <v>2</v>
      </c>
      <c r="F3576" s="1" t="n">
        <v>25.869</v>
      </c>
      <c r="G3576" s="1" t="n">
        <f aca="false">IF(E3576=E3575,F3576/F3575-1,"")</f>
        <v>0.0545002445785097</v>
      </c>
    </row>
    <row r="3577" customFormat="false" ht="14.25" hidden="false" customHeight="true" outlineLevel="0" collapsed="false">
      <c r="A3577" s="26" t="n">
        <v>44317</v>
      </c>
      <c r="B3577" s="1" t="n">
        <v>2021</v>
      </c>
      <c r="C3577" s="1" t="n">
        <v>5</v>
      </c>
      <c r="D3577" s="1" t="s">
        <v>46</v>
      </c>
      <c r="E3577" s="1" t="s">
        <v>2</v>
      </c>
      <c r="F3577" s="1" t="n">
        <v>28.014</v>
      </c>
      <c r="G3577" s="1" t="n">
        <f aca="false">IF(E3577=E3576,F3577/F3576-1,"")</f>
        <v>0.0829177780354864</v>
      </c>
    </row>
    <row r="3578" customFormat="false" ht="14.25" hidden="false" customHeight="true" outlineLevel="0" collapsed="false">
      <c r="A3578" s="26" t="n">
        <v>44348</v>
      </c>
      <c r="B3578" s="1" t="n">
        <v>2021</v>
      </c>
      <c r="C3578" s="1" t="n">
        <v>6</v>
      </c>
      <c r="D3578" s="1" t="s">
        <v>47</v>
      </c>
      <c r="E3578" s="1" t="s">
        <v>2</v>
      </c>
      <c r="F3578" s="1" t="n">
        <v>26.1882</v>
      </c>
      <c r="G3578" s="1" t="n">
        <f aca="false">IF(E3578=E3577,F3578/F3577-1,"")</f>
        <v>-0.0651745555793533</v>
      </c>
    </row>
    <row r="3579" customFormat="false" ht="14.25" hidden="false" customHeight="true" outlineLevel="0" collapsed="false">
      <c r="A3579" s="26" t="n">
        <v>44378</v>
      </c>
      <c r="B3579" s="1" t="n">
        <v>2021</v>
      </c>
      <c r="C3579" s="1" t="n">
        <v>7</v>
      </c>
      <c r="D3579" s="1" t="s">
        <v>48</v>
      </c>
      <c r="E3579" s="1" t="s">
        <v>2</v>
      </c>
      <c r="F3579" s="1" t="n">
        <v>25.547</v>
      </c>
      <c r="G3579" s="1" t="n">
        <f aca="false">IF(E3579=E3578,F3579/F3578-1,"")</f>
        <v>-0.0244843097272817</v>
      </c>
    </row>
    <row r="3580" customFormat="false" ht="14.25" hidden="false" customHeight="true" outlineLevel="0" collapsed="false">
      <c r="A3580" s="26" t="n">
        <v>44409</v>
      </c>
      <c r="B3580" s="1" t="n">
        <v>2021</v>
      </c>
      <c r="C3580" s="1" t="n">
        <v>8</v>
      </c>
      <c r="D3580" s="1" t="s">
        <v>49</v>
      </c>
      <c r="E3580" s="1" t="s">
        <v>2</v>
      </c>
      <c r="F3580" s="1" t="n">
        <v>23.9968</v>
      </c>
      <c r="G3580" s="1" t="n">
        <f aca="false">IF(E3580=E3579,F3580/F3579-1,"")</f>
        <v>-0.0606803147140564</v>
      </c>
    </row>
    <row r="3581" customFormat="false" ht="14.25" hidden="false" customHeight="true" outlineLevel="0" collapsed="false">
      <c r="A3581" s="26" t="n">
        <v>44440</v>
      </c>
      <c r="B3581" s="1" t="n">
        <v>2021</v>
      </c>
      <c r="C3581" s="1" t="n">
        <v>9</v>
      </c>
      <c r="D3581" s="1" t="s">
        <v>50</v>
      </c>
      <c r="E3581" s="1" t="s">
        <v>2</v>
      </c>
      <c r="F3581" s="1" t="n">
        <v>22.047</v>
      </c>
      <c r="G3581" s="1" t="n">
        <f aca="false">IF(E3581=E3580,F3581/F3580-1,"")</f>
        <v>-0.0812525003333777</v>
      </c>
    </row>
    <row r="3582" customFormat="false" ht="14.25" hidden="false" customHeight="true" outlineLevel="0" collapsed="false">
      <c r="A3582" s="26" t="n">
        <v>44470</v>
      </c>
      <c r="B3582" s="1" t="n">
        <v>2021</v>
      </c>
      <c r="C3582" s="1" t="n">
        <v>10</v>
      </c>
      <c r="D3582" s="1" t="s">
        <v>51</v>
      </c>
      <c r="E3582" s="1" t="s">
        <v>2</v>
      </c>
      <c r="F3582" s="1" t="n">
        <v>23.949</v>
      </c>
      <c r="G3582" s="1" t="n">
        <f aca="false">IF(E3582=E3581,F3582/F3581-1,"")</f>
        <v>0.0862702408490952</v>
      </c>
    </row>
    <row r="3583" customFormat="false" ht="14.25" hidden="false" customHeight="true" outlineLevel="0" collapsed="false">
      <c r="A3583" s="26" t="n">
        <v>44501</v>
      </c>
      <c r="B3583" s="1" t="n">
        <v>2021</v>
      </c>
      <c r="C3583" s="1" t="n">
        <v>11</v>
      </c>
      <c r="D3583" s="1" t="s">
        <v>52</v>
      </c>
      <c r="E3583" s="1" t="s">
        <v>2</v>
      </c>
      <c r="F3583" s="1" t="n">
        <v>22.781</v>
      </c>
      <c r="G3583" s="1" t="n">
        <f aca="false">IF(E3583=E3582,F3583/F3582-1,"")</f>
        <v>-0.0487703035617355</v>
      </c>
    </row>
    <row r="3584" customFormat="false" ht="14.25" hidden="false" customHeight="true" outlineLevel="0" collapsed="false">
      <c r="A3584" s="26" t="n">
        <v>44531</v>
      </c>
      <c r="B3584" s="1" t="n">
        <v>2021</v>
      </c>
      <c r="C3584" s="1" t="n">
        <v>12</v>
      </c>
      <c r="D3584" s="1" t="s">
        <v>53</v>
      </c>
      <c r="E3584" s="1" t="s">
        <v>2</v>
      </c>
      <c r="F3584" s="1" t="n">
        <v>23.3472</v>
      </c>
      <c r="G3584" s="1" t="n">
        <f aca="false">IF(E3584=E3583,F3584/F3583-1,"")</f>
        <v>0.0248540450375314</v>
      </c>
    </row>
    <row r="3585" customFormat="false" ht="14.25" hidden="false" customHeight="true" outlineLevel="0" collapsed="false">
      <c r="A3585" s="26" t="n">
        <v>44562</v>
      </c>
      <c r="B3585" s="1" t="n">
        <v>2022</v>
      </c>
      <c r="C3585" s="1" t="n">
        <v>1</v>
      </c>
      <c r="D3585" s="1" t="s">
        <v>42</v>
      </c>
      <c r="E3585" s="1" t="s">
        <v>2</v>
      </c>
      <c r="F3585" s="1" t="n">
        <v>22.393</v>
      </c>
      <c r="G3585" s="1" t="n">
        <f aca="false">IF(E3585=E3584,F3585/F3584-1,"")</f>
        <v>-0.0408699972587719</v>
      </c>
    </row>
    <row r="3586" customFormat="false" ht="14.25" hidden="false" customHeight="true" outlineLevel="0" collapsed="false">
      <c r="A3586" s="26" t="n">
        <v>44593</v>
      </c>
      <c r="B3586" s="1" t="n">
        <v>2022</v>
      </c>
      <c r="C3586" s="1" t="n">
        <v>2</v>
      </c>
      <c r="D3586" s="1" t="s">
        <v>43</v>
      </c>
      <c r="E3586" s="1" t="s">
        <v>2</v>
      </c>
      <c r="F3586" s="1" t="n">
        <v>24.365</v>
      </c>
      <c r="G3586" s="1" t="n">
        <f aca="false">IF(E3586=E3585,F3586/F3585-1,"")</f>
        <v>0.0880632340463536</v>
      </c>
    </row>
    <row r="3587" customFormat="false" ht="14.25" hidden="false" customHeight="true" outlineLevel="0" collapsed="false">
      <c r="A3587" s="26" t="n">
        <v>44621</v>
      </c>
      <c r="B3587" s="1" t="n">
        <v>2022</v>
      </c>
      <c r="C3587" s="1" t="n">
        <v>3</v>
      </c>
      <c r="D3587" s="1" t="s">
        <v>44</v>
      </c>
      <c r="E3587" s="1" t="s">
        <v>2</v>
      </c>
      <c r="F3587" s="1" t="n">
        <v>25.133</v>
      </c>
      <c r="G3587" s="1" t="n">
        <f aca="false">IF(E3587=E3586,F3587/F3586-1,"")</f>
        <v>0.0315206238456802</v>
      </c>
    </row>
    <row r="3588" customFormat="false" ht="14.25" hidden="false" customHeight="true" outlineLevel="0" collapsed="false">
      <c r="A3588" s="26" t="n">
        <v>44652</v>
      </c>
      <c r="B3588" s="1" t="n">
        <v>2022</v>
      </c>
      <c r="C3588" s="1" t="n">
        <v>4</v>
      </c>
      <c r="D3588" s="1" t="s">
        <v>45</v>
      </c>
      <c r="E3588" s="1" t="s">
        <v>2</v>
      </c>
      <c r="F3588" s="1" t="n">
        <v>23.076</v>
      </c>
      <c r="G3588" s="1" t="n">
        <f aca="false">IF(E3588=E3587,F3588/F3587-1,"")</f>
        <v>-0.0818445867982334</v>
      </c>
    </row>
    <row r="3589" customFormat="false" ht="14.25" hidden="false" customHeight="true" outlineLevel="0" collapsed="false">
      <c r="A3589" s="26" t="n">
        <v>44682</v>
      </c>
      <c r="B3589" s="1" t="n">
        <v>2022</v>
      </c>
      <c r="C3589" s="1" t="n">
        <v>5</v>
      </c>
      <c r="D3589" s="1" t="s">
        <v>46</v>
      </c>
      <c r="E3589" s="1" t="s">
        <v>2</v>
      </c>
      <c r="F3589" s="1" t="n">
        <v>21.688</v>
      </c>
      <c r="G3589" s="1" t="n">
        <f aca="false">IF(E3589=E3588,F3589/F3588-1,"")</f>
        <v>-0.0601490726295719</v>
      </c>
    </row>
    <row r="3590" customFormat="false" ht="14.25" hidden="false" customHeight="true" outlineLevel="0" collapsed="false">
      <c r="A3590" s="26" t="n">
        <v>44713</v>
      </c>
      <c r="B3590" s="1" t="n">
        <v>2022</v>
      </c>
      <c r="C3590" s="1" t="n">
        <v>6</v>
      </c>
      <c r="D3590" s="1" t="s">
        <v>47</v>
      </c>
      <c r="E3590" s="1" t="s">
        <v>2</v>
      </c>
      <c r="F3590" s="1" t="n">
        <v>20.734</v>
      </c>
      <c r="G3590" s="1" t="n">
        <f aca="false">IF(E3590=E3589,F3590/F3589-1,"")</f>
        <v>-0.0439874585023975</v>
      </c>
    </row>
    <row r="3591" customFormat="false" ht="14.25" hidden="false" customHeight="true" outlineLevel="0" collapsed="false">
      <c r="A3591" s="26" t="n">
        <v>44743</v>
      </c>
      <c r="B3591" s="1" t="n">
        <v>2022</v>
      </c>
      <c r="C3591" s="1" t="n">
        <v>7</v>
      </c>
      <c r="D3591" s="1" t="s">
        <v>48</v>
      </c>
      <c r="E3591" s="1" t="s">
        <v>2</v>
      </c>
      <c r="F3591" s="1" t="n">
        <v>20.3604</v>
      </c>
      <c r="G3591" s="1" t="n">
        <f aca="false">IF(E3591=E3590,F3591/F3590-1,"")</f>
        <v>-0.0180187132246553</v>
      </c>
    </row>
    <row r="3592" customFormat="false" ht="14.25" hidden="false" customHeight="true" outlineLevel="0" collapsed="false">
      <c r="A3592" s="26" t="n">
        <v>44774</v>
      </c>
      <c r="B3592" s="1" t="n">
        <v>2022</v>
      </c>
      <c r="C3592" s="1" t="n">
        <v>8</v>
      </c>
      <c r="D3592" s="1" t="s">
        <v>49</v>
      </c>
      <c r="E3592" s="1" t="s">
        <v>2</v>
      </c>
      <c r="F3592" s="1" t="n">
        <v>17.9156</v>
      </c>
      <c r="G3592" s="1" t="n">
        <f aca="false">IF(E3592=E3591,F3592/F3591-1,"")</f>
        <v>-0.120076226400267</v>
      </c>
    </row>
    <row r="3593" customFormat="false" ht="14.25" hidden="false" customHeight="true" outlineLevel="0" collapsed="false">
      <c r="A3593" s="26" t="n">
        <v>44805</v>
      </c>
      <c r="B3593" s="1" t="n">
        <v>2022</v>
      </c>
      <c r="C3593" s="1" t="n">
        <v>9</v>
      </c>
      <c r="D3593" s="1" t="s">
        <v>50</v>
      </c>
      <c r="E3593" s="1" t="s">
        <v>2</v>
      </c>
      <c r="F3593" s="1" t="n">
        <v>19.0341</v>
      </c>
      <c r="G3593" s="1" t="n">
        <f aca="false">IF(E3593=E3592,F3593/F3592-1,"")</f>
        <v>0.0624316238362097</v>
      </c>
    </row>
    <row r="3594" customFormat="false" ht="14.25" hidden="false" customHeight="true" outlineLevel="0" collapsed="false">
      <c r="A3594" s="26" t="n">
        <v>44835</v>
      </c>
      <c r="B3594" s="1" t="n">
        <v>2022</v>
      </c>
      <c r="C3594" s="1" t="n">
        <v>10</v>
      </c>
      <c r="D3594" s="1" t="s">
        <v>51</v>
      </c>
      <c r="E3594" s="1" t="s">
        <v>2</v>
      </c>
      <c r="F3594" s="1" t="n">
        <v>19.1625</v>
      </c>
      <c r="G3594" s="1" t="n">
        <f aca="false">IF(E3594=E3593,F3594/F3593-1,"")</f>
        <v>0.00674578782290736</v>
      </c>
    </row>
    <row r="3595" customFormat="false" ht="14.25" hidden="false" customHeight="true" outlineLevel="0" collapsed="false">
      <c r="A3595" s="26" t="n">
        <v>44866</v>
      </c>
      <c r="B3595" s="1" t="n">
        <v>2022</v>
      </c>
      <c r="C3595" s="1" t="n">
        <v>11</v>
      </c>
      <c r="D3595" s="1" t="s">
        <v>52</v>
      </c>
      <c r="E3595" s="1" t="s">
        <v>2</v>
      </c>
      <c r="F3595" s="1" t="n">
        <v>22.2355</v>
      </c>
      <c r="G3595" s="1" t="n">
        <f aca="false">IF(E3595=E3594,F3595/F3594-1,"")</f>
        <v>0.160365296803653</v>
      </c>
    </row>
    <row r="3596" customFormat="false" ht="14.25" hidden="false" customHeight="true" outlineLevel="0" collapsed="false">
      <c r="A3596" s="26" t="n">
        <v>44896</v>
      </c>
      <c r="B3596" s="1" t="n">
        <v>2022</v>
      </c>
      <c r="C3596" s="1" t="n">
        <v>12</v>
      </c>
      <c r="D3596" s="1" t="s">
        <v>53</v>
      </c>
      <c r="E3596" s="1" t="s">
        <v>2</v>
      </c>
      <c r="F3596" s="1" t="n">
        <v>23.9641</v>
      </c>
      <c r="G3596" s="1" t="n">
        <f aca="false">IF(E3596=E3595,F3596/F3595-1,"")</f>
        <v>0.0777405500213622</v>
      </c>
    </row>
    <row r="3597" customFormat="false" ht="14.25" hidden="false" customHeight="true" outlineLevel="0" collapsed="false">
      <c r="A3597" s="26" t="n">
        <v>44927</v>
      </c>
      <c r="B3597" s="1" t="n">
        <v>2023</v>
      </c>
      <c r="C3597" s="1" t="n">
        <v>1</v>
      </c>
      <c r="D3597" s="1" t="s">
        <v>42</v>
      </c>
      <c r="E3597" s="1" t="s">
        <v>2</v>
      </c>
      <c r="F3597" s="1" t="n">
        <v>23.6774</v>
      </c>
      <c r="G3597" s="1" t="n">
        <f aca="false">IF(E3597=E3596,F3597/F3596-1,"")</f>
        <v>-0.0119637290780793</v>
      </c>
    </row>
    <row r="3598" customFormat="false" ht="14.25" hidden="false" customHeight="true" outlineLevel="0" collapsed="false">
      <c r="A3598" s="26" t="n">
        <v>44958</v>
      </c>
      <c r="B3598" s="1" t="n">
        <v>2023</v>
      </c>
      <c r="C3598" s="1" t="n">
        <v>2</v>
      </c>
      <c r="D3598" s="1" t="s">
        <v>43</v>
      </c>
      <c r="E3598" s="1" t="s">
        <v>2</v>
      </c>
      <c r="F3598" s="1" t="n">
        <v>20.8946</v>
      </c>
      <c r="G3598" s="1" t="n">
        <f aca="false">IF(E3598=E3597,F3598/F3597-1,"")</f>
        <v>-0.117529796345882</v>
      </c>
    </row>
    <row r="3599" customFormat="false" ht="14.25" hidden="false" customHeight="true" outlineLevel="0" collapsed="false">
      <c r="A3599" s="26" t="n">
        <v>44986</v>
      </c>
      <c r="B3599" s="1" t="n">
        <v>2023</v>
      </c>
      <c r="C3599" s="1" t="n">
        <v>3</v>
      </c>
      <c r="D3599" s="1" t="s">
        <v>44</v>
      </c>
      <c r="E3599" s="1" t="s">
        <v>2</v>
      </c>
      <c r="F3599" s="1" t="n">
        <v>24.0924</v>
      </c>
      <c r="G3599" s="1" t="n">
        <f aca="false">IF(E3599=E3598,F3599/F3598-1,"")</f>
        <v>0.153044327242446</v>
      </c>
    </row>
    <row r="3600" customFormat="false" ht="14.25" hidden="false" customHeight="true" outlineLevel="0" collapsed="false">
      <c r="A3600" s="26" t="n">
        <v>45017</v>
      </c>
      <c r="B3600" s="1" t="n">
        <v>2023</v>
      </c>
      <c r="C3600" s="1" t="n">
        <v>4</v>
      </c>
      <c r="D3600" s="1" t="s">
        <v>45</v>
      </c>
      <c r="E3600" s="1" t="s">
        <v>2</v>
      </c>
      <c r="F3600" s="1" t="n">
        <v>25.0503</v>
      </c>
      <c r="G3600" s="1" t="n">
        <f aca="false">IF(E3600=E3599,F3600/F3599-1,"")</f>
        <v>0.039759426209095</v>
      </c>
    </row>
    <row r="3601" customFormat="false" ht="14.25" hidden="false" customHeight="true" outlineLevel="0" collapsed="false">
      <c r="A3601" s="26" t="n">
        <v>45047</v>
      </c>
      <c r="B3601" s="1" t="n">
        <v>2023</v>
      </c>
      <c r="C3601" s="1" t="n">
        <v>5</v>
      </c>
      <c r="D3601" s="1" t="s">
        <v>46</v>
      </c>
      <c r="E3601" s="1" t="s">
        <v>2</v>
      </c>
      <c r="F3601" s="1" t="n">
        <v>23.548</v>
      </c>
      <c r="G3601" s="1" t="n">
        <f aca="false">IF(E3601=E3600,F3601/F3600-1,"")</f>
        <v>-0.0599713376686109</v>
      </c>
    </row>
    <row r="3602" customFormat="false" ht="14.25" hidden="false" customHeight="true" outlineLevel="0" collapsed="false">
      <c r="A3602" s="26" t="n">
        <v>45078</v>
      </c>
      <c r="B3602" s="1" t="n">
        <v>2023</v>
      </c>
      <c r="C3602" s="1" t="n">
        <v>6</v>
      </c>
      <c r="D3602" s="1" t="s">
        <v>47</v>
      </c>
      <c r="E3602" s="1" t="s">
        <v>2</v>
      </c>
      <c r="F3602" s="1" t="n">
        <v>22.7603</v>
      </c>
      <c r="G3602" s="1" t="n">
        <f aca="false">IF(E3602=E3601,F3602/F3601-1,"")</f>
        <v>-0.0334508238491591</v>
      </c>
    </row>
    <row r="3603" customFormat="false" ht="14.25" hidden="false" customHeight="true" outlineLevel="0" collapsed="false">
      <c r="A3603" s="26" t="n">
        <v>45108</v>
      </c>
      <c r="B3603" s="1" t="n">
        <v>2023</v>
      </c>
      <c r="C3603" s="1" t="n">
        <v>7</v>
      </c>
      <c r="D3603" s="1" t="s">
        <v>48</v>
      </c>
      <c r="E3603" s="1" t="s">
        <v>2</v>
      </c>
      <c r="F3603" s="1" t="n">
        <v>24.7305</v>
      </c>
      <c r="G3603" s="1" t="n">
        <f aca="false">IF(E3603=E3602,F3603/F3602-1,"")</f>
        <v>0.0865630066387524</v>
      </c>
    </row>
    <row r="3604" customFormat="false" ht="14.25" hidden="false" customHeight="true" outlineLevel="0" collapsed="false">
      <c r="A3604" s="26" t="n">
        <v>45139</v>
      </c>
      <c r="B3604" s="1" t="n">
        <v>2023</v>
      </c>
      <c r="C3604" s="1" t="n">
        <v>8</v>
      </c>
      <c r="D3604" s="1" t="s">
        <v>49</v>
      </c>
      <c r="E3604" s="1" t="s">
        <v>2</v>
      </c>
      <c r="F3604" s="1" t="n">
        <v>24.4216</v>
      </c>
      <c r="G3604" s="1" t="n">
        <f aca="false">IF(E3604=E3603,F3604/F3603-1,"")</f>
        <v>-0.0124906491983582</v>
      </c>
    </row>
    <row r="3605" customFormat="false" ht="14.25" hidden="false" customHeight="true" outlineLevel="0" collapsed="false">
      <c r="A3605" s="26" t="n">
        <v>45170</v>
      </c>
      <c r="B3605" s="1" t="n">
        <v>2023</v>
      </c>
      <c r="C3605" s="1" t="n">
        <v>9</v>
      </c>
      <c r="D3605" s="1" t="s">
        <v>50</v>
      </c>
      <c r="E3605" s="1" t="s">
        <v>2</v>
      </c>
      <c r="F3605" s="1" t="n">
        <v>22.1847</v>
      </c>
      <c r="G3605" s="1" t="n">
        <f aca="false">IF(E3605=E3604,F3605/F3604-1,"")</f>
        <v>-0.0915951452812266</v>
      </c>
    </row>
    <row r="3606" customFormat="false" ht="14.25" hidden="false" customHeight="true" outlineLevel="0" collapsed="false">
      <c r="A3606" s="26" t="n">
        <v>45200</v>
      </c>
      <c r="B3606" s="1" t="n">
        <v>2023</v>
      </c>
      <c r="C3606" s="1" t="n">
        <v>10</v>
      </c>
      <c r="D3606" s="1" t="s">
        <v>51</v>
      </c>
      <c r="E3606" s="1" t="s">
        <v>2</v>
      </c>
      <c r="F3606" s="1" t="n">
        <v>22.8467</v>
      </c>
      <c r="G3606" s="1" t="n">
        <f aca="false">IF(E3606=E3605,F3606/F3605-1,"")</f>
        <v>0.0298403854909013</v>
      </c>
    </row>
    <row r="3607" customFormat="false" ht="14.25" hidden="false" customHeight="true" outlineLevel="0" collapsed="false">
      <c r="A3607" s="26" t="n">
        <v>45231</v>
      </c>
      <c r="B3607" s="1" t="n">
        <v>2023</v>
      </c>
      <c r="C3607" s="1" t="n">
        <v>11</v>
      </c>
      <c r="D3607" s="1" t="s">
        <v>52</v>
      </c>
      <c r="E3607" s="1" t="s">
        <v>2</v>
      </c>
      <c r="F3607" s="1" t="n">
        <v>24.9569</v>
      </c>
      <c r="G3607" s="1" t="n">
        <f aca="false">IF(E3607=E3606,F3607/F3606-1,"")</f>
        <v>0.0923634485505567</v>
      </c>
    </row>
    <row r="3608" customFormat="false" ht="14.25" hidden="false" customHeight="true" outlineLevel="0" collapsed="false">
      <c r="A3608" s="26" t="n">
        <v>45261</v>
      </c>
      <c r="B3608" s="1" t="n">
        <v>2023</v>
      </c>
      <c r="C3608" s="1" t="n">
        <v>12</v>
      </c>
      <c r="D3608" s="1" t="s">
        <v>53</v>
      </c>
      <c r="E3608" s="1" t="s">
        <v>2</v>
      </c>
      <c r="F3608" s="1" t="n">
        <v>23.7927</v>
      </c>
      <c r="G3608" s="1" t="n">
        <f aca="false">IF(E3608=E3607,F3608/F3607-1,"")</f>
        <v>-0.0466484218793199</v>
      </c>
    </row>
    <row r="3609" customFormat="false" ht="14.25" hidden="false" customHeight="true" outlineLevel="0" collapsed="false">
      <c r="A3609" s="26" t="n">
        <v>45292</v>
      </c>
      <c r="B3609" s="1" t="n">
        <v>2024</v>
      </c>
      <c r="C3609" s="1" t="n">
        <v>1</v>
      </c>
      <c r="D3609" s="1" t="s">
        <v>42</v>
      </c>
      <c r="E3609" s="1" t="s">
        <v>2</v>
      </c>
      <c r="F3609" s="1" t="n">
        <v>22.9401</v>
      </c>
      <c r="G3609" s="1" t="n">
        <f aca="false">IF(E3609=E3608,F3609/F3608-1,"")</f>
        <v>-0.035834520672307</v>
      </c>
    </row>
    <row r="3610" customFormat="false" ht="14.25" hidden="false" customHeight="true" outlineLevel="0" collapsed="false">
      <c r="A3610" s="26" t="n">
        <v>45323</v>
      </c>
      <c r="B3610" s="1" t="n">
        <v>2024</v>
      </c>
      <c r="C3610" s="1" t="n">
        <v>2</v>
      </c>
      <c r="D3610" s="1" t="s">
        <v>43</v>
      </c>
      <c r="E3610" s="1" t="s">
        <v>2</v>
      </c>
      <c r="F3610" s="1" t="n">
        <v>22.6725</v>
      </c>
      <c r="G3610" s="1" t="n">
        <f aca="false">IF(E3610=E3609,F3610/F3609-1,"")</f>
        <v>-0.0116651627499444</v>
      </c>
    </row>
    <row r="3611" customFormat="false" ht="14.25" hidden="false" customHeight="true" outlineLevel="0" collapsed="false">
      <c r="A3611" s="26" t="n">
        <v>45352</v>
      </c>
      <c r="B3611" s="1" t="n">
        <v>2024</v>
      </c>
      <c r="C3611" s="1" t="n">
        <v>3</v>
      </c>
      <c r="D3611" s="1" t="s">
        <v>44</v>
      </c>
      <c r="E3611" s="1" t="s">
        <v>2</v>
      </c>
      <c r="F3611" s="1" t="n">
        <v>24.9661</v>
      </c>
      <c r="G3611" s="1" t="n">
        <f aca="false">IF(E3611=E3610,F3611/F3610-1,"")</f>
        <v>0.101162200904179</v>
      </c>
    </row>
    <row r="3612" customFormat="false" ht="14.25" hidden="false" customHeight="true" outlineLevel="0" collapsed="false">
      <c r="A3612" s="26" t="n">
        <v>45383</v>
      </c>
      <c r="B3612" s="1" t="n">
        <v>2024</v>
      </c>
      <c r="C3612" s="1" t="n">
        <v>4</v>
      </c>
      <c r="D3612" s="1" t="s">
        <v>45</v>
      </c>
      <c r="E3612" s="1" t="s">
        <v>2</v>
      </c>
      <c r="F3612" s="1" t="n">
        <v>26.2896</v>
      </c>
      <c r="G3612" s="1" t="n">
        <f aca="false">IF(E3612=E3611,F3612/F3611-1,"")</f>
        <v>0.0530118841148597</v>
      </c>
    </row>
    <row r="3613" customFormat="false" ht="14.25" hidden="false" customHeight="true" outlineLevel="0" collapsed="false">
      <c r="A3613" s="26" t="n">
        <v>45413</v>
      </c>
      <c r="B3613" s="1" t="n">
        <v>2024</v>
      </c>
      <c r="C3613" s="1" t="n">
        <v>5</v>
      </c>
      <c r="D3613" s="1" t="s">
        <v>46</v>
      </c>
      <c r="E3613" s="1" t="s">
        <v>2</v>
      </c>
      <c r="F3613" s="1" t="n">
        <v>30.4055</v>
      </c>
      <c r="G3613" s="1" t="n">
        <f aca="false">IF(E3613=E3612,F3613/F3612-1,"")</f>
        <v>0.15656000852048</v>
      </c>
    </row>
    <row r="3614" customFormat="false" ht="14.25" hidden="false" customHeight="true" outlineLevel="0" collapsed="false">
      <c r="A3614" s="26" t="n">
        <v>45444</v>
      </c>
      <c r="B3614" s="1" t="n">
        <v>2024</v>
      </c>
      <c r="C3614" s="1" t="n">
        <v>6</v>
      </c>
      <c r="D3614" s="1" t="s">
        <v>47</v>
      </c>
      <c r="E3614" s="1" t="s">
        <v>2</v>
      </c>
      <c r="F3614" s="1" t="n">
        <v>29.1402</v>
      </c>
      <c r="G3614" s="1" t="n">
        <f aca="false">IF(E3614=E3613,F3614/F3613-1,"")</f>
        <v>-0.0416141816447683</v>
      </c>
    </row>
    <row r="3615" customFormat="false" ht="14.25" hidden="false" customHeight="true" outlineLevel="0" collapsed="false">
      <c r="A3615" s="26" t="n">
        <v>45474</v>
      </c>
      <c r="B3615" s="1" t="n">
        <v>2024</v>
      </c>
      <c r="C3615" s="1" t="n">
        <v>7</v>
      </c>
      <c r="D3615" s="1" t="s">
        <v>48</v>
      </c>
      <c r="E3615" s="1" t="s">
        <v>2</v>
      </c>
      <c r="F3615" s="1" t="n">
        <v>28.3472</v>
      </c>
      <c r="G3615" s="1" t="n">
        <f aca="false">IF(E3615=E3614,F3615/F3614-1,"")</f>
        <v>-0.027213265523229</v>
      </c>
    </row>
    <row r="3616" customFormat="false" ht="14.25" hidden="false" customHeight="true" outlineLevel="0" collapsed="false">
      <c r="A3616" s="26" t="n">
        <v>45505</v>
      </c>
      <c r="B3616" s="1" t="n">
        <v>2024</v>
      </c>
      <c r="C3616" s="1" t="n">
        <v>8</v>
      </c>
      <c r="D3616" s="1" t="s">
        <v>49</v>
      </c>
      <c r="E3616" s="1" t="s">
        <v>2</v>
      </c>
      <c r="F3616" s="1" t="n">
        <v>28.8613</v>
      </c>
      <c r="G3616" s="1" t="n">
        <f aca="false">IF(E3616=E3615,F3616/F3615-1,"")</f>
        <v>0.0181358299937913</v>
      </c>
    </row>
    <row r="3617" customFormat="false" ht="14.25" hidden="false" customHeight="true" outlineLevel="0" collapsed="false">
      <c r="A3617" s="26" t="n">
        <v>45536</v>
      </c>
      <c r="B3617" s="1" t="n">
        <v>2024</v>
      </c>
      <c r="C3617" s="1" t="n">
        <v>9</v>
      </c>
      <c r="D3617" s="1" t="s">
        <v>50</v>
      </c>
      <c r="E3617" s="1" t="s">
        <v>2</v>
      </c>
      <c r="F3617" s="1" t="n">
        <v>31.77</v>
      </c>
      <c r="G3617" s="1" t="n">
        <f aca="false">IF(E3617=E3616,F3617/F3616-1,"")</f>
        <v>0.100782016056103</v>
      </c>
    </row>
    <row r="3618" customFormat="false" ht="14.25" hidden="false" customHeight="true" outlineLevel="0" collapsed="false">
      <c r="A3618" s="26" t="n">
        <v>45566</v>
      </c>
      <c r="B3618" s="1" t="n">
        <v>2024</v>
      </c>
      <c r="C3618" s="1" t="n">
        <v>10</v>
      </c>
      <c r="D3618" s="1" t="s">
        <v>51</v>
      </c>
      <c r="E3618" s="1" t="s">
        <v>2</v>
      </c>
      <c r="F3618" s="1" t="n">
        <v>32.6625</v>
      </c>
      <c r="G3618" s="1" t="n">
        <f aca="false">IF(E3618=E3617,F3618/F3617-1,"")</f>
        <v>0.0280925401322003</v>
      </c>
    </row>
    <row r="3619" customFormat="false" ht="14.25" hidden="false" customHeight="true" outlineLevel="0" collapsed="false">
      <c r="A3619" s="26" t="n">
        <v>45597</v>
      </c>
      <c r="B3619" s="1" t="n">
        <v>2024</v>
      </c>
      <c r="C3619" s="1" t="n">
        <v>11</v>
      </c>
      <c r="D3619" s="1" t="s">
        <v>52</v>
      </c>
      <c r="E3619" s="1" t="s">
        <v>2</v>
      </c>
      <c r="F3619" s="1" t="n">
        <v>30.607</v>
      </c>
      <c r="G3619" s="1" t="n">
        <f aca="false">IF(E3619=E3618,F3619/F3618-1,"")</f>
        <v>-0.0629314963643323</v>
      </c>
    </row>
    <row r="3620" customFormat="false" ht="14.25" hidden="false" customHeight="true" outlineLevel="0" collapsed="false">
      <c r="A3620" s="26" t="n">
        <v>45627</v>
      </c>
      <c r="B3620" s="1" t="n">
        <v>2024</v>
      </c>
      <c r="C3620" s="1" t="n">
        <v>12</v>
      </c>
      <c r="D3620" s="1" t="s">
        <v>53</v>
      </c>
      <c r="E3620" s="1" t="s">
        <v>2</v>
      </c>
      <c r="F3620" s="1" t="n">
        <v>28.8744</v>
      </c>
      <c r="G3620" s="1" t="n">
        <f aca="false">IF(E3620=E3619,F3620/F3619-1,"")</f>
        <v>-0.0566079654980886</v>
      </c>
    </row>
    <row r="3621" customFormat="false" ht="14.25" hidden="false" customHeight="true" outlineLevel="0" collapsed="false">
      <c r="A3621" s="26" t="n">
        <v>45658</v>
      </c>
      <c r="B3621" s="1" t="n">
        <v>2025</v>
      </c>
      <c r="C3621" s="1" t="n">
        <v>1</v>
      </c>
      <c r="D3621" s="1" t="s">
        <v>42</v>
      </c>
      <c r="E3621" s="1" t="s">
        <v>2</v>
      </c>
      <c r="F3621" s="1" t="n">
        <v>31.3118</v>
      </c>
      <c r="G3621" s="1" t="n">
        <f aca="false">IF(E3621=E3620,F3621/F3620-1,"")</f>
        <v>0.0844138752666723</v>
      </c>
    </row>
    <row r="3622" customFormat="false" ht="14.25" hidden="false" customHeight="true" outlineLevel="0" collapsed="false">
      <c r="A3622" s="26" t="n">
        <v>45689</v>
      </c>
      <c r="B3622" s="1" t="n">
        <v>2025</v>
      </c>
      <c r="C3622" s="1" t="n">
        <v>2</v>
      </c>
      <c r="D3622" s="1" t="s">
        <v>43</v>
      </c>
      <c r="E3622" s="1" t="s">
        <v>2</v>
      </c>
      <c r="F3622" s="1" t="n">
        <v>31.2277</v>
      </c>
      <c r="G3622" s="1" t="n">
        <f aca="false">IF(E3622=E3621,F3622/F3621-1,"")</f>
        <v>-0.00268588838712569</v>
      </c>
    </row>
    <row r="3623" customFormat="false" ht="14.25" hidden="false" customHeight="true" outlineLevel="0" collapsed="false">
      <c r="A3623" s="26" t="n">
        <v>45717</v>
      </c>
      <c r="B3623" s="1" t="n">
        <v>2025</v>
      </c>
      <c r="C3623" s="1" t="n">
        <v>3</v>
      </c>
      <c r="D3623" s="1" t="s">
        <v>44</v>
      </c>
      <c r="E3623" s="1" t="s">
        <v>2</v>
      </c>
      <c r="F3623" s="1" t="n">
        <v>34.1992</v>
      </c>
      <c r="G3623" s="1" t="n">
        <f aca="false">IF(E3623=E3622,F3623/F3622-1,"")</f>
        <v>0.0951559032525611</v>
      </c>
    </row>
    <row r="3624" customFormat="false" ht="14.25" hidden="false" customHeight="true" outlineLevel="0" collapsed="false">
      <c r="A3624" s="26" t="n">
        <v>45748</v>
      </c>
      <c r="B3624" s="1" t="n">
        <v>2025</v>
      </c>
      <c r="C3624" s="1" t="n">
        <v>4</v>
      </c>
      <c r="D3624" s="1" t="s">
        <v>45</v>
      </c>
      <c r="E3624" s="1" t="s">
        <v>2</v>
      </c>
      <c r="F3624" s="1" t="n">
        <v>32.6308</v>
      </c>
      <c r="G3624" s="1" t="n">
        <f aca="false">IF(E3624=E3623,F3624/F3623-1,"")</f>
        <v>-0.0458607218882312</v>
      </c>
    </row>
    <row r="3625" customFormat="false" ht="14.25" hidden="false" customHeight="true" outlineLevel="0" collapsed="false">
      <c r="A3625" s="26" t="n">
        <v>45778</v>
      </c>
      <c r="B3625" s="1" t="n">
        <v>2025</v>
      </c>
      <c r="C3625" s="1" t="n">
        <v>5</v>
      </c>
      <c r="D3625" s="1" t="s">
        <v>46</v>
      </c>
      <c r="E3625" s="1" t="s">
        <v>2</v>
      </c>
      <c r="F3625" s="1" t="n">
        <v>32.9896</v>
      </c>
      <c r="G3625" s="1" t="n">
        <f aca="false">IF(E3625=E3624,F3625/F3624-1,"")</f>
        <v>0.0109957463500743</v>
      </c>
    </row>
    <row r="3626" customFormat="false" ht="14.25" hidden="false" customHeight="true" outlineLevel="0" collapsed="false">
      <c r="A3626" s="26" t="n">
        <v>45809</v>
      </c>
      <c r="B3626" s="1" t="n">
        <v>2025</v>
      </c>
      <c r="C3626" s="1" t="n">
        <v>6</v>
      </c>
      <c r="D3626" s="1" t="s">
        <v>47</v>
      </c>
      <c r="E3626" s="1" t="s">
        <v>2</v>
      </c>
      <c r="F3626" s="1" t="n">
        <v>35.7821</v>
      </c>
      <c r="G3626" s="1" t="n">
        <f aca="false">IF(E3626=E3625,F3626/F3625-1,"")</f>
        <v>0.0846478890316949</v>
      </c>
    </row>
    <row r="3627" customFormat="false" ht="14.25" hidden="false" customHeight="true" outlineLevel="0" collapsed="false">
      <c r="A3627" s="26" t="n">
        <v>45839</v>
      </c>
      <c r="B3627" s="1" t="n">
        <v>2025</v>
      </c>
      <c r="C3627" s="1" t="n">
        <v>7</v>
      </c>
      <c r="D3627" s="1" t="s">
        <v>48</v>
      </c>
      <c r="E3627" s="1" t="s">
        <v>2</v>
      </c>
      <c r="F3627" s="1" t="n">
        <v>37.1164</v>
      </c>
      <c r="G3627" s="1" t="n">
        <f aca="false">IF(E3627=E3626,F3627/F3626-1,"")</f>
        <v>0.0372895945179292</v>
      </c>
    </row>
    <row r="3628" customFormat="false" ht="14.25" hidden="false" customHeight="true" outlineLevel="0" collapsed="false">
      <c r="A3628" s="26" t="n">
        <v>45870</v>
      </c>
      <c r="B3628" s="1" t="n">
        <v>2025</v>
      </c>
      <c r="C3628" s="1" t="n">
        <v>8</v>
      </c>
      <c r="D3628" s="1" t="s">
        <v>49</v>
      </c>
      <c r="E3628" s="1" t="s">
        <v>2</v>
      </c>
      <c r="F3628" s="1" t="n">
        <v>39.015</v>
      </c>
      <c r="G3628" s="1" t="n">
        <f aca="false">IF(E3628=E3627,F3628/F3627-1,"")</f>
        <v>0.0511525902296559</v>
      </c>
    </row>
    <row r="3629" customFormat="false" ht="14.25" hidden="false" customHeight="true" outlineLevel="0" collapsed="false">
      <c r="A3629" s="26" t="n">
        <v>45901</v>
      </c>
      <c r="B3629" s="1" t="n">
        <v>2025</v>
      </c>
      <c r="C3629" s="1" t="n">
        <v>9</v>
      </c>
      <c r="D3629" s="1" t="s">
        <v>50</v>
      </c>
      <c r="E3629" s="1" t="s">
        <v>2</v>
      </c>
      <c r="F3629" s="1" t="n">
        <v>46.861</v>
      </c>
      <c r="G3629" s="1" t="n">
        <f aca="false">IF(E3629=E3628,F3629/F3628-1,"")</f>
        <v>0.201102140202486</v>
      </c>
    </row>
    <row r="3630" customFormat="false" ht="14.25" hidden="false" customHeight="true" outlineLevel="0" collapsed="false">
      <c r="A3630" s="26" t="n">
        <v>45931</v>
      </c>
      <c r="B3630" s="1" t="n">
        <v>2025</v>
      </c>
      <c r="C3630" s="1" t="n">
        <v>10</v>
      </c>
      <c r="D3630" s="1" t="s">
        <v>51</v>
      </c>
      <c r="E3630" s="1" t="s">
        <v>2</v>
      </c>
      <c r="F3630" s="1" t="n">
        <v>48.6932</v>
      </c>
      <c r="G3630" s="1" t="n">
        <f aca="false">IF(E3630=E3629,F3630/F3629-1,"")</f>
        <v>0.0390986107850879</v>
      </c>
    </row>
    <row r="3631" customFormat="false" ht="14.25" hidden="false" customHeight="true" outlineLevel="0" collapsed="false">
      <c r="A3631" s="26" t="n">
        <v>45962</v>
      </c>
      <c r="B3631" s="1" t="n">
        <v>2025</v>
      </c>
      <c r="C3631" s="1" t="n">
        <v>11</v>
      </c>
      <c r="D3631" s="1" t="s">
        <v>52</v>
      </c>
      <c r="E3631" s="1" t="s">
        <v>2</v>
      </c>
      <c r="F3631" s="1" t="n">
        <v>56.5422</v>
      </c>
      <c r="G3631" s="1" t="n">
        <f aca="false">IF(E3631=E3630,F3631/F3630-1,"")</f>
        <v>0.16119293864441</v>
      </c>
    </row>
    <row r="3632" customFormat="false" ht="14.25" hidden="false" customHeight="true" outlineLevel="0" collapsed="false">
      <c r="A3632" s="26" t="n">
        <v>45992</v>
      </c>
      <c r="B3632" s="1" t="n">
        <v>2025</v>
      </c>
      <c r="C3632" s="1" t="n">
        <v>12</v>
      </c>
      <c r="D3632" s="1" t="s">
        <v>53</v>
      </c>
      <c r="E3632" s="1" t="s">
        <v>2</v>
      </c>
      <c r="F3632" s="1" t="n">
        <v>71.649</v>
      </c>
      <c r="G3632" s="1" t="n">
        <f aca="false">IF(E3632=E3631,F3632/F3631-1,"")</f>
        <v>0.267177435614461</v>
      </c>
    </row>
    <row r="3633" customFormat="false" ht="14.25" hidden="false" customHeight="true" outlineLevel="0" collapsed="false">
      <c r="A3633" s="26" t="n">
        <v>46023</v>
      </c>
      <c r="B3633" s="1" t="n">
        <v>2026</v>
      </c>
      <c r="C3633" s="1" t="n">
        <v>1</v>
      </c>
      <c r="D3633" s="1" t="s">
        <v>42</v>
      </c>
      <c r="E3633" s="1" t="s">
        <v>2</v>
      </c>
      <c r="F3633" s="1" t="n">
        <v>113.9528</v>
      </c>
      <c r="G3633" s="1" t="n">
        <f aca="false">IF(E3633=E3632,F3633/F3632-1,"")</f>
        <v>0.590431129534257</v>
      </c>
    </row>
    <row r="3634" customFormat="false" ht="14.25" hidden="false" customHeight="true" outlineLevel="0" collapsed="false">
      <c r="A3634" s="26" t="n">
        <v>46054</v>
      </c>
      <c r="B3634" s="1" t="n">
        <v>2026</v>
      </c>
      <c r="C3634" s="1" t="n">
        <v>2</v>
      </c>
      <c r="D3634" s="1" t="s">
        <v>43</v>
      </c>
      <c r="E3634" s="1" t="s">
        <v>2</v>
      </c>
      <c r="F3634" s="1" t="n">
        <v>93.66</v>
      </c>
      <c r="G3634" s="1" t="n">
        <f aca="false">IF(E3634=E3633,F3634/F3633-1,"")</f>
        <v>-0.178080749222485</v>
      </c>
    </row>
    <row r="3635" customFormat="false" ht="14.25" hidden="false" customHeight="true" outlineLevel="0" collapsed="false">
      <c r="A3635" s="26" t="n">
        <v>46082</v>
      </c>
      <c r="B3635" s="1" t="n">
        <v>2026</v>
      </c>
      <c r="C3635" s="1" t="n">
        <v>3</v>
      </c>
      <c r="D3635" s="1" t="s">
        <v>44</v>
      </c>
      <c r="E3635" s="1" t="s">
        <v>2</v>
      </c>
      <c r="F3635" s="1" t="n">
        <v>88.36</v>
      </c>
      <c r="G3635" s="1" t="n">
        <f aca="false">IF(E3635=E3634,F3635/F3634-1,"")</f>
        <v>-0.0565876574845184</v>
      </c>
    </row>
    <row r="3636" customFormat="false" ht="14.25" hidden="false" customHeight="true" outlineLevel="0" collapsed="false">
      <c r="A3636" s="26" t="n">
        <v>46113</v>
      </c>
      <c r="B3636" s="1" t="n">
        <v>2026</v>
      </c>
      <c r="C3636" s="1" t="n">
        <v>4</v>
      </c>
      <c r="D3636" s="1" t="s">
        <v>45</v>
      </c>
      <c r="E3636" s="1" t="s">
        <v>2</v>
      </c>
      <c r="F3636" s="1" t="n">
        <v>88.36</v>
      </c>
      <c r="G3636" s="1" t="n">
        <f aca="false">IF(E3636=E3635,F3636/F3635-1,"")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3"/>
  <sheetViews>
    <sheetView showFormulas="false" showGridLines="true" showRowColHeaders="true" showZeros="true" rightToLeft="false" tabSelected="false" showOutlineSymbols="true" defaultGridColor="true" view="normal" topLeftCell="A46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5" min="1" style="1" width="13"/>
  </cols>
  <sheetData>
    <row r="1" customFormat="false" ht="14.25" hidden="false" customHeight="true" outlineLevel="0" collapsed="false">
      <c r="A1" s="1" t="s">
        <v>18</v>
      </c>
      <c r="B1" s="1" t="s">
        <v>13</v>
      </c>
      <c r="C1" s="1" t="s">
        <v>14</v>
      </c>
      <c r="D1" s="1" t="s">
        <v>2</v>
      </c>
      <c r="E1" s="1" t="s">
        <v>54</v>
      </c>
    </row>
    <row r="2" customFormat="false" ht="14.25" hidden="false" customHeight="true" outlineLevel="0" collapsed="false">
      <c r="A2" s="1" t="n">
        <v>1915</v>
      </c>
      <c r="C2" s="1" t="n">
        <v>19.25</v>
      </c>
      <c r="D2" s="1" t="n">
        <v>0.51</v>
      </c>
      <c r="E2" s="1" t="n">
        <f aca="false">INDEX($B2:$D2,MATCH(Dashboard!$D$4,$B$1:$D$1,0))</f>
        <v>0.51</v>
      </c>
    </row>
    <row r="3" customFormat="false" ht="14.25" hidden="false" customHeight="true" outlineLevel="0" collapsed="false">
      <c r="A3" s="1" t="n">
        <v>1916</v>
      </c>
      <c r="C3" s="1" t="n">
        <v>19.47</v>
      </c>
      <c r="D3" s="1" t="n">
        <v>0.67</v>
      </c>
      <c r="E3" s="1" t="n">
        <f aca="false">INDEX($B3:$D3,MATCH(Dashboard!$D$4,$B$1:$D$1,0))</f>
        <v>0.67</v>
      </c>
    </row>
    <row r="4" customFormat="false" ht="14.25" hidden="false" customHeight="true" outlineLevel="0" collapsed="false">
      <c r="A4" s="1" t="n">
        <v>1917</v>
      </c>
      <c r="C4" s="1" t="n">
        <v>19.66</v>
      </c>
      <c r="D4" s="1" t="n">
        <v>0.84</v>
      </c>
      <c r="E4" s="1" t="n">
        <f aca="false">INDEX($B4:$D4,MATCH(Dashboard!$D$4,$B$1:$D$1,0))</f>
        <v>0.84</v>
      </c>
    </row>
    <row r="5" customFormat="false" ht="14.25" hidden="false" customHeight="true" outlineLevel="0" collapsed="false">
      <c r="A5" s="1" t="n">
        <v>1918</v>
      </c>
      <c r="C5" s="1" t="n">
        <v>19.84</v>
      </c>
      <c r="D5" s="1" t="n">
        <v>0.98</v>
      </c>
      <c r="E5" s="1" t="n">
        <f aca="false">INDEX($B5:$D5,MATCH(Dashboard!$D$4,$B$1:$D$1,0))</f>
        <v>0.98</v>
      </c>
    </row>
    <row r="6" customFormat="false" ht="14.25" hidden="false" customHeight="true" outlineLevel="0" collapsed="false">
      <c r="A6" s="1" t="n">
        <v>1919</v>
      </c>
      <c r="C6" s="1" t="n">
        <v>20.03</v>
      </c>
      <c r="D6" s="1" t="n">
        <v>1.13</v>
      </c>
      <c r="E6" s="1" t="n">
        <f aca="false">INDEX($B6:$D6,MATCH(Dashboard!$D$4,$B$1:$D$1,0))</f>
        <v>1.13</v>
      </c>
    </row>
    <row r="7" customFormat="false" ht="14.25" hidden="false" customHeight="true" outlineLevel="0" collapsed="false">
      <c r="A7" s="1" t="n">
        <v>1920</v>
      </c>
      <c r="C7" s="1" t="n">
        <v>20.63</v>
      </c>
      <c r="D7" s="1" t="n">
        <v>1.03</v>
      </c>
      <c r="E7" s="1" t="n">
        <f aca="false">INDEX($B7:$D7,MATCH(Dashboard!$D$4,$B$1:$D$1,0))</f>
        <v>1.03</v>
      </c>
    </row>
    <row r="8" customFormat="false" ht="14.25" hidden="false" customHeight="true" outlineLevel="0" collapsed="false">
      <c r="A8" s="1" t="n">
        <v>1921</v>
      </c>
      <c r="C8" s="1" t="n">
        <v>20.69</v>
      </c>
      <c r="D8" s="1" t="n">
        <v>0.63</v>
      </c>
      <c r="E8" s="1" t="n">
        <f aca="false">INDEX($B8:$D8,MATCH(Dashboard!$D$4,$B$1:$D$1,0))</f>
        <v>0.63</v>
      </c>
    </row>
    <row r="9" customFormat="false" ht="14.25" hidden="false" customHeight="true" outlineLevel="0" collapsed="false">
      <c r="A9" s="1" t="n">
        <v>1922</v>
      </c>
      <c r="C9" s="1" t="n">
        <v>20.84</v>
      </c>
      <c r="D9" s="1" t="n">
        <v>0.68</v>
      </c>
      <c r="E9" s="1" t="n">
        <f aca="false">INDEX($B9:$D9,MATCH(Dashboard!$D$4,$B$1:$D$1,0))</f>
        <v>0.68</v>
      </c>
    </row>
    <row r="10" customFormat="false" ht="14.25" hidden="false" customHeight="true" outlineLevel="0" collapsed="false">
      <c r="A10" s="1" t="n">
        <v>1923</v>
      </c>
      <c r="C10" s="1" t="n">
        <v>20.75</v>
      </c>
      <c r="D10" s="1" t="n">
        <v>0.65</v>
      </c>
      <c r="E10" s="1" t="n">
        <f aca="false">INDEX($B10:$D10,MATCH(Dashboard!$D$4,$B$1:$D$1,0))</f>
        <v>0.65</v>
      </c>
    </row>
    <row r="11" customFormat="false" ht="14.25" hidden="false" customHeight="true" outlineLevel="0" collapsed="false">
      <c r="A11" s="1" t="n">
        <v>1924</v>
      </c>
      <c r="C11" s="1" t="n">
        <v>20.78</v>
      </c>
      <c r="D11" s="1" t="n">
        <v>0.67</v>
      </c>
      <c r="E11" s="1" t="n">
        <f aca="false">INDEX($B11:$D11,MATCH(Dashboard!$D$4,$B$1:$D$1,0))</f>
        <v>0.67</v>
      </c>
    </row>
    <row r="12" customFormat="false" ht="14.25" hidden="false" customHeight="true" outlineLevel="0" collapsed="false">
      <c r="A12" s="1" t="n">
        <v>1925</v>
      </c>
      <c r="C12" s="1" t="n">
        <v>20.75</v>
      </c>
      <c r="D12" s="1" t="n">
        <v>0.69</v>
      </c>
      <c r="E12" s="1" t="n">
        <f aca="false">INDEX($B12:$D12,MATCH(Dashboard!$D$4,$B$1:$D$1,0))</f>
        <v>0.69</v>
      </c>
    </row>
    <row r="13" customFormat="false" ht="14.25" hidden="false" customHeight="true" outlineLevel="0" collapsed="false">
      <c r="A13" s="1" t="n">
        <v>1926</v>
      </c>
      <c r="C13" s="1" t="n">
        <v>20.72</v>
      </c>
      <c r="D13" s="1" t="n">
        <v>0.62</v>
      </c>
      <c r="E13" s="1" t="n">
        <f aca="false">INDEX($B13:$D13,MATCH(Dashboard!$D$4,$B$1:$D$1,0))</f>
        <v>0.62</v>
      </c>
    </row>
    <row r="14" customFormat="false" ht="14.25" hidden="false" customHeight="true" outlineLevel="0" collapsed="false">
      <c r="A14" s="1" t="n">
        <v>1927</v>
      </c>
      <c r="C14" s="1" t="n">
        <v>20.75</v>
      </c>
      <c r="D14" s="1" t="n">
        <v>0.57</v>
      </c>
      <c r="E14" s="1" t="n">
        <f aca="false">INDEX($B14:$D14,MATCH(Dashboard!$D$4,$B$1:$D$1,0))</f>
        <v>0.57</v>
      </c>
    </row>
    <row r="15" customFormat="false" ht="14.25" hidden="false" customHeight="true" outlineLevel="0" collapsed="false">
      <c r="A15" s="1" t="n">
        <v>1928</v>
      </c>
      <c r="C15" s="1" t="n">
        <v>20.78</v>
      </c>
      <c r="D15" s="1" t="n">
        <v>0.58</v>
      </c>
      <c r="E15" s="1" t="n">
        <f aca="false">INDEX($B15:$D15,MATCH(Dashboard!$D$4,$B$1:$D$1,0))</f>
        <v>0.58</v>
      </c>
    </row>
    <row r="16" customFormat="false" ht="14.25" hidden="false" customHeight="true" outlineLevel="0" collapsed="false">
      <c r="A16" s="1" t="n">
        <v>1929</v>
      </c>
      <c r="C16" s="1" t="n">
        <v>20.72</v>
      </c>
      <c r="D16" s="1" t="n">
        <v>0.53</v>
      </c>
      <c r="E16" s="1" t="n">
        <f aca="false">INDEX($B16:$D16,MATCH(Dashboard!$D$4,$B$1:$D$1,0))</f>
        <v>0.53</v>
      </c>
    </row>
    <row r="17" customFormat="false" ht="14.25" hidden="false" customHeight="true" outlineLevel="0" collapsed="false">
      <c r="A17" s="1" t="n">
        <v>1930</v>
      </c>
      <c r="C17" s="1" t="n">
        <v>20.69</v>
      </c>
      <c r="D17" s="1" t="n">
        <v>0.38</v>
      </c>
      <c r="E17" s="1" t="n">
        <f aca="false">INDEX($B17:$D17,MATCH(Dashboard!$D$4,$B$1:$D$1,0))</f>
        <v>0.38</v>
      </c>
    </row>
    <row r="18" customFormat="false" ht="14.25" hidden="false" customHeight="true" outlineLevel="0" collapsed="false">
      <c r="A18" s="1" t="n">
        <v>1931</v>
      </c>
      <c r="C18" s="1" t="n">
        <v>22.59</v>
      </c>
      <c r="D18" s="1" t="n">
        <v>0.29</v>
      </c>
      <c r="E18" s="1" t="n">
        <f aca="false">INDEX($B18:$D18,MATCH(Dashboard!$D$4,$B$1:$D$1,0))</f>
        <v>0.29</v>
      </c>
    </row>
    <row r="19" customFormat="false" ht="14.25" hidden="false" customHeight="true" outlineLevel="0" collapsed="false">
      <c r="A19" s="1" t="n">
        <v>1932</v>
      </c>
      <c r="C19" s="1" t="n">
        <v>20.78</v>
      </c>
      <c r="D19" s="1" t="n">
        <v>0.28</v>
      </c>
      <c r="E19" s="1" t="n">
        <f aca="false">INDEX($B19:$D19,MATCH(Dashboard!$D$4,$B$1:$D$1,0))</f>
        <v>0.28</v>
      </c>
    </row>
    <row r="20" customFormat="false" ht="14.25" hidden="false" customHeight="true" outlineLevel="0" collapsed="false">
      <c r="A20" s="1" t="n">
        <v>1933</v>
      </c>
      <c r="C20" s="1" t="n">
        <v>26.47</v>
      </c>
      <c r="D20" s="1" t="n">
        <v>0.35</v>
      </c>
      <c r="E20" s="1" t="n">
        <f aca="false">INDEX($B20:$D20,MATCH(Dashboard!$D$4,$B$1:$D$1,0))</f>
        <v>0.35</v>
      </c>
    </row>
    <row r="21" customFormat="false" ht="14.25" hidden="false" customHeight="true" outlineLevel="0" collapsed="false">
      <c r="A21" s="1" t="n">
        <v>1934</v>
      </c>
      <c r="C21" s="1" t="n">
        <v>35</v>
      </c>
      <c r="D21" s="1" t="n">
        <v>0.48</v>
      </c>
      <c r="E21" s="1" t="n">
        <f aca="false">INDEX($B21:$D21,MATCH(Dashboard!$D$4,$B$1:$D$1,0))</f>
        <v>0.48</v>
      </c>
    </row>
    <row r="22" customFormat="false" ht="14.25" hidden="false" customHeight="true" outlineLevel="0" collapsed="false">
      <c r="A22" s="1" t="n">
        <v>1935</v>
      </c>
      <c r="C22" s="1" t="n">
        <v>35</v>
      </c>
      <c r="D22" s="1" t="n">
        <v>0.64</v>
      </c>
      <c r="E22" s="1" t="n">
        <f aca="false">INDEX($B22:$D22,MATCH(Dashboard!$D$4,$B$1:$D$1,0))</f>
        <v>0.64</v>
      </c>
    </row>
    <row r="23" customFormat="false" ht="14.25" hidden="false" customHeight="true" outlineLevel="0" collapsed="false">
      <c r="A23" s="1" t="n">
        <v>1936</v>
      </c>
      <c r="C23" s="1" t="n">
        <v>35</v>
      </c>
      <c r="D23" s="1" t="n">
        <v>0.45</v>
      </c>
      <c r="E23" s="1" t="n">
        <f aca="false">INDEX($B23:$D23,MATCH(Dashboard!$D$4,$B$1:$D$1,0))</f>
        <v>0.45</v>
      </c>
    </row>
    <row r="24" customFormat="false" ht="14.25" hidden="false" customHeight="true" outlineLevel="0" collapsed="false">
      <c r="A24" s="1" t="n">
        <v>1937</v>
      </c>
      <c r="C24" s="1" t="n">
        <v>35</v>
      </c>
      <c r="D24" s="1" t="n">
        <v>0.45</v>
      </c>
      <c r="E24" s="1" t="n">
        <f aca="false">INDEX($B24:$D24,MATCH(Dashboard!$D$4,$B$1:$D$1,0))</f>
        <v>0.45</v>
      </c>
    </row>
    <row r="25" customFormat="false" ht="14.25" hidden="false" customHeight="true" outlineLevel="0" collapsed="false">
      <c r="A25" s="1" t="n">
        <v>1938</v>
      </c>
      <c r="C25" s="1" t="n">
        <v>35</v>
      </c>
      <c r="D25" s="1" t="n">
        <v>0.43</v>
      </c>
      <c r="E25" s="1" t="n">
        <f aca="false">INDEX($B25:$D25,MATCH(Dashboard!$D$4,$B$1:$D$1,0))</f>
        <v>0.43</v>
      </c>
    </row>
    <row r="26" customFormat="false" ht="14.25" hidden="false" customHeight="true" outlineLevel="0" collapsed="false">
      <c r="A26" s="1" t="n">
        <v>1939</v>
      </c>
      <c r="C26" s="1" t="n">
        <v>34.69</v>
      </c>
      <c r="D26" s="1" t="n">
        <v>0.39</v>
      </c>
      <c r="E26" s="1" t="n">
        <f aca="false">INDEX($B26:$D26,MATCH(Dashboard!$D$4,$B$1:$D$1,0))</f>
        <v>0.39</v>
      </c>
    </row>
    <row r="27" customFormat="false" ht="14.25" hidden="false" customHeight="true" outlineLevel="0" collapsed="false">
      <c r="A27" s="1" t="n">
        <v>1940</v>
      </c>
      <c r="C27" s="1" t="n">
        <v>34.06</v>
      </c>
      <c r="D27" s="1" t="n">
        <v>0.35</v>
      </c>
      <c r="E27" s="1" t="n">
        <f aca="false">INDEX($B27:$D27,MATCH(Dashboard!$D$4,$B$1:$D$1,0))</f>
        <v>0.35</v>
      </c>
    </row>
    <row r="28" customFormat="false" ht="14.25" hidden="false" customHeight="true" outlineLevel="0" collapsed="false">
      <c r="A28" s="1" t="n">
        <v>1941</v>
      </c>
      <c r="C28" s="1" t="n">
        <v>34.06</v>
      </c>
      <c r="D28" s="1" t="n">
        <v>0.35</v>
      </c>
      <c r="E28" s="1" t="n">
        <f aca="false">INDEX($B28:$D28,MATCH(Dashboard!$D$4,$B$1:$D$1,0))</f>
        <v>0.35</v>
      </c>
    </row>
    <row r="29" customFormat="false" ht="14.25" hidden="false" customHeight="true" outlineLevel="0" collapsed="false">
      <c r="A29" s="1" t="n">
        <v>1942</v>
      </c>
      <c r="C29" s="1" t="n">
        <v>34.06</v>
      </c>
      <c r="D29" s="1" t="n">
        <v>0.38</v>
      </c>
      <c r="E29" s="1" t="n">
        <f aca="false">INDEX($B29:$D29,MATCH(Dashboard!$D$4,$B$1:$D$1,0))</f>
        <v>0.38</v>
      </c>
    </row>
    <row r="30" customFormat="false" ht="14.25" hidden="false" customHeight="true" outlineLevel="0" collapsed="false">
      <c r="A30" s="1" t="n">
        <v>1943</v>
      </c>
      <c r="C30" s="1" t="n">
        <v>34.06</v>
      </c>
      <c r="D30" s="1" t="n">
        <v>0.45</v>
      </c>
      <c r="E30" s="1" t="n">
        <f aca="false">INDEX($B30:$D30,MATCH(Dashboard!$D$4,$B$1:$D$1,0))</f>
        <v>0.45</v>
      </c>
    </row>
    <row r="31" customFormat="false" ht="14.25" hidden="false" customHeight="true" outlineLevel="0" collapsed="false">
      <c r="A31" s="1" t="n">
        <v>1944</v>
      </c>
      <c r="C31" s="1" t="n">
        <v>34.06</v>
      </c>
      <c r="D31" s="1" t="n">
        <v>0.45</v>
      </c>
      <c r="E31" s="1" t="n">
        <f aca="false">INDEX($B31:$D31,MATCH(Dashboard!$D$4,$B$1:$D$1,0))</f>
        <v>0.45</v>
      </c>
    </row>
    <row r="32" customFormat="false" ht="14.25" hidden="false" customHeight="true" outlineLevel="0" collapsed="false">
      <c r="A32" s="1" t="n">
        <v>1945</v>
      </c>
      <c r="C32" s="1" t="n">
        <v>35</v>
      </c>
      <c r="D32" s="1" t="n">
        <v>0.52</v>
      </c>
      <c r="E32" s="1" t="n">
        <f aca="false">INDEX($B32:$D32,MATCH(Dashboard!$D$4,$B$1:$D$1,0))</f>
        <v>0.52</v>
      </c>
    </row>
    <row r="33" customFormat="false" ht="14.25" hidden="false" customHeight="true" outlineLevel="0" collapsed="false">
      <c r="A33" s="1" t="n">
        <v>1946</v>
      </c>
      <c r="B33" s="1" t="n">
        <v>22.9</v>
      </c>
      <c r="C33" s="1" t="n">
        <v>35</v>
      </c>
      <c r="D33" s="1" t="n">
        <v>0.8</v>
      </c>
      <c r="E33" s="1" t="n">
        <f aca="false">INDEX($B33:$D33,MATCH(Dashboard!$D$4,$B$1:$D$1,0))</f>
        <v>0.8</v>
      </c>
    </row>
    <row r="34" customFormat="false" ht="14.25" hidden="false" customHeight="true" outlineLevel="0" collapsed="false">
      <c r="A34" s="1" t="n">
        <v>1947</v>
      </c>
      <c r="B34" s="1" t="n">
        <v>27.2</v>
      </c>
      <c r="C34" s="1" t="n">
        <v>35</v>
      </c>
      <c r="D34" s="1" t="n">
        <v>0.72</v>
      </c>
      <c r="E34" s="1" t="n">
        <f aca="false">INDEX($B34:$D34,MATCH(Dashboard!$D$4,$B$1:$D$1,0))</f>
        <v>0.72</v>
      </c>
    </row>
    <row r="35" customFormat="false" ht="14.25" hidden="false" customHeight="true" outlineLevel="0" collapsed="false">
      <c r="A35" s="1" t="n">
        <v>1948</v>
      </c>
      <c r="B35" s="1" t="n">
        <v>35.31</v>
      </c>
      <c r="C35" s="1" t="n">
        <v>35</v>
      </c>
      <c r="D35" s="1" t="n">
        <v>0.74</v>
      </c>
      <c r="E35" s="1" t="n">
        <f aca="false">INDEX($B35:$D35,MATCH(Dashboard!$D$4,$B$1:$D$1,0))</f>
        <v>0.74</v>
      </c>
    </row>
    <row r="36" customFormat="false" ht="14.25" hidden="false" customHeight="true" outlineLevel="0" collapsed="false">
      <c r="A36" s="1" t="n">
        <v>1949</v>
      </c>
      <c r="B36" s="1" t="n">
        <v>35.65</v>
      </c>
      <c r="C36" s="1" t="n">
        <v>31.88</v>
      </c>
      <c r="D36" s="1" t="n">
        <v>0.72</v>
      </c>
      <c r="E36" s="1" t="n">
        <f aca="false">INDEX($B36:$D36,MATCH(Dashboard!$D$4,$B$1:$D$1,0))</f>
        <v>0.72</v>
      </c>
    </row>
    <row r="37" customFormat="false" ht="14.25" hidden="false" customHeight="true" outlineLevel="0" collapsed="false">
      <c r="A37" s="1" t="n">
        <v>1950</v>
      </c>
      <c r="B37" s="1" t="n">
        <v>35.28</v>
      </c>
      <c r="C37" s="1" t="n">
        <v>35</v>
      </c>
      <c r="D37" s="1" t="n">
        <v>0.74</v>
      </c>
      <c r="E37" s="1" t="n">
        <f aca="false">INDEX($B37:$D37,MATCH(Dashboard!$D$4,$B$1:$D$1,0))</f>
        <v>0.74</v>
      </c>
    </row>
    <row r="38" customFormat="false" ht="14.25" hidden="false" customHeight="true" outlineLevel="0" collapsed="false">
      <c r="A38" s="1" t="n">
        <v>1951</v>
      </c>
      <c r="B38" s="1" t="n">
        <v>32.7</v>
      </c>
      <c r="C38" s="1" t="n">
        <v>35</v>
      </c>
      <c r="D38" s="1" t="n">
        <v>0.89</v>
      </c>
      <c r="E38" s="1" t="n">
        <f aca="false">INDEX($B38:$D38,MATCH(Dashboard!$D$4,$B$1:$D$1,0))</f>
        <v>0.89</v>
      </c>
    </row>
    <row r="39" customFormat="false" ht="14.25" hidden="false" customHeight="true" outlineLevel="0" collapsed="false">
      <c r="A39" s="1" t="n">
        <v>1952</v>
      </c>
      <c r="B39" s="1" t="n">
        <v>31.96</v>
      </c>
      <c r="C39" s="1" t="n">
        <v>34.69</v>
      </c>
      <c r="D39" s="1" t="n">
        <v>0.85</v>
      </c>
      <c r="E39" s="1" t="n">
        <f aca="false">INDEX($B39:$D39,MATCH(Dashboard!$D$4,$B$1:$D$1,0))</f>
        <v>0.85</v>
      </c>
    </row>
    <row r="40" customFormat="false" ht="14.25" hidden="false" customHeight="true" outlineLevel="0" collapsed="false">
      <c r="A40" s="1" t="n">
        <v>1953</v>
      </c>
      <c r="B40" s="1" t="n">
        <v>33.5</v>
      </c>
      <c r="C40" s="1" t="n">
        <v>35</v>
      </c>
      <c r="D40" s="1" t="n">
        <v>0.85</v>
      </c>
      <c r="E40" s="1" t="n">
        <f aca="false">INDEX($B40:$D40,MATCH(Dashboard!$D$4,$B$1:$D$1,0))</f>
        <v>0.85</v>
      </c>
    </row>
    <row r="41" customFormat="false" ht="14.25" hidden="false" customHeight="true" outlineLevel="0" collapsed="false">
      <c r="A41" s="1" t="n">
        <v>1954</v>
      </c>
      <c r="B41" s="1" t="n">
        <v>34.68</v>
      </c>
      <c r="C41" s="1" t="n">
        <v>35.31</v>
      </c>
      <c r="D41" s="1" t="n">
        <v>0.85</v>
      </c>
      <c r="E41" s="1" t="n">
        <f aca="false">INDEX($B41:$D41,MATCH(Dashboard!$D$4,$B$1:$D$1,0))</f>
        <v>0.85</v>
      </c>
    </row>
    <row r="42" customFormat="false" ht="14.25" hidden="false" customHeight="true" outlineLevel="0" collapsed="false">
      <c r="A42" s="1" t="n">
        <v>1955</v>
      </c>
      <c r="B42" s="1" t="n">
        <v>34.78</v>
      </c>
      <c r="C42" s="1" t="n">
        <v>35.31</v>
      </c>
      <c r="D42" s="1" t="n">
        <v>0.89</v>
      </c>
      <c r="E42" s="1" t="n">
        <f aca="false">INDEX($B42:$D42,MATCH(Dashboard!$D$4,$B$1:$D$1,0))</f>
        <v>0.89</v>
      </c>
    </row>
    <row r="43" customFormat="false" ht="14.25" hidden="false" customHeight="true" outlineLevel="0" collapsed="false">
      <c r="A43" s="1" t="n">
        <v>1956</v>
      </c>
      <c r="B43" s="1" t="n">
        <v>34.26</v>
      </c>
      <c r="C43" s="1" t="n">
        <v>35.31</v>
      </c>
      <c r="D43" s="1" t="n">
        <v>0.92</v>
      </c>
      <c r="E43" s="1" t="n">
        <f aca="false">INDEX($B43:$D43,MATCH(Dashboard!$D$4,$B$1:$D$1,0))</f>
        <v>0.92</v>
      </c>
    </row>
    <row r="44" customFormat="false" ht="14.25" hidden="false" customHeight="true" outlineLevel="0" collapsed="false">
      <c r="A44" s="1" t="n">
        <v>1957</v>
      </c>
      <c r="B44" s="1" t="n">
        <v>35.78</v>
      </c>
      <c r="C44" s="1" t="n">
        <v>35</v>
      </c>
      <c r="D44" s="1" t="n">
        <v>0.92</v>
      </c>
      <c r="E44" s="1" t="n">
        <f aca="false">INDEX($B44:$D44,MATCH(Dashboard!$D$4,$B$1:$D$1,0))</f>
        <v>0.92</v>
      </c>
    </row>
    <row r="45" customFormat="false" ht="14.25" hidden="false" customHeight="true" outlineLevel="0" collapsed="false">
      <c r="A45" s="1" t="n">
        <v>1958</v>
      </c>
      <c r="B45" s="1" t="n">
        <v>35</v>
      </c>
      <c r="C45" s="1" t="n">
        <v>35.31</v>
      </c>
      <c r="D45" s="1" t="n">
        <v>0.89</v>
      </c>
      <c r="E45" s="1" t="n">
        <f aca="false">INDEX($B45:$D45,MATCH(Dashboard!$D$4,$B$1:$D$1,0))</f>
        <v>0.89</v>
      </c>
    </row>
    <row r="46" customFormat="false" ht="14.25" hidden="false" customHeight="true" outlineLevel="0" collapsed="false">
      <c r="A46" s="1" t="n">
        <v>1959</v>
      </c>
      <c r="B46" s="1" t="n">
        <v>33.7</v>
      </c>
      <c r="C46" s="1" t="n">
        <v>35.31</v>
      </c>
      <c r="D46" s="1" t="n">
        <v>0.92</v>
      </c>
      <c r="E46" s="1" t="n">
        <f aca="false">INDEX($B46:$D46,MATCH(Dashboard!$D$4,$B$1:$D$1,0))</f>
        <v>0.92</v>
      </c>
    </row>
    <row r="47" customFormat="false" ht="14.25" hidden="false" customHeight="true" outlineLevel="0" collapsed="false">
      <c r="A47" s="1" t="n">
        <v>1960</v>
      </c>
      <c r="B47" s="1" t="n">
        <v>33.16</v>
      </c>
      <c r="C47" s="1" t="n">
        <v>35.31</v>
      </c>
      <c r="D47" s="1" t="n">
        <v>0.92</v>
      </c>
      <c r="E47" s="1" t="n">
        <f aca="false">INDEX($B47:$D47,MATCH(Dashboard!$D$4,$B$1:$D$1,0))</f>
        <v>0.92</v>
      </c>
    </row>
    <row r="48" customFormat="false" ht="14.25" hidden="false" customHeight="true" outlineLevel="0" collapsed="false">
      <c r="A48" s="1" t="n">
        <v>1961</v>
      </c>
      <c r="B48" s="1" t="n">
        <v>32.81</v>
      </c>
      <c r="C48" s="1" t="n">
        <v>35.31</v>
      </c>
      <c r="D48" s="1" t="n">
        <v>0.93</v>
      </c>
      <c r="E48" s="1" t="n">
        <f aca="false">INDEX($B48:$D48,MATCH(Dashboard!$D$4,$B$1:$D$1,0))</f>
        <v>0.93</v>
      </c>
    </row>
    <row r="49" customFormat="false" ht="14.25" hidden="false" customHeight="true" outlineLevel="0" collapsed="false">
      <c r="A49" s="1" t="n">
        <v>1962</v>
      </c>
      <c r="B49" s="1" t="n">
        <v>32.42</v>
      </c>
      <c r="C49" s="1" t="n">
        <v>35.31</v>
      </c>
      <c r="D49" s="1" t="n">
        <v>1.09</v>
      </c>
      <c r="E49" s="1" t="n">
        <f aca="false">INDEX($B49:$D49,MATCH(Dashboard!$D$4,$B$1:$D$1,0))</f>
        <v>1.09</v>
      </c>
    </row>
    <row r="50" customFormat="false" ht="14.25" hidden="false" customHeight="true" outlineLevel="0" collapsed="false">
      <c r="A50" s="1" t="n">
        <v>1963</v>
      </c>
      <c r="B50" s="1" t="n">
        <v>32.03</v>
      </c>
      <c r="C50" s="1" t="n">
        <v>35.31</v>
      </c>
      <c r="D50" s="1" t="n">
        <v>1.29</v>
      </c>
      <c r="E50" s="1" t="n">
        <f aca="false">INDEX($B50:$D50,MATCH(Dashboard!$D$4,$B$1:$D$1,0))</f>
        <v>1.29</v>
      </c>
    </row>
    <row r="51" customFormat="false" ht="14.25" hidden="false" customHeight="true" outlineLevel="0" collapsed="false">
      <c r="A51" s="1" t="n">
        <v>1964</v>
      </c>
      <c r="B51" s="1" t="n">
        <v>31.35</v>
      </c>
      <c r="C51" s="1" t="n">
        <v>35.31</v>
      </c>
      <c r="D51" s="1" t="n">
        <v>1.3</v>
      </c>
      <c r="E51" s="1" t="n">
        <f aca="false">INDEX($B51:$D51,MATCH(Dashboard!$D$4,$B$1:$D$1,0))</f>
        <v>1.3</v>
      </c>
    </row>
    <row r="52" customFormat="false" ht="14.25" hidden="false" customHeight="true" outlineLevel="0" collapsed="false">
      <c r="A52" s="1" t="n">
        <v>1965</v>
      </c>
      <c r="B52" s="1" t="n">
        <v>30.6</v>
      </c>
      <c r="C52" s="1" t="n">
        <v>35.31</v>
      </c>
      <c r="D52" s="1" t="n">
        <v>1.3</v>
      </c>
      <c r="E52" s="1" t="n">
        <f aca="false">INDEX($B52:$D52,MATCH(Dashboard!$D$4,$B$1:$D$1,0))</f>
        <v>1.3</v>
      </c>
    </row>
    <row r="53" customFormat="false" ht="14.25" hidden="false" customHeight="true" outlineLevel="0" collapsed="false">
      <c r="A53" s="1" t="n">
        <v>1966</v>
      </c>
      <c r="B53" s="1" t="n">
        <v>29.88</v>
      </c>
      <c r="C53" s="1" t="n">
        <v>35.31</v>
      </c>
      <c r="D53" s="1" t="n">
        <v>1.3</v>
      </c>
      <c r="E53" s="1" t="n">
        <f aca="false">INDEX($B53:$D53,MATCH(Dashboard!$D$4,$B$1:$D$1,0))</f>
        <v>1.3</v>
      </c>
    </row>
    <row r="54" customFormat="false" ht="14.25" hidden="false" customHeight="true" outlineLevel="0" collapsed="false">
      <c r="A54" s="1" t="n">
        <v>1967</v>
      </c>
      <c r="B54" s="1" t="n">
        <v>29.96</v>
      </c>
      <c r="C54" s="1" t="n">
        <v>35.31</v>
      </c>
      <c r="D54" s="1" t="n">
        <v>1.66</v>
      </c>
      <c r="E54" s="1" t="n">
        <f aca="false">INDEX($B54:$D54,MATCH(Dashboard!$D$4,$B$1:$D$1,0))</f>
        <v>1.66</v>
      </c>
    </row>
    <row r="55" customFormat="false" ht="14.25" hidden="false" customHeight="true" outlineLevel="0" collapsed="false">
      <c r="A55" s="1" t="n">
        <v>1968</v>
      </c>
      <c r="B55" s="1" t="n">
        <v>29.15</v>
      </c>
      <c r="C55" s="1" t="n">
        <v>40.2</v>
      </c>
      <c r="D55" s="1" t="n">
        <v>2.19</v>
      </c>
      <c r="E55" s="1" t="n">
        <f aca="false">INDEX($B55:$D55,MATCH(Dashboard!$D$4,$B$1:$D$1,0))</f>
        <v>2.19</v>
      </c>
    </row>
    <row r="56" customFormat="false" ht="14.25" hidden="false" customHeight="true" outlineLevel="0" collapsed="false">
      <c r="A56" s="1" t="n">
        <v>1969</v>
      </c>
      <c r="B56" s="1" t="n">
        <v>29.66</v>
      </c>
      <c r="C56" s="1" t="n">
        <v>40.84</v>
      </c>
      <c r="D56" s="1" t="n">
        <v>1.8</v>
      </c>
      <c r="E56" s="1" t="n">
        <f aca="false">INDEX($B56:$D56,MATCH(Dashboard!$D$4,$B$1:$D$1,0))</f>
        <v>1.8</v>
      </c>
    </row>
    <row r="57" customFormat="false" ht="14.25" hidden="false" customHeight="true" outlineLevel="0" collapsed="false">
      <c r="A57" s="1" t="n">
        <v>1970</v>
      </c>
      <c r="B57" s="1" t="n">
        <v>28.5</v>
      </c>
      <c r="C57" s="1" t="n">
        <v>35.99</v>
      </c>
      <c r="D57" s="1" t="n">
        <v>1.75</v>
      </c>
      <c r="E57" s="1" t="n">
        <f aca="false">INDEX($B57:$D57,MATCH(Dashboard!$D$4,$B$1:$D$1,0))</f>
        <v>1.75</v>
      </c>
    </row>
    <row r="58" customFormat="false" ht="14.25" hidden="false" customHeight="true" outlineLevel="0" collapsed="false">
      <c r="A58" s="1" t="n">
        <v>1971</v>
      </c>
      <c r="B58" s="1" t="n">
        <v>29.03</v>
      </c>
      <c r="C58" s="1" t="n">
        <v>40.97</v>
      </c>
      <c r="D58" s="1" t="n">
        <v>1.52</v>
      </c>
      <c r="E58" s="1" t="n">
        <f aca="false">INDEX($B58:$D58,MATCH(Dashboard!$D$4,$B$1:$D$1,0))</f>
        <v>1.52</v>
      </c>
    </row>
    <row r="59" customFormat="false" ht="14.25" hidden="false" customHeight="true" outlineLevel="0" collapsed="false">
      <c r="A59" s="1" t="n">
        <v>1972</v>
      </c>
      <c r="B59" s="1" t="n">
        <v>28.12</v>
      </c>
      <c r="C59" s="1" t="n">
        <v>59.1</v>
      </c>
      <c r="D59" s="1" t="n">
        <v>1.7</v>
      </c>
      <c r="E59" s="1" t="n">
        <f aca="false">INDEX($B59:$D59,MATCH(Dashboard!$D$4,$B$1:$D$1,0))</f>
        <v>1.7</v>
      </c>
    </row>
    <row r="60" customFormat="false" ht="14.25" hidden="false" customHeight="true" outlineLevel="0" collapsed="false">
      <c r="A60" s="1" t="n">
        <v>1973</v>
      </c>
      <c r="B60" s="1" t="n">
        <v>28.76</v>
      </c>
      <c r="C60" s="1" t="n">
        <v>99.95</v>
      </c>
      <c r="D60" s="1" t="n">
        <v>2.59</v>
      </c>
      <c r="E60" s="1" t="n">
        <f aca="false">INDEX($B60:$D60,MATCH(Dashboard!$D$4,$B$1:$D$1,0))</f>
        <v>2.59</v>
      </c>
    </row>
    <row r="61" customFormat="false" ht="14.25" hidden="false" customHeight="true" outlineLevel="0" collapsed="false">
      <c r="A61" s="1" t="n">
        <v>1974</v>
      </c>
      <c r="B61" s="1" t="n">
        <v>69.47</v>
      </c>
      <c r="C61" s="1" t="n">
        <v>161.68</v>
      </c>
      <c r="D61" s="1" t="n">
        <v>4.75</v>
      </c>
      <c r="E61" s="1" t="n">
        <f aca="false">INDEX($B61:$D61,MATCH(Dashboard!$D$4,$B$1:$D$1,0))</f>
        <v>4.75</v>
      </c>
    </row>
    <row r="62" customFormat="false" ht="14.25" hidden="false" customHeight="true" outlineLevel="0" collapsed="false">
      <c r="A62" s="1" t="n">
        <v>1975</v>
      </c>
      <c r="B62" s="1" t="n">
        <v>68.5</v>
      </c>
      <c r="C62" s="1" t="n">
        <v>160.41</v>
      </c>
      <c r="D62" s="1" t="n">
        <v>4.42</v>
      </c>
      <c r="E62" s="1" t="n">
        <f aca="false">INDEX($B62:$D62,MATCH(Dashboard!$D$4,$B$1:$D$1,0))</f>
        <v>4.42</v>
      </c>
    </row>
    <row r="63" customFormat="false" ht="14.25" hidden="false" customHeight="true" outlineLevel="0" collapsed="false">
      <c r="A63" s="1" t="n">
        <v>1976</v>
      </c>
      <c r="B63" s="1" t="n">
        <v>73.32</v>
      </c>
      <c r="C63" s="1" t="n">
        <v>123.79</v>
      </c>
      <c r="D63" s="1" t="n">
        <v>4.34</v>
      </c>
      <c r="E63" s="1" t="n">
        <f aca="false">INDEX($B63:$D63,MATCH(Dashboard!$D$4,$B$1:$D$1,0))</f>
        <v>4.34</v>
      </c>
    </row>
    <row r="64" customFormat="false" ht="14.25" hidden="false" customHeight="true" outlineLevel="0" collapsed="false">
      <c r="A64" s="1" t="n">
        <v>1977</v>
      </c>
      <c r="B64" s="1" t="n">
        <v>77.88</v>
      </c>
      <c r="C64" s="1" t="n">
        <v>148.95</v>
      </c>
      <c r="D64" s="1" t="n">
        <v>4.65</v>
      </c>
      <c r="E64" s="1" t="n">
        <f aca="false">INDEX($B64:$D64,MATCH(Dashboard!$D$4,$B$1:$D$1,0))</f>
        <v>4.65</v>
      </c>
    </row>
    <row r="65" customFormat="false" ht="14.25" hidden="false" customHeight="true" outlineLevel="0" collapsed="false">
      <c r="A65" s="1" t="n">
        <v>1978</v>
      </c>
      <c r="B65" s="1" t="n">
        <v>75.22</v>
      </c>
      <c r="C65" s="1" t="n">
        <v>196.8</v>
      </c>
      <c r="D65" s="1" t="n">
        <v>5.5</v>
      </c>
      <c r="E65" s="1" t="n">
        <f aca="false">INDEX($B65:$D65,MATCH(Dashboard!$D$4,$B$1:$D$1,0))</f>
        <v>5.5</v>
      </c>
    </row>
    <row r="66" customFormat="false" ht="14.25" hidden="false" customHeight="true" outlineLevel="0" collapsed="false">
      <c r="A66" s="1" t="n">
        <v>1979</v>
      </c>
      <c r="B66" s="1" t="n">
        <v>101.05</v>
      </c>
      <c r="C66" s="1" t="n">
        <v>320.97</v>
      </c>
      <c r="D66" s="1" t="n">
        <v>12.52</v>
      </c>
      <c r="E66" s="1" t="n">
        <f aca="false">INDEX($B66:$D66,MATCH(Dashboard!$D$4,$B$1:$D$1,0))</f>
        <v>12.52</v>
      </c>
    </row>
    <row r="67" customFormat="false" ht="14.25" hidden="false" customHeight="true" outlineLevel="0" collapsed="false">
      <c r="A67" s="1" t="n">
        <v>1980</v>
      </c>
      <c r="B67" s="1" t="n">
        <v>149.86</v>
      </c>
      <c r="C67" s="1" t="n">
        <v>607.76</v>
      </c>
      <c r="D67" s="1" t="n">
        <v>19.48</v>
      </c>
      <c r="E67" s="1" t="n">
        <f aca="false">INDEX($B67:$D67,MATCH(Dashboard!$D$4,$B$1:$D$1,0))</f>
        <v>19.48</v>
      </c>
    </row>
    <row r="68" customFormat="false" ht="14.25" hidden="false" customHeight="true" outlineLevel="0" collapsed="false">
      <c r="A68" s="1" t="n">
        <v>1981</v>
      </c>
      <c r="B68" s="1" t="n">
        <v>133.35</v>
      </c>
      <c r="C68" s="1" t="n">
        <v>449.58</v>
      </c>
      <c r="D68" s="1" t="n">
        <v>10.01</v>
      </c>
      <c r="E68" s="1" t="n">
        <f aca="false">INDEX($B68:$D68,MATCH(Dashboard!$D$4,$B$1:$D$1,0))</f>
        <v>10.01</v>
      </c>
    </row>
    <row r="69" customFormat="false" ht="14.25" hidden="false" customHeight="true" outlineLevel="0" collapsed="false">
      <c r="A69" s="1" t="n">
        <v>1982</v>
      </c>
      <c r="B69" s="1" t="n">
        <v>115.07</v>
      </c>
      <c r="C69" s="1" t="n">
        <v>376.11</v>
      </c>
      <c r="D69" s="1" t="n">
        <v>7.93</v>
      </c>
      <c r="E69" s="1" t="n">
        <f aca="false">INDEX($B69:$D69,MATCH(Dashboard!$D$4,$B$1:$D$1,0))</f>
        <v>7.93</v>
      </c>
    </row>
    <row r="70" customFormat="false" ht="14.25" hidden="false" customHeight="true" outlineLevel="0" collapsed="false">
      <c r="A70" s="1" t="n">
        <v>1983</v>
      </c>
      <c r="B70" s="1" t="n">
        <v>100.81</v>
      </c>
      <c r="C70" s="1" t="n">
        <v>419.4</v>
      </c>
      <c r="D70" s="1" t="n">
        <v>11.33</v>
      </c>
      <c r="E70" s="1" t="n">
        <f aca="false">INDEX($B70:$D70,MATCH(Dashboard!$D$4,$B$1:$D$1,0))</f>
        <v>11.33</v>
      </c>
    </row>
    <row r="71" customFormat="false" ht="14.25" hidden="false" customHeight="true" outlineLevel="0" collapsed="false">
      <c r="A71" s="1" t="n">
        <v>1984</v>
      </c>
      <c r="B71" s="1" t="n">
        <v>93</v>
      </c>
      <c r="C71" s="1" t="n">
        <v>358.12</v>
      </c>
      <c r="D71" s="1" t="n">
        <v>8.06</v>
      </c>
      <c r="E71" s="1" t="n">
        <f aca="false">INDEX($B71:$D71,MATCH(Dashboard!$D$4,$B$1:$D$1,0))</f>
        <v>8.06</v>
      </c>
    </row>
    <row r="72" customFormat="false" ht="14.25" hidden="false" customHeight="true" outlineLevel="0" collapsed="false">
      <c r="A72" s="1" t="n">
        <v>1985</v>
      </c>
      <c r="B72" s="1" t="n">
        <v>85.56</v>
      </c>
      <c r="C72" s="1" t="n">
        <v>320.83</v>
      </c>
      <c r="D72" s="1" t="n">
        <v>6.16</v>
      </c>
      <c r="E72" s="1" t="n">
        <f aca="false">INDEX($B72:$D72,MATCH(Dashboard!$D$4,$B$1:$D$1,0))</f>
        <v>6.16</v>
      </c>
    </row>
    <row r="73" customFormat="false" ht="14.25" hidden="false" customHeight="true" outlineLevel="0" collapsed="false">
      <c r="A73" s="1" t="n">
        <v>1986</v>
      </c>
      <c r="B73" s="1" t="n">
        <v>43.4</v>
      </c>
      <c r="C73" s="1" t="n">
        <v>368.22</v>
      </c>
      <c r="D73" s="1" t="n">
        <v>5.4</v>
      </c>
      <c r="E73" s="1" t="n">
        <f aca="false">INDEX($B73:$D73,MATCH(Dashboard!$D$4,$B$1:$D$1,0))</f>
        <v>5.4</v>
      </c>
    </row>
    <row r="74" customFormat="false" ht="14.25" hidden="false" customHeight="true" outlineLevel="0" collapsed="false">
      <c r="A74" s="1" t="n">
        <v>1987</v>
      </c>
      <c r="B74" s="1" t="n">
        <v>55.3</v>
      </c>
      <c r="C74" s="1" t="n">
        <v>451.09</v>
      </c>
      <c r="D74" s="1" t="n">
        <v>7.05</v>
      </c>
      <c r="E74" s="1" t="n">
        <f aca="false">INDEX($B74:$D74,MATCH(Dashboard!$D$4,$B$1:$D$1,0))</f>
        <v>7.05</v>
      </c>
    </row>
    <row r="75" customFormat="false" ht="14.25" hidden="false" customHeight="true" outlineLevel="0" collapsed="false">
      <c r="A75" s="1" t="n">
        <v>1988</v>
      </c>
      <c r="B75" s="1" t="n">
        <v>44.68</v>
      </c>
      <c r="C75" s="1" t="n">
        <v>432.21</v>
      </c>
      <c r="D75" s="1" t="n">
        <v>6.42</v>
      </c>
      <c r="E75" s="1" t="n">
        <f aca="false">INDEX($B75:$D75,MATCH(Dashboard!$D$4,$B$1:$D$1,0))</f>
        <v>6.42</v>
      </c>
    </row>
    <row r="76" customFormat="false" ht="14.25" hidden="false" customHeight="true" outlineLevel="0" collapsed="false">
      <c r="A76" s="1" t="n">
        <v>1989</v>
      </c>
      <c r="B76" s="1" t="n">
        <v>52.14</v>
      </c>
      <c r="C76" s="1" t="n">
        <v>380.12</v>
      </c>
      <c r="D76" s="1" t="n">
        <v>5.42</v>
      </c>
      <c r="E76" s="1" t="n">
        <f aca="false">INDEX($B76:$D76,MATCH(Dashboard!$D$4,$B$1:$D$1,0))</f>
        <v>5.42</v>
      </c>
    </row>
    <row r="77" customFormat="false" ht="14.25" hidden="false" customHeight="true" outlineLevel="0" collapsed="false">
      <c r="A77" s="1" t="n">
        <v>1990</v>
      </c>
      <c r="B77" s="1" t="n">
        <v>62.56</v>
      </c>
      <c r="C77" s="1" t="n">
        <v>383.9</v>
      </c>
      <c r="D77" s="1" t="n">
        <v>4.76</v>
      </c>
      <c r="E77" s="1" t="n">
        <f aca="false">INDEX($B77:$D77,MATCH(Dashboard!$D$4,$B$1:$D$1,0))</f>
        <v>4.76</v>
      </c>
    </row>
    <row r="78" customFormat="false" ht="14.25" hidden="false" customHeight="true" outlineLevel="0" collapsed="false">
      <c r="A78" s="1" t="n">
        <v>1991</v>
      </c>
      <c r="B78" s="1" t="n">
        <v>51.25</v>
      </c>
      <c r="C78" s="1" t="n">
        <v>358.94</v>
      </c>
      <c r="D78" s="1" t="n">
        <v>3.99</v>
      </c>
      <c r="E78" s="1" t="n">
        <f aca="false">INDEX($B78:$D78,MATCH(Dashboard!$D$4,$B$1:$D$1,0))</f>
        <v>3.99</v>
      </c>
    </row>
    <row r="79" customFormat="false" ht="14.25" hidden="false" customHeight="true" outlineLevel="0" collapsed="false">
      <c r="A79" s="1" t="n">
        <v>1992</v>
      </c>
      <c r="B79" s="1" t="n">
        <v>48.47</v>
      </c>
      <c r="C79" s="1" t="n">
        <v>343.23</v>
      </c>
      <c r="D79" s="1" t="n">
        <v>3.92</v>
      </c>
      <c r="E79" s="1" t="n">
        <f aca="false">INDEX($B79:$D79,MATCH(Dashboard!$D$4,$B$1:$D$1,0))</f>
        <v>3.92</v>
      </c>
    </row>
    <row r="80" customFormat="false" ht="14.25" hidden="false" customHeight="true" outlineLevel="0" collapsed="false">
      <c r="A80" s="1" t="n">
        <v>1993</v>
      </c>
      <c r="B80" s="1" t="n">
        <v>42.33</v>
      </c>
      <c r="C80" s="1" t="n">
        <v>363.95</v>
      </c>
      <c r="D80" s="1" t="n">
        <v>4.41</v>
      </c>
      <c r="E80" s="1" t="n">
        <f aca="false">INDEX($B80:$D80,MATCH(Dashboard!$D$4,$B$1:$D$1,0))</f>
        <v>4.41</v>
      </c>
    </row>
    <row r="81" customFormat="false" ht="14.25" hidden="false" customHeight="true" outlineLevel="0" collapsed="false">
      <c r="A81" s="1" t="n">
        <v>1994</v>
      </c>
      <c r="B81" s="1" t="n">
        <v>38.85</v>
      </c>
      <c r="C81" s="1" t="n">
        <v>384.64</v>
      </c>
      <c r="D81" s="1" t="n">
        <v>5.3</v>
      </c>
      <c r="E81" s="1" t="n">
        <f aca="false">INDEX($B81:$D81,MATCH(Dashboard!$D$4,$B$1:$D$1,0))</f>
        <v>5.3</v>
      </c>
    </row>
    <row r="82" customFormat="false" ht="14.25" hidden="false" customHeight="true" outlineLevel="0" collapsed="false">
      <c r="A82" s="1" t="n">
        <v>1995</v>
      </c>
      <c r="B82" s="1" t="n">
        <v>39.97</v>
      </c>
      <c r="C82" s="1" t="n">
        <v>383.76</v>
      </c>
      <c r="D82" s="1" t="n">
        <v>5.2</v>
      </c>
      <c r="E82" s="1" t="n">
        <f aca="false">INDEX($B82:$D82,MATCH(Dashboard!$D$4,$B$1:$D$1,0))</f>
        <v>5.2</v>
      </c>
    </row>
    <row r="83" customFormat="false" ht="14.25" hidden="false" customHeight="true" outlineLevel="0" collapsed="false">
      <c r="A83" s="1" t="n">
        <v>1996</v>
      </c>
      <c r="B83" s="1" t="n">
        <v>45.61</v>
      </c>
      <c r="C83" s="1" t="n">
        <v>386.25</v>
      </c>
      <c r="D83" s="1" t="n">
        <v>5.15</v>
      </c>
      <c r="E83" s="1" t="n">
        <f aca="false">INDEX($B83:$D83,MATCH(Dashboard!$D$4,$B$1:$D$1,0))</f>
        <v>5.15</v>
      </c>
    </row>
    <row r="84" customFormat="false" ht="14.25" hidden="false" customHeight="true" outlineLevel="0" collapsed="false">
      <c r="A84" s="1" t="n">
        <v>1997</v>
      </c>
      <c r="B84" s="1" t="n">
        <v>41.95</v>
      </c>
      <c r="C84" s="1" t="n">
        <v>329.33</v>
      </c>
      <c r="D84" s="1" t="n">
        <v>5</v>
      </c>
      <c r="E84" s="1" t="n">
        <f aca="false">INDEX($B84:$D84,MATCH(Dashboard!$D$4,$B$1:$D$1,0))</f>
        <v>5</v>
      </c>
    </row>
    <row r="85" customFormat="false" ht="14.25" hidden="false" customHeight="true" outlineLevel="0" collapsed="false">
      <c r="A85" s="1" t="n">
        <v>1998</v>
      </c>
      <c r="B85" s="1" t="n">
        <v>29.59</v>
      </c>
      <c r="C85" s="1" t="n">
        <v>294.19</v>
      </c>
      <c r="D85" s="1" t="n">
        <v>5.5</v>
      </c>
      <c r="E85" s="1" t="n">
        <f aca="false">INDEX($B85:$D85,MATCH(Dashboard!$D$4,$B$1:$D$1,0))</f>
        <v>5.5</v>
      </c>
    </row>
    <row r="86" customFormat="false" ht="14.25" hidden="false" customHeight="true" outlineLevel="0" collapsed="false">
      <c r="A86" s="1" t="n">
        <v>1999</v>
      </c>
      <c r="B86" s="1" t="n">
        <v>38.97</v>
      </c>
      <c r="C86" s="1" t="n">
        <v>280.6</v>
      </c>
      <c r="D86" s="1" t="n">
        <v>5.28</v>
      </c>
      <c r="E86" s="1" t="n">
        <f aca="false">INDEX($B86:$D86,MATCH(Dashboard!$D$4,$B$1:$D$1,0))</f>
        <v>5.28</v>
      </c>
    </row>
    <row r="87" customFormat="false" ht="14.25" hidden="false" customHeight="true" outlineLevel="0" collapsed="false">
      <c r="A87" s="1" t="n">
        <v>2000</v>
      </c>
      <c r="B87" s="1" t="n">
        <v>57</v>
      </c>
      <c r="C87" s="1" t="n">
        <v>276.68</v>
      </c>
      <c r="D87" s="1" t="n">
        <v>4.9</v>
      </c>
      <c r="E87" s="1" t="n">
        <f aca="false">INDEX($B87:$D87,MATCH(Dashboard!$D$4,$B$1:$D$1,0))</f>
        <v>4.9</v>
      </c>
    </row>
    <row r="88" customFormat="false" ht="14.25" hidden="false" customHeight="true" outlineLevel="0" collapsed="false">
      <c r="A88" s="1" t="n">
        <v>2001</v>
      </c>
      <c r="B88" s="1" t="n">
        <v>47.1</v>
      </c>
      <c r="C88" s="1" t="n">
        <v>271.13</v>
      </c>
      <c r="D88" s="1" t="n">
        <v>4.39</v>
      </c>
      <c r="E88" s="1" t="n">
        <f aca="false">INDEX($B88:$D88,MATCH(Dashboard!$D$4,$B$1:$D$1,0))</f>
        <v>4.39</v>
      </c>
    </row>
    <row r="89" customFormat="false" ht="14.25" hidden="false" customHeight="true" outlineLevel="0" collapsed="false">
      <c r="A89" s="1" t="n">
        <v>2002</v>
      </c>
      <c r="B89" s="1" t="n">
        <v>48.77</v>
      </c>
      <c r="C89" s="1" t="n">
        <v>312.86</v>
      </c>
      <c r="D89" s="1" t="n">
        <v>4.6</v>
      </c>
      <c r="E89" s="1" t="n">
        <f aca="false">INDEX($B89:$D89,MATCH(Dashboard!$D$4,$B$1:$D$1,0))</f>
        <v>4.6</v>
      </c>
    </row>
    <row r="90" customFormat="false" ht="14.25" hidden="false" customHeight="true" outlineLevel="0" collapsed="false">
      <c r="A90" s="1" t="n">
        <v>2003</v>
      </c>
      <c r="B90" s="1" t="n">
        <v>55.48</v>
      </c>
      <c r="C90" s="1" t="n">
        <v>367.62</v>
      </c>
      <c r="D90" s="1" t="n">
        <v>4.95</v>
      </c>
      <c r="E90" s="1" t="n">
        <f aca="false">INDEX($B90:$D90,MATCH(Dashboard!$D$4,$B$1:$D$1,0))</f>
        <v>4.95</v>
      </c>
    </row>
    <row r="91" customFormat="false" ht="14.25" hidden="false" customHeight="true" outlineLevel="0" collapsed="false">
      <c r="A91" s="1" t="n">
        <v>2004</v>
      </c>
      <c r="B91" s="1" t="n">
        <v>72.61</v>
      </c>
      <c r="C91" s="1" t="n">
        <v>409.81</v>
      </c>
      <c r="D91" s="1" t="n">
        <v>6.69</v>
      </c>
      <c r="E91" s="1" t="n">
        <f aca="false">INDEX($B91:$D91,MATCH(Dashboard!$D$4,$B$1:$D$1,0))</f>
        <v>6.69</v>
      </c>
    </row>
    <row r="92" customFormat="false" ht="14.25" hidden="false" customHeight="true" outlineLevel="0" collapsed="false">
      <c r="A92" s="1" t="n">
        <v>2005</v>
      </c>
      <c r="B92" s="1" t="n">
        <v>96.72</v>
      </c>
      <c r="C92" s="1" t="n">
        <v>448.98</v>
      </c>
      <c r="D92" s="1" t="n">
        <v>7.39</v>
      </c>
      <c r="E92" s="1" t="n">
        <f aca="false">INDEX($B92:$D92,MATCH(Dashboard!$D$4,$B$1:$D$1,0))</f>
        <v>7.39</v>
      </c>
    </row>
    <row r="93" customFormat="false" ht="14.25" hidden="false" customHeight="true" outlineLevel="0" collapsed="false">
      <c r="A93" s="1" t="n">
        <v>2006</v>
      </c>
      <c r="B93" s="1" t="n">
        <v>109.59</v>
      </c>
      <c r="C93" s="1" t="n">
        <v>611.54</v>
      </c>
      <c r="D93" s="1" t="n">
        <v>11.83</v>
      </c>
      <c r="E93" s="1" t="n">
        <f aca="false">INDEX($B93:$D93,MATCH(Dashboard!$D$4,$B$1:$D$1,0))</f>
        <v>11.83</v>
      </c>
    </row>
    <row r="94" customFormat="false" ht="14.25" hidden="false" customHeight="true" outlineLevel="0" collapsed="false">
      <c r="A94" s="1" t="n">
        <v>2007</v>
      </c>
      <c r="B94" s="1" t="n">
        <v>119.1</v>
      </c>
      <c r="C94" s="1" t="n">
        <v>704.68</v>
      </c>
      <c r="D94" s="1" t="n">
        <v>13.51</v>
      </c>
      <c r="E94" s="1" t="n">
        <f aca="false">INDEX($B94:$D94,MATCH(Dashboard!$D$4,$B$1:$D$1,0))</f>
        <v>13.51</v>
      </c>
    </row>
    <row r="95" customFormat="false" ht="14.25" hidden="false" customHeight="true" outlineLevel="0" collapsed="false">
      <c r="A95" s="1" t="n">
        <v>2008</v>
      </c>
      <c r="B95" s="1" t="n">
        <v>150.96</v>
      </c>
      <c r="C95" s="1" t="n">
        <v>880.21</v>
      </c>
      <c r="D95" s="1" t="n">
        <v>14.98</v>
      </c>
      <c r="E95" s="1" t="n">
        <f aca="false">INDEX($B95:$D95,MATCH(Dashboard!$D$4,$B$1:$D$1,0))</f>
        <v>14.98</v>
      </c>
    </row>
    <row r="96" customFormat="false" ht="14.25" hidden="false" customHeight="true" outlineLevel="0" collapsed="false">
      <c r="A96" s="1" t="n">
        <v>2009</v>
      </c>
      <c r="B96" s="1" t="n">
        <v>98.01</v>
      </c>
      <c r="C96" s="1" t="n">
        <v>982.65</v>
      </c>
      <c r="D96" s="1" t="n">
        <v>14.77</v>
      </c>
      <c r="E96" s="1" t="n">
        <f aca="false">INDEX($B96:$D96,MATCH(Dashboard!$D$4,$B$1:$D$1,0))</f>
        <v>14.77</v>
      </c>
    </row>
    <row r="97" customFormat="false" ht="14.25" hidden="false" customHeight="true" outlineLevel="0" collapsed="false">
      <c r="A97" s="1" t="n">
        <v>2010</v>
      </c>
      <c r="B97" s="1" t="n">
        <v>121.06</v>
      </c>
      <c r="C97" s="1" t="n">
        <v>1230.75</v>
      </c>
      <c r="D97" s="1" t="n">
        <v>20.51</v>
      </c>
      <c r="E97" s="1" t="n">
        <f aca="false">INDEX($B97:$D97,MATCH(Dashboard!$D$4,$B$1:$D$1,0))</f>
        <v>20.51</v>
      </c>
    </row>
    <row r="98" customFormat="false" ht="14.25" hidden="false" customHeight="true" outlineLevel="0" collapsed="false">
      <c r="A98" s="1" t="n">
        <v>2011</v>
      </c>
      <c r="B98" s="1" t="n">
        <v>142.12</v>
      </c>
      <c r="C98" s="1" t="n">
        <v>1567.96</v>
      </c>
      <c r="D98" s="1" t="n">
        <v>35.56</v>
      </c>
      <c r="E98" s="1" t="n">
        <f aca="false">INDEX($B98:$D98,MATCH(Dashboard!$D$4,$B$1:$D$1,0))</f>
        <v>35.56</v>
      </c>
    </row>
    <row r="99" customFormat="false" ht="14.25" hidden="false" customHeight="true" outlineLevel="0" collapsed="false">
      <c r="A99" s="1" t="n">
        <v>2012</v>
      </c>
      <c r="B99" s="1" t="n">
        <v>135.27</v>
      </c>
      <c r="C99" s="1" t="n">
        <v>1679.83</v>
      </c>
      <c r="D99" s="1" t="n">
        <v>31.63</v>
      </c>
      <c r="E99" s="1" t="n">
        <f aca="false">INDEX($B99:$D99,MATCH(Dashboard!$D$4,$B$1:$D$1,0))</f>
        <v>31.63</v>
      </c>
    </row>
    <row r="100" customFormat="false" ht="14.25" hidden="false" customHeight="true" outlineLevel="0" collapsed="false">
      <c r="A100" s="1" t="n">
        <v>2013</v>
      </c>
      <c r="B100" s="1" t="n">
        <v>138.3</v>
      </c>
      <c r="C100" s="1" t="n">
        <v>1399.56</v>
      </c>
      <c r="D100" s="1" t="n">
        <v>23.53</v>
      </c>
      <c r="E100" s="1" t="n">
        <f aca="false">INDEX($B100:$D100,MATCH(Dashboard!$D$4,$B$1:$D$1,0))</f>
        <v>23.53</v>
      </c>
    </row>
    <row r="101" customFormat="false" ht="14.25" hidden="false" customHeight="true" outlineLevel="0" collapsed="false">
      <c r="A101" s="1" t="n">
        <v>2014</v>
      </c>
      <c r="B101" s="1" t="n">
        <v>127.67</v>
      </c>
      <c r="C101" s="1" t="n">
        <v>1256.25</v>
      </c>
      <c r="D101" s="1" t="n">
        <v>18.76</v>
      </c>
      <c r="E101" s="1" t="n">
        <f aca="false">INDEX($B101:$D101,MATCH(Dashboard!$D$4,$B$1:$D$1,0))</f>
        <v>18.76</v>
      </c>
    </row>
    <row r="102" customFormat="false" ht="14.25" hidden="false" customHeight="true" outlineLevel="0" collapsed="false">
      <c r="A102" s="1" t="n">
        <v>2015</v>
      </c>
      <c r="B102" s="1" t="n">
        <v>68.52</v>
      </c>
      <c r="C102" s="1" t="n">
        <v>1151.95</v>
      </c>
      <c r="D102" s="1" t="n">
        <v>15.51</v>
      </c>
      <c r="E102" s="1" t="n">
        <f aca="false">INDEX($B102:$D102,MATCH(Dashboard!$D$4,$B$1:$D$1,0))</f>
        <v>15.51</v>
      </c>
    </row>
    <row r="103" customFormat="false" ht="14.25" hidden="false" customHeight="true" outlineLevel="0" collapsed="false">
      <c r="A103" s="1" t="n">
        <v>2016</v>
      </c>
      <c r="B103" s="1" t="n">
        <v>60.79</v>
      </c>
      <c r="C103" s="1" t="n">
        <v>1249.98</v>
      </c>
      <c r="D103" s="1" t="n">
        <v>17.13</v>
      </c>
      <c r="E103" s="1" t="n">
        <f aca="false">INDEX($B103:$D103,MATCH(Dashboard!$D$4,$B$1:$D$1,0))</f>
        <v>17.13</v>
      </c>
    </row>
    <row r="104" customFormat="false" ht="14.25" hidden="false" customHeight="true" outlineLevel="0" collapsed="false">
      <c r="A104" s="1" t="n">
        <v>2017</v>
      </c>
      <c r="B104" s="1" t="n">
        <v>69.85</v>
      </c>
      <c r="C104" s="1" t="n">
        <v>1269.34</v>
      </c>
      <c r="D104" s="1" t="n">
        <v>17.24</v>
      </c>
      <c r="E104" s="1" t="n">
        <f aca="false">INDEX($B104:$D104,MATCH(Dashboard!$D$4,$B$1:$D$1,0))</f>
        <v>17.24</v>
      </c>
    </row>
    <row r="105" customFormat="false" ht="14.25" hidden="false" customHeight="true" outlineLevel="0" collapsed="false">
      <c r="A105" s="1" t="n">
        <v>2018</v>
      </c>
      <c r="B105" s="1" t="n">
        <v>84.91</v>
      </c>
      <c r="C105" s="1" t="n">
        <v>1265.6</v>
      </c>
      <c r="D105" s="1" t="n">
        <v>15.64</v>
      </c>
      <c r="E105" s="1" t="n">
        <f aca="false">INDEX($B105:$D105,MATCH(Dashboard!$D$4,$B$1:$D$1,0))</f>
        <v>15.64</v>
      </c>
    </row>
    <row r="106" customFormat="false" ht="14.25" hidden="false" customHeight="true" outlineLevel="0" collapsed="false">
      <c r="A106" s="1" t="n">
        <v>2019</v>
      </c>
      <c r="B106" s="1" t="n">
        <v>74.03</v>
      </c>
      <c r="C106" s="1" t="n">
        <v>1405.32</v>
      </c>
      <c r="D106" s="1" t="n">
        <v>16.36</v>
      </c>
      <c r="E106" s="1" t="n">
        <f aca="false">INDEX($B106:$D106,MATCH(Dashboard!$D$4,$B$1:$D$1,0))</f>
        <v>16.36</v>
      </c>
    </row>
    <row r="107" customFormat="false" ht="14.25" hidden="false" customHeight="true" outlineLevel="0" collapsed="false">
      <c r="A107" s="1" t="n">
        <v>2020</v>
      </c>
      <c r="B107" s="1" t="n">
        <v>49.19</v>
      </c>
      <c r="C107" s="1" t="n">
        <v>1784.66</v>
      </c>
      <c r="D107" s="1" t="n">
        <v>20.8</v>
      </c>
      <c r="E107" s="1" t="n">
        <f aca="false">INDEX($B107:$D107,MATCH(Dashboard!$D$4,$B$1:$D$1,0))</f>
        <v>20.8</v>
      </c>
    </row>
    <row r="108" customFormat="false" ht="14.25" hidden="false" customHeight="true" outlineLevel="0" collapsed="false">
      <c r="A108" s="1" t="n">
        <v>2021</v>
      </c>
      <c r="B108" s="1" t="n">
        <v>83.02</v>
      </c>
      <c r="C108" s="1" t="n">
        <v>1792.73</v>
      </c>
      <c r="D108" s="1" t="n">
        <v>24.97</v>
      </c>
      <c r="E108" s="1" t="n">
        <f aca="false">INDEX($B108:$D108,MATCH(Dashboard!$D$4,$B$1:$D$1,0))</f>
        <v>24.97</v>
      </c>
    </row>
    <row r="109" customFormat="false" ht="14.25" hidden="false" customHeight="true" outlineLevel="0" collapsed="false">
      <c r="A109" s="1" t="n">
        <v>2022</v>
      </c>
      <c r="B109" s="1" t="n">
        <v>106.45</v>
      </c>
      <c r="C109" s="1" t="n">
        <v>1798.96</v>
      </c>
      <c r="D109" s="1" t="n">
        <v>21.67</v>
      </c>
      <c r="E109" s="1" t="n">
        <f aca="false">INDEX($B109:$D109,MATCH(Dashboard!$D$4,$B$1:$D$1,0))</f>
        <v>21.67</v>
      </c>
    </row>
    <row r="110" customFormat="false" ht="14.25" hidden="false" customHeight="true" outlineLevel="0" collapsed="false">
      <c r="A110" s="1" t="n">
        <v>2023</v>
      </c>
      <c r="B110" s="1" t="n">
        <v>84.19</v>
      </c>
      <c r="C110" s="1" t="n">
        <v>1953.69</v>
      </c>
      <c r="D110" s="1" t="n">
        <v>23.58</v>
      </c>
      <c r="E110" s="1" t="n">
        <f aca="false">INDEX($B110:$D110,MATCH(Dashboard!$D$4,$B$1:$D$1,0))</f>
        <v>23.58</v>
      </c>
    </row>
    <row r="111" customFormat="false" ht="14.25" hidden="false" customHeight="true" outlineLevel="0" collapsed="false">
      <c r="A111" s="1" t="n">
        <v>2024</v>
      </c>
      <c r="B111" s="1" t="n">
        <v>79.83</v>
      </c>
      <c r="C111" s="1" t="n">
        <v>2404.58</v>
      </c>
      <c r="D111" s="1" t="n">
        <v>28.13</v>
      </c>
      <c r="E111" s="1" t="n">
        <f aca="false">INDEX($B111:$D111,MATCH(Dashboard!$D$4,$B$1:$D$1,0))</f>
        <v>28.13</v>
      </c>
    </row>
    <row r="112" customFormat="false" ht="14.25" hidden="false" customHeight="true" outlineLevel="0" collapsed="false">
      <c r="A112" s="1" t="n">
        <v>2025</v>
      </c>
      <c r="B112" s="1" t="n">
        <v>65.93</v>
      </c>
      <c r="C112" s="1" t="n">
        <v>3472.54</v>
      </c>
      <c r="D112" s="1" t="n">
        <v>41.5</v>
      </c>
      <c r="E112" s="1" t="n">
        <f aca="false">INDEX($B112:$D112,MATCH(Dashboard!$D$4,$B$1:$D$1,0))</f>
        <v>41.5</v>
      </c>
    </row>
    <row r="113" customFormat="false" ht="14.25" hidden="false" customHeight="true" outlineLevel="0" collapsed="false">
      <c r="A113" s="1" t="n">
        <v>2026</v>
      </c>
      <c r="B113" s="1" t="n">
        <v>78.67</v>
      </c>
      <c r="C113" s="1" t="n">
        <v>4881.62</v>
      </c>
      <c r="D113" s="1" t="n">
        <v>96.08</v>
      </c>
      <c r="E113" s="1" t="n">
        <f aca="false">INDEX($B113:$D113,MATCH(Dashboard!$D$4,$B$1:$D$1,0))</f>
        <v>96.08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3" min="1" style="1" width="15"/>
  </cols>
  <sheetData>
    <row r="1" customFormat="false" ht="14.25" hidden="false" customHeight="true" outlineLevel="0" collapsed="false">
      <c r="A1" s="24" t="s">
        <v>55</v>
      </c>
      <c r="B1" s="24" t="s">
        <v>56</v>
      </c>
      <c r="C1" s="24" t="s">
        <v>57</v>
      </c>
    </row>
    <row r="2" customFormat="false" ht="14.25" hidden="false" customHeight="true" outlineLevel="0" collapsed="false">
      <c r="A2" s="1" t="n">
        <v>1</v>
      </c>
      <c r="B2" s="1" t="s">
        <v>58</v>
      </c>
      <c r="C2" s="1" t="n">
        <v>51.14</v>
      </c>
    </row>
    <row r="3" customFormat="false" ht="14.25" hidden="false" customHeight="true" outlineLevel="0" collapsed="false">
      <c r="A3" s="1" t="n">
        <v>2</v>
      </c>
      <c r="B3" s="1" t="s">
        <v>59</v>
      </c>
      <c r="C3" s="1" t="n">
        <v>21.3</v>
      </c>
    </row>
    <row r="4" customFormat="false" ht="14.25" hidden="false" customHeight="true" outlineLevel="0" collapsed="false">
      <c r="A4" s="1" t="n">
        <v>3</v>
      </c>
      <c r="B4" s="1" t="s">
        <v>60</v>
      </c>
      <c r="C4" s="1" t="n">
        <v>6.54</v>
      </c>
    </row>
    <row r="5" customFormat="false" ht="14.25" hidden="false" customHeight="true" outlineLevel="0" collapsed="false">
      <c r="A5" s="1" t="n">
        <v>4</v>
      </c>
      <c r="B5" s="1" t="s">
        <v>61</v>
      </c>
      <c r="C5" s="1" t="n">
        <v>3.53</v>
      </c>
    </row>
    <row r="6" customFormat="false" ht="14.25" hidden="false" customHeight="true" outlineLevel="0" collapsed="false">
      <c r="A6" s="1" t="n">
        <v>5</v>
      </c>
      <c r="B6" s="1" t="s">
        <v>62</v>
      </c>
      <c r="C6" s="1" t="n">
        <v>3.1</v>
      </c>
    </row>
    <row r="7" customFormat="false" ht="14.25" hidden="false" customHeight="true" outlineLevel="0" collapsed="false">
      <c r="A7" s="1" t="n">
        <v>6</v>
      </c>
      <c r="B7" s="1" t="s">
        <v>63</v>
      </c>
      <c r="C7" s="1" t="n">
        <v>3.03</v>
      </c>
    </row>
    <row r="8" customFormat="false" ht="14.25" hidden="false" customHeight="true" outlineLevel="0" collapsed="false">
      <c r="A8" s="1" t="n">
        <v>7</v>
      </c>
      <c r="B8" s="1" t="s">
        <v>64</v>
      </c>
      <c r="C8" s="1" t="n">
        <v>1.76</v>
      </c>
    </row>
    <row r="9" customFormat="false" ht="14.25" hidden="false" customHeight="true" outlineLevel="0" collapsed="false">
      <c r="A9" s="1" t="n">
        <v>8</v>
      </c>
      <c r="B9" s="1" t="s">
        <v>65</v>
      </c>
      <c r="C9" s="1" t="n">
        <v>1.61</v>
      </c>
    </row>
    <row r="10" customFormat="false" ht="14.25" hidden="false" customHeight="true" outlineLevel="0" collapsed="false">
      <c r="A10" s="1" t="n">
        <v>9</v>
      </c>
      <c r="B10" s="1" t="s">
        <v>66</v>
      </c>
      <c r="C10" s="1" t="n">
        <v>1.23</v>
      </c>
    </row>
    <row r="11" customFormat="false" ht="14.25" hidden="false" customHeight="true" outlineLevel="0" collapsed="false">
      <c r="A11" s="1" t="n">
        <v>10</v>
      </c>
      <c r="B11" s="1" t="s">
        <v>67</v>
      </c>
      <c r="C11" s="1" t="n">
        <v>1.07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6796875" defaultRowHeight="14.25" zeroHeight="false" outlineLevelRow="0" outlineLevelCol="0"/>
  <cols>
    <col collapsed="false" customWidth="true" hidden="false" outlineLevel="0" max="8" min="1" style="1" width="14"/>
  </cols>
  <sheetData>
    <row r="1" customFormat="false" ht="14.25" hidden="false" customHeight="true" outlineLevel="0" collapsed="false">
      <c r="A1" s="27" t="s">
        <v>39</v>
      </c>
      <c r="B1" s="27" t="s">
        <v>68</v>
      </c>
      <c r="C1" s="27" t="s">
        <v>69</v>
      </c>
      <c r="D1" s="27" t="s">
        <v>70</v>
      </c>
      <c r="E1" s="27" t="s">
        <v>71</v>
      </c>
      <c r="F1" s="27" t="s">
        <v>72</v>
      </c>
      <c r="G1" s="27" t="s">
        <v>73</v>
      </c>
      <c r="H1" s="27" t="s">
        <v>74</v>
      </c>
      <c r="I1" s="27" t="s">
        <v>75</v>
      </c>
    </row>
    <row r="2" customFormat="false" ht="14.25" hidden="false" customHeight="true" outlineLevel="0" collapsed="false">
      <c r="A2" s="1" t="s">
        <v>13</v>
      </c>
      <c r="B2" s="1" t="n">
        <f aca="false">SUMIFS(Data_Monthly!$F$2:$F$3636,Data_Monthly!$E$2:$E$3636,$A2,Data_Monthly!$A$2:$A$3636,$I2)</f>
        <v>102.86</v>
      </c>
      <c r="C2" s="1" t="n">
        <f aca="false">AVERAGEIFS(Data_Monthly!$F$2:$F$3636,Data_Monthly!$E$2:$E$3636,$A2)</f>
        <v>62.7094704049844</v>
      </c>
      <c r="D2" s="1" t="n">
        <f aca="false">B2/C2-1</f>
        <v>0.640262616407366</v>
      </c>
      <c r="E2" s="1" t="n">
        <f aca="false">_xlfn.MAXIFS(Data_Monthly!$F$2:$F$3636,Data_Monthly!$E$2:$E$3636,$A2)</f>
        <v>211.21</v>
      </c>
      <c r="F2" s="1" t="n">
        <f aca="false">_xlfn.MINIFS(Data_Monthly!$B$2:$B$3636,Data_Monthly!$E$2:$E$3636,$A2,Data_Monthly!$F$2:$F$3636,E2)</f>
        <v>2008</v>
      </c>
      <c r="G2" s="1" t="n">
        <f aca="false">_xlfn.MINIFS(Data_Monthly!$F$2:$F$3636,Data_Monthly!$E$2:$E$3636,$A2)</f>
        <v>21.11</v>
      </c>
      <c r="H2" s="1" t="n">
        <f aca="false">_xlfn.MINIFS(Data_Monthly!$B$2:$B$3636,Data_Monthly!$E$2:$E$3636,$A2,Data_Monthly!$F$2:$F$3636,G2)</f>
        <v>1946</v>
      </c>
      <c r="I2" s="1" t="n">
        <f aca="false">_xlfn.MAXIFS(Data_Monthly!$A$2:$A$3636,Data_Monthly!$E$2:$E$3636,$A2)</f>
        <v>46082</v>
      </c>
    </row>
    <row r="3" customFormat="false" ht="14.25" hidden="false" customHeight="true" outlineLevel="0" collapsed="false">
      <c r="A3" s="1" t="s">
        <v>14</v>
      </c>
      <c r="B3" s="1" t="n">
        <f aca="false">SUMIFS(Data_Monthly!$F$2:$F$3636,Data_Monthly!$E$2:$E$3636,$A3,Data_Monthly!$A$2:$A$3636,$I3)</f>
        <v>4712.8906</v>
      </c>
      <c r="C3" s="1" t="n">
        <f aca="false">AVERAGEIFS(Data_Monthly!$F$2:$F$3636,Data_Monthly!$E$2:$E$3636,$A3)</f>
        <v>397.551394311377</v>
      </c>
      <c r="D3" s="1" t="n">
        <f aca="false">B3/C3-1</f>
        <v>10.85479580109</v>
      </c>
      <c r="E3" s="1" t="n">
        <f aca="false">_xlfn.MAXIFS(Data_Monthly!$F$2:$F$3636,Data_Monthly!$E$2:$E$3636,$A3)</f>
        <v>5277.89</v>
      </c>
      <c r="F3" s="1" t="n">
        <f aca="false">_xlfn.MINIFS(Data_Monthly!$B$2:$B$3636,Data_Monthly!$E$2:$E$3636,$A3,Data_Monthly!$F$2:$F$3636,E3)</f>
        <v>2026</v>
      </c>
      <c r="G3" s="1" t="n">
        <f aca="false">_xlfn.MINIFS(Data_Monthly!$F$2:$F$3636,Data_Monthly!$E$2:$E$3636,$A3)</f>
        <v>19.25</v>
      </c>
      <c r="H3" s="1" t="n">
        <f aca="false">_xlfn.MINIFS(Data_Monthly!$B$2:$B$3636,Data_Monthly!$E$2:$E$3636,$A3,Data_Monthly!$F$2:$F$3636,G3)</f>
        <v>1915</v>
      </c>
      <c r="I3" s="1" t="n">
        <f aca="false">_xlfn.MAXIFS(Data_Monthly!$A$2:$A$3636,Data_Monthly!$E$2:$E$3636,$A3)</f>
        <v>46113</v>
      </c>
    </row>
    <row r="4" customFormat="false" ht="14.25" hidden="false" customHeight="true" outlineLevel="0" collapsed="false">
      <c r="A4" s="1" t="s">
        <v>2</v>
      </c>
      <c r="B4" s="1" t="n">
        <f aca="false">SUMIFS(Data_Monthly!$F$2:$F$3636,Data_Monthly!$E$2:$E$3636,$A4,Data_Monthly!$A$2:$A$3636,$I4)</f>
        <v>88.36</v>
      </c>
      <c r="C4" s="1" t="n">
        <f aca="false">AVERAGEIFS(Data_Monthly!$F$2:$F$3636,Data_Monthly!$E$2:$E$3636,$A4)</f>
        <v>6.42175516467066</v>
      </c>
      <c r="D4" s="1" t="n">
        <f aca="false">B4/C4-1</f>
        <v>12.7594781697866</v>
      </c>
      <c r="E4" s="1" t="n">
        <f aca="false">_xlfn.MAXIFS(Data_Monthly!$F$2:$F$3636,Data_Monthly!$E$2:$E$3636,$A4)</f>
        <v>113.9528</v>
      </c>
      <c r="F4" s="1" t="n">
        <f aca="false">_xlfn.MINIFS(Data_Monthly!$B$2:$B$3636,Data_Monthly!$E$2:$E$3636,$A4,Data_Monthly!$F$2:$F$3636,E4)</f>
        <v>2026</v>
      </c>
      <c r="G4" s="1" t="n">
        <f aca="false">_xlfn.MINIFS(Data_Monthly!$F$2:$F$3636,Data_Monthly!$E$2:$E$3636,$A4)</f>
        <v>0.28</v>
      </c>
      <c r="H4" s="1" t="n">
        <f aca="false">_xlfn.MINIFS(Data_Monthly!$B$2:$B$3636,Data_Monthly!$E$2:$E$3636,$A4,Data_Monthly!$F$2:$F$3636,G4)</f>
        <v>1932</v>
      </c>
      <c r="I4" s="1" t="n">
        <f aca="false">_xlfn.MAXIFS(Data_Monthly!$A$2:$A$3636,Data_Monthly!$E$2:$E$3636,$A4)</f>
        <v>46113</v>
      </c>
    </row>
    <row r="6" customFormat="false" ht="21.75" hidden="false" customHeight="true" outlineLevel="0" collapsed="false">
      <c r="A6" s="28" t="s">
        <v>76</v>
      </c>
      <c r="B6" s="28"/>
      <c r="C6" s="28"/>
      <c r="D6" s="28"/>
      <c r="E6" s="28"/>
      <c r="F6" s="28"/>
      <c r="G6" s="28"/>
      <c r="H6" s="28"/>
      <c r="I6" s="28"/>
    </row>
    <row r="7" customFormat="false" ht="14.25" hidden="false" customHeight="true" outlineLevel="0" collapsed="false">
      <c r="A7" s="29" t="s">
        <v>9</v>
      </c>
      <c r="B7" s="29" t="s">
        <v>10</v>
      </c>
      <c r="C7" s="29" t="s">
        <v>11</v>
      </c>
      <c r="D7" s="29" t="s">
        <v>12</v>
      </c>
    </row>
    <row r="8" customFormat="false" ht="14.25" hidden="false" customHeight="true" outlineLevel="0" collapsed="false">
      <c r="A8" s="30" t="s">
        <v>13</v>
      </c>
      <c r="B8" s="31" t="n">
        <f aca="false">STDEV(Data_Monthly!G3:G964)</f>
        <v>0.0905063183332827</v>
      </c>
      <c r="C8" s="32" t="n">
        <f aca="false">MAX(Data_Monthly!G3:G964)</f>
        <v>1.32521908471276</v>
      </c>
      <c r="D8" s="33" t="n">
        <f aca="false">RANK(B8,$B$8:$B$11,0)</f>
        <v>1</v>
      </c>
    </row>
    <row r="9" customFormat="false" ht="14.25" hidden="false" customHeight="true" outlineLevel="0" collapsed="false">
      <c r="A9" s="30" t="s">
        <v>2</v>
      </c>
      <c r="B9" s="31" t="n">
        <f aca="false">STDEV(Data_Monthly!G2302:G3636)</f>
        <v>0.0769481345819717</v>
      </c>
      <c r="C9" s="32" t="n">
        <f aca="false">MAX(Data_Monthly!G2302:G3636)</f>
        <v>0.694736842105263</v>
      </c>
      <c r="D9" s="33" t="n">
        <f aca="false">RANK(B9,$B$8:$B$11,0)</f>
        <v>2</v>
      </c>
    </row>
    <row r="10" customFormat="false" ht="14.25" hidden="false" customHeight="true" outlineLevel="0" collapsed="false">
      <c r="A10" s="30" t="s">
        <v>14</v>
      </c>
      <c r="B10" s="31" t="n">
        <f aca="false">STDEV(Data_Monthly!G966:G2300)</f>
        <v>0.0429557101992683</v>
      </c>
      <c r="C10" s="32" t="n">
        <f aca="false">MAX(Data_Monthly!G966:G2300)</f>
        <v>0.322251605591235</v>
      </c>
      <c r="D10" s="33" t="n">
        <f aca="false">RANK(B10,$B$8:$B$11,0)</f>
        <v>3</v>
      </c>
    </row>
    <row r="11" customFormat="false" ht="14.25" hidden="false" customHeight="true" outlineLevel="0" collapsed="false">
      <c r="A11" s="30" t="s">
        <v>15</v>
      </c>
      <c r="B11" s="31" t="n">
        <v>0.025</v>
      </c>
      <c r="C11" s="32" t="n">
        <v>0.1</v>
      </c>
      <c r="D11" s="33" t="n">
        <f aca="false">RANK(B11,$B$8:$B$11,0)</f>
        <v>4</v>
      </c>
    </row>
    <row r="13" customFormat="false" ht="21.75" hidden="false" customHeight="true" outlineLevel="0" collapsed="false">
      <c r="A13" s="28" t="s">
        <v>77</v>
      </c>
      <c r="B13" s="28"/>
      <c r="C13" s="28"/>
      <c r="D13" s="28"/>
      <c r="E13" s="28"/>
      <c r="F13" s="28"/>
      <c r="G13" s="28"/>
      <c r="H13" s="28"/>
      <c r="I13" s="28"/>
    </row>
    <row r="14" customFormat="false" ht="14.25" hidden="false" customHeight="true" outlineLevel="0" collapsed="false">
      <c r="A14" s="29" t="s">
        <v>18</v>
      </c>
      <c r="B14" s="29" t="s">
        <v>19</v>
      </c>
    </row>
    <row r="15" customFormat="false" ht="14.25" hidden="false" customHeight="true" outlineLevel="0" collapsed="false">
      <c r="A15" s="30" t="n">
        <v>2019</v>
      </c>
      <c r="B15" s="32" t="n">
        <v>0.112</v>
      </c>
    </row>
    <row r="16" customFormat="false" ht="14.25" hidden="false" customHeight="true" outlineLevel="0" collapsed="false">
      <c r="A16" s="30" t="n">
        <v>2026</v>
      </c>
      <c r="B16" s="32" t="n">
        <v>0.174</v>
      </c>
    </row>
  </sheetData>
  <mergeCells count="2">
    <mergeCell ref="A6:I6"/>
    <mergeCell ref="A13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2026-07-15T00:37:09Z</dcterms:created>
  <dc:creator>openpyxl</dc:creator>
  <dc:description/>
  <dc:language>en-US</dc:language>
  <cp:lastModifiedBy/>
  <dcterms:modified xsi:type="dcterms:W3CDTF">2026-07-17T08:56:45Z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